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X122661\Documents\"/>
    </mc:Choice>
  </mc:AlternateContent>
  <xr:revisionPtr revIDLastSave="0" documentId="10_ncr:100000_{DB0A1F46-F3CE-405C-B17F-D30210DA3359}" xr6:coauthVersionLast="31" xr6:coauthVersionMax="31" xr10:uidLastSave="{00000000-0000-0000-0000-000000000000}"/>
  <bookViews>
    <workbookView xWindow="0" yWindow="0" windowWidth="10860" windowHeight="3024" xr2:uid="{00000000-000D-0000-FFFF-FFFF00000000}"/>
  </bookViews>
  <sheets>
    <sheet name="Horo" sheetId="9" r:id="rId1"/>
    <sheet name="pds" sheetId="3" r:id="rId2"/>
    <sheet name="Decl" sheetId="8" r:id="rId3"/>
    <sheet name="sal" sheetId="2" r:id="rId4"/>
    <sheet name="Feuil3" sheetId="6" r:id="rId5"/>
    <sheet name="Prevz" sheetId="5" r:id="rId6"/>
    <sheet name="TODO" sheetId="7" r:id="rId7"/>
    <sheet name="Molad0" sheetId="10" r:id="rId8"/>
    <sheet name="Molad" sheetId="12" r:id="rId9"/>
    <sheet name="Deniv" sheetId="13" r:id="rId10"/>
    <sheet name="Vélo" sheetId="14" r:id="rId11"/>
    <sheet name="Tenn" sheetId="15" r:id="rId12"/>
    <sheet name="Taux" sheetId="16" r:id="rId13"/>
  </sheets>
  <definedNames>
    <definedName name="_xlnm._FilterDatabase" localSheetId="11" hidden="1">Tenn!$A$1:$AZ$44</definedName>
    <definedName name="_xlnm.Print_Area" localSheetId="5">Prevz!$A$1:$U$40</definedName>
  </definedNames>
  <calcPr calcId="179017"/>
</workbook>
</file>

<file path=xl/calcChain.xml><?xml version="1.0" encoding="utf-8"?>
<calcChain xmlns="http://schemas.openxmlformats.org/spreadsheetml/2006/main">
  <c r="P10" i="15" l="1"/>
  <c r="O10" i="15"/>
  <c r="V523" i="9"/>
  <c r="V522" i="9"/>
  <c r="V524" i="9"/>
  <c r="V526" i="9"/>
  <c r="V460" i="9"/>
  <c r="V461" i="9"/>
  <c r="V487" i="9"/>
  <c r="V486" i="9"/>
  <c r="V532" i="9"/>
  <c r="V535" i="9"/>
  <c r="V539" i="9"/>
  <c r="V529" i="9"/>
  <c r="V541" i="9"/>
  <c r="V537" i="9"/>
  <c r="V536" i="9"/>
  <c r="V531" i="9"/>
  <c r="V527" i="9"/>
  <c r="V520" i="9"/>
  <c r="V521" i="9"/>
  <c r="V540" i="9"/>
  <c r="V538" i="9"/>
  <c r="V534" i="9"/>
  <c r="V533" i="9"/>
  <c r="V530" i="9"/>
  <c r="V528" i="9"/>
  <c r="V525" i="9"/>
  <c r="V519" i="9"/>
  <c r="V518" i="9"/>
  <c r="V509" i="9"/>
  <c r="V511" i="9"/>
  <c r="V512" i="9"/>
  <c r="V517" i="9"/>
  <c r="V516" i="9"/>
  <c r="V515" i="9"/>
  <c r="V514" i="9"/>
  <c r="V513" i="9"/>
  <c r="V510" i="9"/>
  <c r="V508" i="9"/>
  <c r="V507" i="9"/>
  <c r="V506" i="9"/>
  <c r="V504" i="9"/>
  <c r="V503" i="9"/>
  <c r="V505" i="9"/>
  <c r="V497" i="9"/>
  <c r="V498" i="9"/>
  <c r="V499" i="9"/>
  <c r="V500" i="9"/>
  <c r="V501" i="9"/>
  <c r="V502" i="9"/>
  <c r="V495" i="9"/>
  <c r="V493" i="9"/>
  <c r="V490" i="9"/>
  <c r="V496" i="9"/>
  <c r="V492" i="9"/>
  <c r="V491" i="9"/>
  <c r="V494" i="9"/>
  <c r="V489" i="9"/>
  <c r="V488" i="9"/>
  <c r="V485" i="9"/>
  <c r="V484" i="9"/>
  <c r="V483" i="9"/>
  <c r="V482" i="9"/>
  <c r="V481" i="9"/>
  <c r="V480" i="9"/>
  <c r="V479" i="9"/>
  <c r="V478" i="9"/>
  <c r="V477" i="9"/>
  <c r="V476" i="9"/>
  <c r="V475" i="9"/>
  <c r="V474" i="9"/>
  <c r="V473" i="9"/>
  <c r="V472" i="9"/>
  <c r="V471" i="9"/>
  <c r="V470" i="9"/>
  <c r="V469" i="9"/>
  <c r="V468" i="9"/>
  <c r="V464" i="9"/>
  <c r="V463" i="9"/>
  <c r="V467" i="9"/>
  <c r="V466" i="9"/>
  <c r="V465" i="9"/>
  <c r="V462" i="9"/>
  <c r="V459" i="9"/>
  <c r="V458" i="9"/>
  <c r="V455" i="9"/>
  <c r="V454" i="9"/>
  <c r="V453" i="9"/>
  <c r="V457" i="9"/>
  <c r="V456" i="9"/>
  <c r="V452" i="9"/>
  <c r="V451" i="9"/>
  <c r="V450" i="9"/>
  <c r="V447" i="9"/>
  <c r="V449" i="9"/>
  <c r="V448" i="9"/>
  <c r="V446" i="9"/>
  <c r="V445" i="9"/>
  <c r="V444" i="9"/>
  <c r="V443" i="9"/>
  <c r="V442" i="9"/>
  <c r="V441" i="9"/>
  <c r="V440" i="9"/>
  <c r="V439" i="9"/>
  <c r="V438" i="9"/>
  <c r="V437" i="9"/>
  <c r="V436" i="9"/>
  <c r="V435" i="9"/>
  <c r="V434" i="9"/>
  <c r="V433" i="9"/>
  <c r="V432" i="9"/>
  <c r="V431" i="9"/>
  <c r="V430" i="9"/>
  <c r="V429" i="9"/>
  <c r="V428" i="9"/>
  <c r="V427" i="9"/>
  <c r="V426" i="9"/>
  <c r="V425" i="9"/>
  <c r="V421" i="9"/>
  <c r="V422" i="9"/>
  <c r="V423" i="9"/>
  <c r="V424" i="9"/>
  <c r="B15" i="8" l="1"/>
  <c r="U1" i="15" l="1"/>
  <c r="V10" i="15"/>
  <c r="S10" i="15"/>
  <c r="T10" i="15"/>
  <c r="P9" i="15"/>
  <c r="O9" i="15"/>
  <c r="T9" i="15" l="1"/>
  <c r="V9" i="15"/>
  <c r="S9" i="15"/>
  <c r="O8" i="15" l="1"/>
  <c r="P8" i="15"/>
  <c r="D517" i="3" l="1"/>
  <c r="E517" i="3"/>
  <c r="F517" i="3"/>
  <c r="D518" i="3"/>
  <c r="E518" i="3"/>
  <c r="F518" i="3"/>
  <c r="D519" i="3"/>
  <c r="E519" i="3"/>
  <c r="F519" i="3"/>
  <c r="F520" i="3"/>
  <c r="D521" i="3"/>
  <c r="F521" i="3"/>
  <c r="E522" i="3"/>
  <c r="F522" i="3"/>
  <c r="F523" i="3"/>
  <c r="F524" i="3"/>
  <c r="D525" i="3"/>
  <c r="F525" i="3"/>
  <c r="E526" i="3"/>
  <c r="F526" i="3"/>
  <c r="F527" i="3"/>
  <c r="F528" i="3"/>
  <c r="B510" i="3"/>
  <c r="C510" i="3"/>
  <c r="B511" i="3"/>
  <c r="C511" i="3"/>
  <c r="B512" i="3"/>
  <c r="C512" i="3"/>
  <c r="B513" i="3"/>
  <c r="C513" i="3"/>
  <c r="B514" i="3"/>
  <c r="C514" i="3"/>
  <c r="B515" i="3"/>
  <c r="C515" i="3"/>
  <c r="B516" i="3"/>
  <c r="C516" i="3"/>
  <c r="B517" i="3"/>
  <c r="C517" i="3"/>
  <c r="B518" i="3"/>
  <c r="C518" i="3"/>
  <c r="B519" i="3"/>
  <c r="C519" i="3"/>
  <c r="B520" i="3"/>
  <c r="C520" i="3"/>
  <c r="B521" i="3"/>
  <c r="C521" i="3"/>
  <c r="B522" i="3"/>
  <c r="C522" i="3"/>
  <c r="B523" i="3"/>
  <c r="C523" i="3"/>
  <c r="D520" i="3" s="1"/>
  <c r="E527" i="3" l="1"/>
  <c r="D526" i="3"/>
  <c r="E523" i="3"/>
  <c r="D522" i="3"/>
  <c r="E528" i="3"/>
  <c r="D527" i="3"/>
  <c r="E524" i="3"/>
  <c r="D523" i="3"/>
  <c r="E520" i="3"/>
  <c r="D528" i="3"/>
  <c r="E525" i="3"/>
  <c r="D524" i="3"/>
  <c r="E521" i="3"/>
  <c r="L1" i="15"/>
  <c r="B38" i="15"/>
  <c r="C32" i="15"/>
  <c r="M1" i="15"/>
  <c r="J1" i="15"/>
  <c r="I1" i="15"/>
  <c r="H1" i="15"/>
  <c r="G1" i="15"/>
  <c r="F1" i="15"/>
  <c r="V8" i="15"/>
  <c r="T8" i="15"/>
  <c r="S8" i="15"/>
  <c r="S7" i="15" l="1"/>
  <c r="T7" i="15"/>
  <c r="V7" i="15"/>
  <c r="P7" i="15"/>
  <c r="O7" i="15"/>
  <c r="D39" i="15"/>
  <c r="O6" i="15" l="1"/>
  <c r="P6" i="15"/>
  <c r="V6" i="15" l="1"/>
  <c r="T6" i="15"/>
  <c r="S6" i="15"/>
  <c r="P1" i="15" l="1"/>
  <c r="Y1" i="15"/>
  <c r="AL27" i="15"/>
  <c r="AL26" i="15"/>
  <c r="AL25" i="15"/>
  <c r="AL23" i="15"/>
  <c r="AC3" i="15"/>
  <c r="AC4" i="15"/>
  <c r="AC5" i="15"/>
  <c r="AC9" i="15"/>
  <c r="AC10" i="15"/>
  <c r="AC11" i="15"/>
  <c r="AC12" i="15"/>
  <c r="AC13" i="15"/>
  <c r="AC14" i="15"/>
  <c r="AC15" i="15"/>
  <c r="AC16" i="15"/>
  <c r="AC17" i="15"/>
  <c r="AC18" i="15"/>
  <c r="AC19" i="15"/>
  <c r="AC20" i="15"/>
  <c r="AC21" i="15"/>
  <c r="AC22" i="15"/>
  <c r="AC23" i="15"/>
  <c r="AC24" i="15"/>
  <c r="AC25" i="15"/>
  <c r="AC26" i="15"/>
  <c r="AC27" i="15"/>
  <c r="AC28" i="15"/>
  <c r="T3" i="15"/>
  <c r="T4" i="15"/>
  <c r="T5" i="15"/>
  <c r="P5" i="15"/>
  <c r="O5" i="15"/>
  <c r="V5" i="15" l="1"/>
  <c r="V4" i="15"/>
  <c r="V3" i="15"/>
  <c r="AE5" i="15"/>
  <c r="AE9" i="15"/>
  <c r="AE10" i="15"/>
  <c r="AE11" i="15"/>
  <c r="AE12" i="15"/>
  <c r="AE13" i="15"/>
  <c r="AE14" i="15"/>
  <c r="AE15" i="15"/>
  <c r="AE16" i="15"/>
  <c r="AE17" i="15"/>
  <c r="AE18" i="15"/>
  <c r="AE19" i="15"/>
  <c r="AE20" i="15"/>
  <c r="AE21" i="15"/>
  <c r="AE22" i="15"/>
  <c r="AE23" i="15"/>
  <c r="AE24" i="15"/>
  <c r="AE25" i="15"/>
  <c r="AE26" i="15"/>
  <c r="AE27" i="15"/>
  <c r="AE28" i="15"/>
  <c r="AE4" i="15"/>
  <c r="AE3" i="15"/>
  <c r="AN26" i="15"/>
  <c r="AN27" i="15"/>
  <c r="AN25" i="15"/>
  <c r="S5" i="15" l="1"/>
  <c r="P4" i="15"/>
  <c r="O4" i="15"/>
  <c r="W421" i="9" l="1"/>
  <c r="W422" i="9" l="1"/>
  <c r="W423" i="9" s="1"/>
  <c r="W424" i="9" s="1"/>
  <c r="W425" i="9" s="1"/>
  <c r="W426" i="9" s="1"/>
  <c r="W427" i="9" s="1"/>
  <c r="W428" i="9" s="1"/>
  <c r="W429" i="9" s="1"/>
  <c r="W430" i="9" s="1"/>
  <c r="W431" i="9" s="1"/>
  <c r="W432" i="9" s="1"/>
  <c r="W433" i="9" s="1"/>
  <c r="W434" i="9" s="1"/>
  <c r="W435" i="9" s="1"/>
  <c r="S4" i="15"/>
  <c r="P3" i="15"/>
  <c r="O3" i="15"/>
  <c r="W436" i="9" l="1"/>
  <c r="W437" i="9" s="1"/>
  <c r="W438" i="9" s="1"/>
  <c r="W439" i="9" s="1"/>
  <c r="W440" i="9" s="1"/>
  <c r="W441" i="9" s="1"/>
  <c r="W442" i="9" s="1"/>
  <c r="W443" i="9" s="1"/>
  <c r="W444" i="9" s="1"/>
  <c r="W445" i="9" s="1"/>
  <c r="W446" i="9" s="1"/>
  <c r="W447" i="9" s="1"/>
  <c r="W448" i="9" s="1"/>
  <c r="W449" i="9" s="1"/>
  <c r="W450" i="9" s="1"/>
  <c r="W451" i="9" s="1"/>
  <c r="W452" i="9" s="1"/>
  <c r="W453" i="9" s="1"/>
  <c r="W454" i="9" s="1"/>
  <c r="W455" i="9" s="1"/>
  <c r="W456" i="9" s="1"/>
  <c r="W457" i="9" s="1"/>
  <c r="W458" i="9" s="1"/>
  <c r="W459" i="9" s="1"/>
  <c r="W460" i="9" s="1"/>
  <c r="W461" i="9" s="1"/>
  <c r="W462" i="9" s="1"/>
  <c r="W463" i="9" s="1"/>
  <c r="W464" i="9" s="1"/>
  <c r="W465" i="9" s="1"/>
  <c r="W466" i="9" s="1"/>
  <c r="W467" i="9" s="1"/>
  <c r="W468" i="9" s="1"/>
  <c r="W469" i="9" s="1"/>
  <c r="W470" i="9" s="1"/>
  <c r="W471" i="9" s="1"/>
  <c r="W472" i="9" s="1"/>
  <c r="W473" i="9" s="1"/>
  <c r="W474" i="9" s="1"/>
  <c r="W475" i="9" s="1"/>
  <c r="W476" i="9" s="1"/>
  <c r="W477" i="9" s="1"/>
  <c r="W478" i="9" s="1"/>
  <c r="W479" i="9" s="1"/>
  <c r="W480" i="9" s="1"/>
  <c r="W481" i="9" s="1"/>
  <c r="W482" i="9" s="1"/>
  <c r="W483" i="9" s="1"/>
  <c r="W484" i="9" s="1"/>
  <c r="W485" i="9" s="1"/>
  <c r="W486" i="9" s="1"/>
  <c r="W487" i="9" s="1"/>
  <c r="W488" i="9" s="1"/>
  <c r="W489" i="9" s="1"/>
  <c r="W490" i="9" s="1"/>
  <c r="W491" i="9" s="1"/>
  <c r="W492" i="9" s="1"/>
  <c r="W493" i="9" s="1"/>
  <c r="W494" i="9" s="1"/>
  <c r="W495" i="9" s="1"/>
  <c r="W496" i="9" s="1"/>
  <c r="W497" i="9" s="1"/>
  <c r="W498" i="9" s="1"/>
  <c r="W499" i="9" s="1"/>
  <c r="W500" i="9" s="1"/>
  <c r="W501" i="9" s="1"/>
  <c r="W502" i="9" s="1"/>
  <c r="W503" i="9" s="1"/>
  <c r="W504" i="9" s="1"/>
  <c r="W505" i="9" s="1"/>
  <c r="W506" i="9" s="1"/>
  <c r="W507" i="9" s="1"/>
  <c r="W508" i="9" s="1"/>
  <c r="W509" i="9" s="1"/>
  <c r="W510" i="9" s="1"/>
  <c r="W511" i="9" s="1"/>
  <c r="W512" i="9" s="1"/>
  <c r="W513" i="9" s="1"/>
  <c r="W514" i="9" s="1"/>
  <c r="W515" i="9" s="1"/>
  <c r="W516" i="9" s="1"/>
  <c r="W517" i="9" s="1"/>
  <c r="W518" i="9" s="1"/>
  <c r="W519" i="9" s="1"/>
  <c r="W520" i="9" s="1"/>
  <c r="W521" i="9" s="1"/>
  <c r="W522" i="9" s="1"/>
  <c r="W523" i="9" s="1"/>
  <c r="W524" i="9" s="1"/>
  <c r="W525" i="9" s="1"/>
  <c r="W526" i="9" s="1"/>
  <c r="W527" i="9" s="1"/>
  <c r="W528" i="9" s="1"/>
  <c r="W529" i="9" s="1"/>
  <c r="W530" i="9" s="1"/>
  <c r="W531" i="9" s="1"/>
  <c r="W532" i="9" s="1"/>
  <c r="W533" i="9" s="1"/>
  <c r="W534" i="9" s="1"/>
  <c r="W535" i="9" s="1"/>
  <c r="W536" i="9" s="1"/>
  <c r="W537" i="9" s="1"/>
  <c r="W538" i="9" s="1"/>
  <c r="W539" i="9" s="1"/>
  <c r="W540" i="9" s="1"/>
  <c r="W541" i="9" s="1"/>
  <c r="S3" i="15"/>
  <c r="D43" i="15"/>
  <c r="Y28" i="15"/>
  <c r="X28" i="15"/>
  <c r="A541" i="3" l="1"/>
  <c r="A537" i="3"/>
  <c r="A536" i="3"/>
  <c r="A535" i="3"/>
  <c r="A540" i="3" s="1"/>
  <c r="A534" i="3"/>
  <c r="A539" i="3" s="1"/>
  <c r="A533" i="3"/>
  <c r="A538" i="3" s="1"/>
  <c r="A532" i="3"/>
  <c r="A528" i="3"/>
  <c r="A526" i="3"/>
  <c r="A531" i="3" s="1"/>
  <c r="A525" i="3"/>
  <c r="A530" i="3" s="1"/>
  <c r="A524" i="3"/>
  <c r="A529" i="3" s="1"/>
  <c r="A523" i="3"/>
  <c r="A522" i="3"/>
  <c r="A527" i="3" s="1"/>
  <c r="AB28" i="15"/>
  <c r="Y27" i="15"/>
  <c r="X27" i="15"/>
  <c r="AD1" i="15" l="1"/>
  <c r="AB27" i="15"/>
  <c r="Y26" i="15"/>
  <c r="X26" i="15"/>
  <c r="AA1" i="15" l="1"/>
  <c r="Z1" i="15"/>
  <c r="AB1" i="15" s="1"/>
  <c r="AB26" i="15" l="1"/>
  <c r="AB25" i="15"/>
  <c r="Y25" i="15"/>
  <c r="X25" i="15"/>
  <c r="C498" i="3" l="1"/>
  <c r="C500" i="3"/>
  <c r="Y24" i="15" l="1"/>
  <c r="X24" i="15"/>
  <c r="G1" i="5" l="1"/>
  <c r="H3" i="5"/>
  <c r="H17" i="5" l="1"/>
  <c r="H18" i="5"/>
  <c r="H19" i="5"/>
  <c r="H20" i="5"/>
  <c r="H21" i="5"/>
  <c r="E17" i="5"/>
  <c r="M17" i="5" s="1"/>
  <c r="E18" i="5"/>
  <c r="M18" i="5" s="1"/>
  <c r="E19" i="5"/>
  <c r="E16" i="5"/>
  <c r="M16" i="5" s="1"/>
  <c r="N16" i="5" s="1"/>
  <c r="E64" i="5"/>
  <c r="G64" i="5" s="1"/>
  <c r="I64" i="5" s="1"/>
  <c r="F64" i="5"/>
  <c r="H64" i="5"/>
  <c r="E65" i="5"/>
  <c r="F65" i="5"/>
  <c r="G65" i="5"/>
  <c r="I65" i="5" s="1"/>
  <c r="H65" i="5"/>
  <c r="E60" i="5"/>
  <c r="F60" i="5"/>
  <c r="F61" i="5" s="1"/>
  <c r="F62" i="5" s="1"/>
  <c r="G60" i="5"/>
  <c r="I60" i="5" s="1"/>
  <c r="H60" i="5"/>
  <c r="E61" i="5"/>
  <c r="G61" i="5" s="1"/>
  <c r="I61" i="5" s="1"/>
  <c r="H61" i="5"/>
  <c r="E62" i="5"/>
  <c r="H62" i="5"/>
  <c r="E63" i="5"/>
  <c r="H63" i="5"/>
  <c r="E54" i="5"/>
  <c r="G54" i="5" s="1"/>
  <c r="I54" i="5" s="1"/>
  <c r="F54" i="5"/>
  <c r="H54" i="5"/>
  <c r="E55" i="5"/>
  <c r="F55" i="5"/>
  <c r="F56" i="5" s="1"/>
  <c r="F57" i="5" s="1"/>
  <c r="G55" i="5"/>
  <c r="I55" i="5" s="1"/>
  <c r="H55" i="5"/>
  <c r="E56" i="5"/>
  <c r="G56" i="5" s="1"/>
  <c r="I56" i="5" s="1"/>
  <c r="H56" i="5"/>
  <c r="E57" i="5"/>
  <c r="H57" i="5"/>
  <c r="E58" i="5"/>
  <c r="H58" i="5"/>
  <c r="E59" i="5"/>
  <c r="H59" i="5"/>
  <c r="H16" i="5"/>
  <c r="H13" i="5"/>
  <c r="H14" i="5"/>
  <c r="H7" i="5"/>
  <c r="I3" i="5"/>
  <c r="H4" i="5"/>
  <c r="G3" i="5"/>
  <c r="E2" i="5"/>
  <c r="E3" i="5"/>
  <c r="E13" i="5"/>
  <c r="M13" i="5" s="1"/>
  <c r="E10" i="5"/>
  <c r="G15" i="8"/>
  <c r="G62" i="5" l="1"/>
  <c r="I62" i="5" s="1"/>
  <c r="F63" i="5"/>
  <c r="G63" i="5"/>
  <c r="I63" i="5" s="1"/>
  <c r="F58" i="5"/>
  <c r="F59" i="5" s="1"/>
  <c r="G59" i="5" s="1"/>
  <c r="I59" i="5" s="1"/>
  <c r="G57" i="5"/>
  <c r="I57" i="5" s="1"/>
  <c r="AB24" i="15"/>
  <c r="G58" i="5" l="1"/>
  <c r="I58" i="5" s="1"/>
  <c r="T501" i="9"/>
  <c r="T506" i="9" s="1"/>
  <c r="M3" i="16" l="1"/>
  <c r="N3" i="16" s="1"/>
  <c r="L3" i="16"/>
  <c r="N2" i="16"/>
  <c r="M2" i="16"/>
  <c r="N1" i="16"/>
  <c r="L2" i="16"/>
  <c r="L1" i="16"/>
  <c r="M1" i="16"/>
  <c r="Q1" i="9" l="1"/>
  <c r="Y23" i="15" l="1"/>
  <c r="X23" i="15"/>
  <c r="AB23" i="15"/>
  <c r="Y22" i="15"/>
  <c r="X22" i="15"/>
  <c r="A521" i="3"/>
  <c r="A520" i="3"/>
  <c r="A519" i="3"/>
  <c r="A518" i="3"/>
  <c r="A517" i="3"/>
  <c r="A516" i="3"/>
  <c r="A515" i="3"/>
  <c r="A514" i="3"/>
  <c r="A513" i="3"/>
  <c r="A512" i="3"/>
  <c r="U14" i="5" l="1"/>
  <c r="T14" i="5"/>
  <c r="AA37" i="5"/>
  <c r="AA36" i="5"/>
  <c r="X23" i="5"/>
  <c r="X22" i="5"/>
  <c r="X21" i="5"/>
  <c r="X20" i="5"/>
  <c r="X19" i="5"/>
  <c r="X17" i="5"/>
  <c r="X18" i="5"/>
  <c r="X15" i="5"/>
  <c r="X16" i="5"/>
  <c r="X14" i="5"/>
  <c r="X13" i="5"/>
  <c r="X12" i="5"/>
  <c r="X10" i="5"/>
  <c r="X11" i="5"/>
  <c r="X9" i="5"/>
  <c r="X8" i="5"/>
  <c r="X7" i="5"/>
  <c r="X6" i="5"/>
  <c r="X5" i="5"/>
  <c r="X4" i="5"/>
  <c r="X3" i="5"/>
  <c r="X2" i="5"/>
  <c r="X1" i="5"/>
  <c r="R14" i="5"/>
  <c r="E21" i="5" s="1"/>
  <c r="Q14" i="5"/>
  <c r="E5" i="5"/>
  <c r="E6" i="5"/>
  <c r="E7" i="5"/>
  <c r="E8" i="5"/>
  <c r="E9" i="5"/>
  <c r="E11" i="5"/>
  <c r="E12" i="5"/>
  <c r="M3" i="5"/>
  <c r="N3" i="5" s="1"/>
  <c r="F14" i="5"/>
  <c r="F15" i="5" s="1"/>
  <c r="F16" i="5" s="1"/>
  <c r="F17" i="5" s="1"/>
  <c r="F18" i="5" s="1"/>
  <c r="F19" i="5" s="1"/>
  <c r="F20" i="5" s="1"/>
  <c r="F21" i="5" s="1"/>
  <c r="F22" i="5" s="1"/>
  <c r="F23" i="5" s="1"/>
  <c r="F24" i="5" s="1"/>
  <c r="F25" i="5" s="1"/>
  <c r="F26" i="5" s="1"/>
  <c r="F27" i="5" s="1"/>
  <c r="F13" i="5"/>
  <c r="H10" i="5"/>
  <c r="L3" i="5"/>
  <c r="L2" i="5"/>
  <c r="L10" i="5"/>
  <c r="L11" i="5"/>
  <c r="L12" i="5"/>
  <c r="H15" i="5"/>
  <c r="H8" i="5"/>
  <c r="H9" i="5"/>
  <c r="H11" i="5"/>
  <c r="H12" i="5"/>
  <c r="H6" i="5"/>
  <c r="H5" i="5"/>
  <c r="E23" i="5" l="1"/>
  <c r="E50" i="5"/>
  <c r="E45" i="5"/>
  <c r="E40" i="5"/>
  <c r="E34" i="5"/>
  <c r="E29" i="5"/>
  <c r="E24" i="5"/>
  <c r="E44" i="5"/>
  <c r="E38" i="5"/>
  <c r="E33" i="5"/>
  <c r="E28" i="5"/>
  <c r="E22" i="5"/>
  <c r="E53" i="5"/>
  <c r="E48" i="5"/>
  <c r="E42" i="5"/>
  <c r="E37" i="5"/>
  <c r="E32" i="5"/>
  <c r="E26" i="5"/>
  <c r="G17" i="5"/>
  <c r="E49" i="5"/>
  <c r="E52" i="5"/>
  <c r="E46" i="5"/>
  <c r="E41" i="5"/>
  <c r="E36" i="5"/>
  <c r="E30" i="5"/>
  <c r="E25" i="5"/>
  <c r="E20" i="5"/>
  <c r="E51" i="5"/>
  <c r="E47" i="5"/>
  <c r="E43" i="5"/>
  <c r="E39" i="5"/>
  <c r="E35" i="5"/>
  <c r="E31" i="5"/>
  <c r="E27" i="5"/>
  <c r="B2" i="16"/>
  <c r="H2" i="16" s="1"/>
  <c r="H3" i="16" s="1"/>
  <c r="H4" i="16" s="1"/>
  <c r="H5" i="16" s="1"/>
  <c r="H6" i="16" s="1"/>
  <c r="H7" i="16" s="1"/>
  <c r="H8" i="16" s="1"/>
  <c r="H9" i="16" s="1"/>
  <c r="H10" i="16" s="1"/>
  <c r="H11" i="16" s="1"/>
  <c r="H12" i="16" s="1"/>
  <c r="H13" i="16" s="1"/>
  <c r="H14" i="16" s="1"/>
  <c r="H15" i="16" s="1"/>
  <c r="H16" i="16" s="1"/>
  <c r="H17" i="16" s="1"/>
  <c r="H18" i="16" s="1"/>
  <c r="H19" i="16" s="1"/>
  <c r="H20" i="16" s="1"/>
  <c r="H21" i="16" s="1"/>
  <c r="H22" i="16" s="1"/>
  <c r="H23" i="16" s="1"/>
  <c r="H24" i="16" s="1"/>
  <c r="H25" i="16" s="1"/>
  <c r="H26" i="16" s="1"/>
  <c r="H27" i="16" s="1"/>
  <c r="H28" i="16" s="1"/>
  <c r="H29" i="16" s="1"/>
  <c r="H30" i="16" s="1"/>
  <c r="H31" i="16" s="1"/>
  <c r="H32" i="16" s="1"/>
  <c r="H33" i="16" s="1"/>
  <c r="H34" i="16" s="1"/>
  <c r="H35" i="16" s="1"/>
  <c r="H36" i="16" s="1"/>
  <c r="H37" i="16" s="1"/>
  <c r="H38" i="16" s="1"/>
  <c r="H39" i="16" s="1"/>
  <c r="H40" i="16" s="1"/>
  <c r="H41" i="16" s="1"/>
  <c r="H42" i="16" s="1"/>
  <c r="H43" i="16" s="1"/>
  <c r="H44" i="16" s="1"/>
  <c r="H45" i="16" s="1"/>
  <c r="H46" i="16" s="1"/>
  <c r="H47" i="16" s="1"/>
  <c r="H48" i="16" s="1"/>
  <c r="H49" i="16" s="1"/>
  <c r="H50" i="16" s="1"/>
  <c r="H51" i="16" s="1"/>
  <c r="H52" i="16" s="1"/>
  <c r="H53" i="16" s="1"/>
  <c r="H54" i="16" s="1"/>
  <c r="H55" i="16" s="1"/>
  <c r="H56" i="16" s="1"/>
  <c r="H57" i="16" s="1"/>
  <c r="H58" i="16" s="1"/>
  <c r="H59" i="16" s="1"/>
  <c r="H60" i="16" s="1"/>
  <c r="H61" i="16" s="1"/>
  <c r="H62" i="16" s="1"/>
  <c r="H63" i="16" s="1"/>
  <c r="H64" i="16" s="1"/>
  <c r="H65" i="16" s="1"/>
  <c r="H66" i="16" s="1"/>
  <c r="H67" i="16" s="1"/>
  <c r="H68" i="16" s="1"/>
  <c r="H69" i="16" s="1"/>
  <c r="H70" i="16" s="1"/>
  <c r="H71" i="16" s="1"/>
  <c r="H72" i="16" s="1"/>
  <c r="H73" i="16" s="1"/>
  <c r="H74" i="16" s="1"/>
  <c r="H75" i="16" s="1"/>
  <c r="H76" i="16" s="1"/>
  <c r="H77" i="16" s="1"/>
  <c r="H78" i="16" s="1"/>
  <c r="H79" i="16" s="1"/>
  <c r="H80" i="16" s="1"/>
  <c r="H81" i="16" s="1"/>
  <c r="H82" i="16" s="1"/>
  <c r="H83" i="16" s="1"/>
  <c r="H84" i="16" s="1"/>
  <c r="H85" i="16" s="1"/>
  <c r="H86" i="16" s="1"/>
  <c r="H87" i="16" s="1"/>
  <c r="H88" i="16" s="1"/>
  <c r="H89" i="16" s="1"/>
  <c r="H90" i="16" s="1"/>
  <c r="H91" i="16" s="1"/>
  <c r="H92" i="16" s="1"/>
  <c r="H93" i="16" s="1"/>
  <c r="H94" i="16" s="1"/>
  <c r="H95" i="16" s="1"/>
  <c r="H96" i="16" s="1"/>
  <c r="H97" i="16" s="1"/>
  <c r="H98" i="16" s="1"/>
  <c r="H99" i="16" s="1"/>
  <c r="H100" i="16" s="1"/>
  <c r="H101" i="16" s="1"/>
  <c r="H102" i="16" s="1"/>
  <c r="H103" i="16" s="1"/>
  <c r="H104" i="16" s="1"/>
  <c r="H105" i="16" s="1"/>
  <c r="H106" i="16" s="1"/>
  <c r="H107" i="16" s="1"/>
  <c r="H108" i="16" s="1"/>
  <c r="H109" i="16" s="1"/>
  <c r="H110" i="16" s="1"/>
  <c r="H111" i="16" s="1"/>
  <c r="H112" i="16" s="1"/>
  <c r="H113" i="16" s="1"/>
  <c r="H114" i="16" s="1"/>
  <c r="H115" i="16" s="1"/>
  <c r="H116" i="16" s="1"/>
  <c r="H117" i="16" s="1"/>
  <c r="H118" i="16" s="1"/>
  <c r="H119" i="16" s="1"/>
  <c r="H120" i="16" s="1"/>
  <c r="H121" i="16" s="1"/>
  <c r="H122" i="16" s="1"/>
  <c r="H123" i="16" s="1"/>
  <c r="H124" i="16" s="1"/>
  <c r="H125" i="16" s="1"/>
  <c r="H126" i="16" s="1"/>
  <c r="H127" i="16" s="1"/>
  <c r="H128" i="16" s="1"/>
  <c r="H129" i="16" s="1"/>
  <c r="H130" i="16" s="1"/>
  <c r="H131" i="16" s="1"/>
  <c r="H132" i="16" s="1"/>
  <c r="H133" i="16" s="1"/>
  <c r="H134" i="16" s="1"/>
  <c r="H135" i="16" s="1"/>
  <c r="H136" i="16" s="1"/>
  <c r="H137" i="16" s="1"/>
  <c r="H138" i="16" s="1"/>
  <c r="H139" i="16" s="1"/>
  <c r="H140" i="16" s="1"/>
  <c r="H141" i="16" s="1"/>
  <c r="H142" i="16" s="1"/>
  <c r="H143" i="16" s="1"/>
  <c r="H144" i="16" s="1"/>
  <c r="H145" i="16" s="1"/>
  <c r="H146" i="16" s="1"/>
  <c r="H147" i="16" s="1"/>
  <c r="H148" i="16" s="1"/>
  <c r="H149" i="16" s="1"/>
  <c r="H150" i="16" s="1"/>
  <c r="H151" i="16" s="1"/>
  <c r="H152" i="16" s="1"/>
  <c r="H153" i="16" s="1"/>
  <c r="H154" i="16" s="1"/>
  <c r="H155" i="16" s="1"/>
  <c r="H156" i="16" s="1"/>
  <c r="H157" i="16" s="1"/>
  <c r="H158" i="16" s="1"/>
  <c r="H159" i="16" s="1"/>
  <c r="H160" i="16" s="1"/>
  <c r="H161" i="16" s="1"/>
  <c r="H162" i="16" s="1"/>
  <c r="H163" i="16" s="1"/>
  <c r="H164" i="16" s="1"/>
  <c r="H165" i="16" s="1"/>
  <c r="H166" i="16" s="1"/>
  <c r="H167" i="16" s="1"/>
  <c r="H168" i="16" s="1"/>
  <c r="H169" i="16" s="1"/>
  <c r="H170" i="16" s="1"/>
  <c r="H171" i="16" s="1"/>
  <c r="H172" i="16" s="1"/>
  <c r="H173" i="16" s="1"/>
  <c r="H174" i="16" s="1"/>
  <c r="H175" i="16" s="1"/>
  <c r="H176" i="16" s="1"/>
  <c r="H177" i="16" s="1"/>
  <c r="H178" i="16" s="1"/>
  <c r="H179" i="16" s="1"/>
  <c r="H180" i="16" s="1"/>
  <c r="H181" i="16" s="1"/>
  <c r="H182" i="16" s="1"/>
  <c r="AB22" i="15"/>
  <c r="I1" i="16" l="1"/>
  <c r="J1" i="16" s="1"/>
  <c r="Y21" i="15"/>
  <c r="X21" i="15"/>
  <c r="AB21" i="15" l="1"/>
  <c r="Y20" i="15" l="1"/>
  <c r="X20" i="15"/>
  <c r="AB20" i="15" l="1"/>
  <c r="X19" i="15"/>
  <c r="Y19" i="15"/>
  <c r="AB19" i="15" l="1"/>
  <c r="X10" i="15" l="1"/>
  <c r="X9" i="15"/>
  <c r="X5" i="15"/>
  <c r="X4" i="15"/>
  <c r="X3" i="15"/>
  <c r="AG27" i="15"/>
  <c r="AG26" i="15"/>
  <c r="AG25" i="15"/>
  <c r="AG23" i="15"/>
  <c r="X18" i="15"/>
  <c r="Y10" i="15"/>
  <c r="Y9" i="15"/>
  <c r="Y5" i="15"/>
  <c r="Y4" i="15"/>
  <c r="Y3" i="15"/>
  <c r="AH27" i="15"/>
  <c r="AH26" i="15"/>
  <c r="AH25" i="15"/>
  <c r="AH23" i="15"/>
  <c r="Y17" i="15"/>
  <c r="Y16" i="15"/>
  <c r="Y15" i="15"/>
  <c r="Y14" i="15"/>
  <c r="X17" i="15"/>
  <c r="X16" i="15"/>
  <c r="X14" i="15"/>
  <c r="Y13" i="15"/>
  <c r="Y12" i="15"/>
  <c r="X12" i="15"/>
  <c r="Y18" i="15"/>
  <c r="AB18" i="15" l="1"/>
  <c r="AB17" i="15"/>
  <c r="AB16" i="15" l="1"/>
  <c r="AB15" i="15" l="1"/>
  <c r="X15" i="15"/>
  <c r="AP1" i="15" l="1"/>
  <c r="D41" i="15"/>
  <c r="D40" i="15" l="1"/>
  <c r="AB14" i="15"/>
  <c r="X13" i="15"/>
  <c r="AB13" i="15"/>
  <c r="AM1" i="15" l="1"/>
  <c r="AB12" i="15"/>
  <c r="Y11" i="15"/>
  <c r="AB11" i="15" s="1"/>
  <c r="X11" i="15"/>
  <c r="A31" i="15" s="1"/>
  <c r="O1" i="15"/>
  <c r="C34" i="15" s="1"/>
  <c r="V1" i="15"/>
  <c r="C33" i="15" s="1"/>
  <c r="R1" i="15"/>
  <c r="Q1" i="15"/>
  <c r="C36" i="15" s="1"/>
  <c r="D42" i="15"/>
  <c r="AB10" i="15"/>
  <c r="C37" i="15" l="1"/>
  <c r="C35" i="15"/>
  <c r="S1" i="15"/>
  <c r="AG1" i="15"/>
  <c r="X1" i="15"/>
  <c r="AB9" i="15"/>
  <c r="AE1" i="15" l="1"/>
  <c r="AB5" i="15"/>
  <c r="AB4" i="15" l="1"/>
  <c r="AB3" i="15"/>
  <c r="AK27" i="15" l="1"/>
  <c r="AK26" i="15"/>
  <c r="AK25" i="15"/>
  <c r="AK23" i="15"/>
  <c r="AN1" i="15"/>
  <c r="AJ1" i="15"/>
  <c r="AI1" i="15"/>
  <c r="A30" i="15" l="1"/>
  <c r="AK1" i="15"/>
  <c r="U452" i="9"/>
  <c r="U417" i="9"/>
  <c r="B449" i="3" l="1"/>
  <c r="C449" i="3"/>
  <c r="B450" i="3"/>
  <c r="C450" i="3"/>
  <c r="B451" i="3"/>
  <c r="C451" i="3"/>
  <c r="B452" i="3"/>
  <c r="C452" i="3"/>
  <c r="B453" i="3"/>
  <c r="C453" i="3"/>
  <c r="B454" i="3"/>
  <c r="C454" i="3"/>
  <c r="B455" i="3"/>
  <c r="C455" i="3"/>
  <c r="F413" i="3" l="1"/>
  <c r="F414" i="3"/>
  <c r="F415" i="3"/>
  <c r="F416" i="3"/>
  <c r="F417" i="3"/>
  <c r="I2" i="8" l="1"/>
  <c r="I3" i="8"/>
  <c r="I4" i="8"/>
  <c r="I5" i="8"/>
  <c r="I6" i="8"/>
  <c r="I7" i="8"/>
  <c r="I8" i="8"/>
  <c r="I9" i="8"/>
  <c r="I10" i="8"/>
  <c r="G11" i="8" s="1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1" i="8"/>
  <c r="G12" i="8" s="1"/>
  <c r="G25" i="8" l="1"/>
  <c r="T421" i="9"/>
  <c r="G26" i="8" l="1"/>
  <c r="G28" i="8"/>
  <c r="T426" i="9"/>
  <c r="F424" i="3" s="1"/>
  <c r="F418" i="3"/>
  <c r="F422" i="3"/>
  <c r="F419" i="3"/>
  <c r="F420" i="3"/>
  <c r="F421" i="3"/>
  <c r="B422" i="3"/>
  <c r="C422" i="3"/>
  <c r="B423" i="3"/>
  <c r="C423" i="3"/>
  <c r="B424" i="3"/>
  <c r="C424" i="3"/>
  <c r="B425" i="3"/>
  <c r="C425" i="3"/>
  <c r="B426" i="3"/>
  <c r="C426" i="3"/>
  <c r="B427" i="3"/>
  <c r="C427" i="3"/>
  <c r="B428" i="3"/>
  <c r="C428" i="3"/>
  <c r="B429" i="3"/>
  <c r="C429" i="3"/>
  <c r="B430" i="3"/>
  <c r="C430" i="3"/>
  <c r="B431" i="3"/>
  <c r="C431" i="3"/>
  <c r="B432" i="3"/>
  <c r="C432" i="3"/>
  <c r="B433" i="3"/>
  <c r="C433" i="3"/>
  <c r="B434" i="3"/>
  <c r="C434" i="3"/>
  <c r="B435" i="3"/>
  <c r="C435" i="3"/>
  <c r="B436" i="3"/>
  <c r="C436" i="3"/>
  <c r="B437" i="3"/>
  <c r="C437" i="3"/>
  <c r="B438" i="3"/>
  <c r="C438" i="3"/>
  <c r="B439" i="3"/>
  <c r="C439" i="3"/>
  <c r="B440" i="3"/>
  <c r="C440" i="3"/>
  <c r="B441" i="3"/>
  <c r="C441" i="3"/>
  <c r="B442" i="3"/>
  <c r="C442" i="3"/>
  <c r="B443" i="3"/>
  <c r="C443" i="3"/>
  <c r="B444" i="3"/>
  <c r="C444" i="3"/>
  <c r="B445" i="3"/>
  <c r="C445" i="3"/>
  <c r="B446" i="3"/>
  <c r="C446" i="3"/>
  <c r="B447" i="3"/>
  <c r="C447" i="3"/>
  <c r="B448" i="3"/>
  <c r="C448" i="3"/>
  <c r="B456" i="3"/>
  <c r="C456" i="3"/>
  <c r="B457" i="3"/>
  <c r="C457" i="3"/>
  <c r="B458" i="3"/>
  <c r="C458" i="3"/>
  <c r="B459" i="3"/>
  <c r="C459" i="3"/>
  <c r="B460" i="3"/>
  <c r="C460" i="3"/>
  <c r="B461" i="3"/>
  <c r="C461" i="3"/>
  <c r="B462" i="3"/>
  <c r="C462" i="3"/>
  <c r="B463" i="3"/>
  <c r="C463" i="3"/>
  <c r="B464" i="3"/>
  <c r="C464" i="3"/>
  <c r="B465" i="3"/>
  <c r="C465" i="3"/>
  <c r="B466" i="3"/>
  <c r="C466" i="3"/>
  <c r="B467" i="3"/>
  <c r="C467" i="3"/>
  <c r="B468" i="3"/>
  <c r="C468" i="3"/>
  <c r="B469" i="3"/>
  <c r="C469" i="3"/>
  <c r="B470" i="3"/>
  <c r="C470" i="3"/>
  <c r="B471" i="3"/>
  <c r="C471" i="3"/>
  <c r="B472" i="3"/>
  <c r="C472" i="3"/>
  <c r="B473" i="3"/>
  <c r="C473" i="3"/>
  <c r="B474" i="3"/>
  <c r="C474" i="3"/>
  <c r="B475" i="3"/>
  <c r="C475" i="3"/>
  <c r="B476" i="3"/>
  <c r="C476" i="3"/>
  <c r="B477" i="3"/>
  <c r="C477" i="3"/>
  <c r="B478" i="3"/>
  <c r="C478" i="3"/>
  <c r="B479" i="3"/>
  <c r="C479" i="3"/>
  <c r="B480" i="3"/>
  <c r="C480" i="3"/>
  <c r="B481" i="3"/>
  <c r="C481" i="3"/>
  <c r="B482" i="3"/>
  <c r="C482" i="3"/>
  <c r="B483" i="3"/>
  <c r="C483" i="3"/>
  <c r="B484" i="3"/>
  <c r="C484" i="3"/>
  <c r="B485" i="3"/>
  <c r="C485" i="3"/>
  <c r="B486" i="3"/>
  <c r="C486" i="3"/>
  <c r="B487" i="3"/>
  <c r="C487" i="3"/>
  <c r="B488" i="3"/>
  <c r="C488" i="3"/>
  <c r="B489" i="3"/>
  <c r="C489" i="3"/>
  <c r="B490" i="3"/>
  <c r="C490" i="3"/>
  <c r="B491" i="3"/>
  <c r="C491" i="3"/>
  <c r="B492" i="3"/>
  <c r="C492" i="3"/>
  <c r="B493" i="3"/>
  <c r="C493" i="3"/>
  <c r="B494" i="3"/>
  <c r="C494" i="3"/>
  <c r="B495" i="3"/>
  <c r="C495" i="3"/>
  <c r="B496" i="3"/>
  <c r="C496" i="3"/>
  <c r="B497" i="3"/>
  <c r="C497" i="3"/>
  <c r="B498" i="3"/>
  <c r="B499" i="3"/>
  <c r="C499" i="3"/>
  <c r="B500" i="3"/>
  <c r="B501" i="3"/>
  <c r="C501" i="3"/>
  <c r="B502" i="3"/>
  <c r="C502" i="3"/>
  <c r="B503" i="3"/>
  <c r="C503" i="3"/>
  <c r="B504" i="3"/>
  <c r="C504" i="3"/>
  <c r="B505" i="3"/>
  <c r="C505" i="3"/>
  <c r="B506" i="3"/>
  <c r="C506" i="3"/>
  <c r="B507" i="3"/>
  <c r="C507" i="3"/>
  <c r="B508" i="3"/>
  <c r="C508" i="3"/>
  <c r="B509" i="3"/>
  <c r="C509" i="3"/>
  <c r="E516" i="3" l="1"/>
  <c r="D516" i="3"/>
  <c r="D515" i="3"/>
  <c r="E515" i="3"/>
  <c r="E511" i="3"/>
  <c r="E513" i="3"/>
  <c r="D510" i="3"/>
  <c r="D512" i="3"/>
  <c r="D514" i="3"/>
  <c r="E510" i="3"/>
  <c r="E512" i="3"/>
  <c r="E514" i="3"/>
  <c r="D511" i="3"/>
  <c r="D513" i="3"/>
  <c r="D499" i="3"/>
  <c r="E499" i="3"/>
  <c r="E500" i="3"/>
  <c r="D500" i="3"/>
  <c r="D508" i="3"/>
  <c r="E508" i="3"/>
  <c r="D509" i="3"/>
  <c r="E509" i="3"/>
  <c r="E501" i="3"/>
  <c r="E503" i="3"/>
  <c r="E505" i="3"/>
  <c r="E507" i="3"/>
  <c r="D502" i="3"/>
  <c r="D504" i="3"/>
  <c r="D506" i="3"/>
  <c r="E502" i="3"/>
  <c r="E504" i="3"/>
  <c r="E506" i="3"/>
  <c r="D501" i="3"/>
  <c r="D503" i="3"/>
  <c r="D505" i="3"/>
  <c r="D507" i="3"/>
  <c r="D492" i="3"/>
  <c r="D494" i="3"/>
  <c r="D496" i="3"/>
  <c r="D498" i="3"/>
  <c r="E495" i="3"/>
  <c r="E492" i="3"/>
  <c r="E494" i="3"/>
  <c r="E496" i="3"/>
  <c r="E498" i="3"/>
  <c r="E497" i="3"/>
  <c r="D493" i="3"/>
  <c r="D495" i="3"/>
  <c r="D497" i="3"/>
  <c r="E493" i="3"/>
  <c r="D490" i="3"/>
  <c r="D491" i="3"/>
  <c r="E491" i="3"/>
  <c r="E490" i="3"/>
  <c r="D487" i="3"/>
  <c r="E487" i="3"/>
  <c r="E489" i="3"/>
  <c r="D489" i="3"/>
  <c r="D488" i="3"/>
  <c r="E488" i="3"/>
  <c r="D484" i="3"/>
  <c r="E484" i="3"/>
  <c r="D486" i="3"/>
  <c r="D485" i="3"/>
  <c r="E486" i="3"/>
  <c r="E485" i="3"/>
  <c r="E478" i="3"/>
  <c r="E480" i="3"/>
  <c r="E482" i="3"/>
  <c r="D479" i="3"/>
  <c r="D481" i="3"/>
  <c r="D483" i="3"/>
  <c r="E479" i="3"/>
  <c r="E481" i="3"/>
  <c r="E483" i="3"/>
  <c r="D478" i="3"/>
  <c r="D480" i="3"/>
  <c r="D482" i="3"/>
  <c r="D477" i="3"/>
  <c r="E477" i="3"/>
  <c r="D476" i="3"/>
  <c r="E476" i="3"/>
  <c r="D470" i="3"/>
  <c r="D472" i="3"/>
  <c r="D474" i="3"/>
  <c r="E472" i="3"/>
  <c r="E474" i="3"/>
  <c r="D471" i="3"/>
  <c r="D473" i="3"/>
  <c r="D475" i="3"/>
  <c r="E471" i="3"/>
  <c r="E473" i="3"/>
  <c r="E475" i="3"/>
  <c r="E470" i="3"/>
  <c r="D466" i="3"/>
  <c r="D468" i="3"/>
  <c r="E466" i="3"/>
  <c r="E468" i="3"/>
  <c r="D469" i="3"/>
  <c r="E467" i="3"/>
  <c r="E469" i="3"/>
  <c r="D467" i="3"/>
  <c r="D465" i="3"/>
  <c r="E465" i="3"/>
  <c r="D464" i="3"/>
  <c r="E464" i="3"/>
  <c r="D463" i="3"/>
  <c r="E463" i="3"/>
  <c r="D462" i="3"/>
  <c r="E462" i="3"/>
  <c r="E461" i="3"/>
  <c r="E460" i="3"/>
  <c r="D460" i="3"/>
  <c r="D461" i="3"/>
  <c r="D451" i="3"/>
  <c r="E451" i="3"/>
  <c r="D449" i="3"/>
  <c r="E449" i="3"/>
  <c r="D452" i="3"/>
  <c r="E452" i="3"/>
  <c r="D450" i="3"/>
  <c r="E450" i="3"/>
  <c r="D455" i="3"/>
  <c r="D458" i="3"/>
  <c r="D453" i="3"/>
  <c r="D454" i="3"/>
  <c r="E455" i="3"/>
  <c r="E456" i="3"/>
  <c r="D459" i="3"/>
  <c r="E457" i="3"/>
  <c r="E458" i="3"/>
  <c r="E453" i="3"/>
  <c r="E459" i="3"/>
  <c r="D456" i="3"/>
  <c r="D457" i="3"/>
  <c r="E454" i="3"/>
  <c r="T431" i="9"/>
  <c r="F429" i="3" s="1"/>
  <c r="F425" i="3"/>
  <c r="F426" i="3"/>
  <c r="F427" i="3"/>
  <c r="F423" i="3"/>
  <c r="D436" i="3"/>
  <c r="E436" i="3"/>
  <c r="E434" i="3"/>
  <c r="D434" i="3"/>
  <c r="D432" i="3"/>
  <c r="E432" i="3"/>
  <c r="D430" i="3"/>
  <c r="E430" i="3"/>
  <c r="E437" i="3"/>
  <c r="D437" i="3"/>
  <c r="E435" i="3"/>
  <c r="D435" i="3"/>
  <c r="D433" i="3"/>
  <c r="E433" i="3"/>
  <c r="E431" i="3"/>
  <c r="D431" i="3"/>
  <c r="E429" i="3"/>
  <c r="D429" i="3"/>
  <c r="E448" i="3"/>
  <c r="D439" i="3"/>
  <c r="E440" i="3"/>
  <c r="D442" i="3"/>
  <c r="D445" i="3"/>
  <c r="E439" i="3"/>
  <c r="E442" i="3"/>
  <c r="D444" i="3"/>
  <c r="E445" i="3"/>
  <c r="D447" i="3"/>
  <c r="D438" i="3"/>
  <c r="D441" i="3"/>
  <c r="D443" i="3"/>
  <c r="E444" i="3"/>
  <c r="D446" i="3"/>
  <c r="D448" i="3"/>
  <c r="E447" i="3"/>
  <c r="E438" i="3"/>
  <c r="D440" i="3"/>
  <c r="E441" i="3"/>
  <c r="E443" i="3"/>
  <c r="E446" i="3"/>
  <c r="O21" i="14"/>
  <c r="P21" i="14" s="1"/>
  <c r="O18" i="14"/>
  <c r="P18" i="14" s="1"/>
  <c r="O20" i="14"/>
  <c r="P20" i="14"/>
  <c r="O3" i="14"/>
  <c r="P3" i="14" s="1"/>
  <c r="O4" i="14"/>
  <c r="P4" i="14" s="1"/>
  <c r="O5" i="14"/>
  <c r="P5" i="14" s="1"/>
  <c r="O6" i="14"/>
  <c r="P6" i="14" s="1"/>
  <c r="O7" i="14"/>
  <c r="P7" i="14" s="1"/>
  <c r="O8" i="14"/>
  <c r="P8" i="14" s="1"/>
  <c r="O9" i="14"/>
  <c r="P9" i="14" s="1"/>
  <c r="O10" i="14"/>
  <c r="P10" i="14" s="1"/>
  <c r="O13" i="14"/>
  <c r="P13" i="14" s="1"/>
  <c r="O14" i="14"/>
  <c r="P14" i="14" s="1"/>
  <c r="O17" i="14"/>
  <c r="P17" i="14" s="1"/>
  <c r="O2" i="14"/>
  <c r="P2" i="14" s="1"/>
  <c r="N10" i="14"/>
  <c r="N9" i="14"/>
  <c r="O19" i="14" s="1"/>
  <c r="P19" i="14" s="1"/>
  <c r="O16" i="14" l="1"/>
  <c r="P16" i="14" s="1"/>
  <c r="O12" i="14"/>
  <c r="P12" i="14" s="1"/>
  <c r="O15" i="14"/>
  <c r="P15" i="14" s="1"/>
  <c r="O11" i="14"/>
  <c r="P11" i="14" s="1"/>
  <c r="T436" i="9"/>
  <c r="F436" i="3" s="1"/>
  <c r="F432" i="3"/>
  <c r="F431" i="3"/>
  <c r="F428" i="3"/>
  <c r="F430" i="3"/>
  <c r="U393" i="9"/>
  <c r="F435" i="3" l="1"/>
  <c r="T441" i="9"/>
  <c r="F438" i="3" s="1"/>
  <c r="F433" i="3"/>
  <c r="F437" i="3"/>
  <c r="F434" i="3"/>
  <c r="G13" i="8"/>
  <c r="G9" i="8"/>
  <c r="G6" i="8"/>
  <c r="F441" i="3" l="1"/>
  <c r="F440" i="3"/>
  <c r="F439" i="3"/>
  <c r="F442" i="3"/>
  <c r="T446" i="9"/>
  <c r="T451" i="9" s="1"/>
  <c r="G14" i="8"/>
  <c r="F443" i="3" l="1"/>
  <c r="F444" i="3"/>
  <c r="F446" i="3"/>
  <c r="F445" i="3"/>
  <c r="F447" i="3"/>
  <c r="T456" i="9"/>
  <c r="F456" i="3" s="1"/>
  <c r="F448" i="3"/>
  <c r="F449" i="3"/>
  <c r="F452" i="3"/>
  <c r="F451" i="3"/>
  <c r="F450" i="3"/>
  <c r="G24" i="8"/>
  <c r="F455" i="3" l="1"/>
  <c r="T461" i="9"/>
  <c r="F459" i="3" s="1"/>
  <c r="F453" i="3"/>
  <c r="F454" i="3"/>
  <c r="F457" i="3"/>
  <c r="G27" i="8"/>
  <c r="B399" i="3"/>
  <c r="C399" i="3"/>
  <c r="B400" i="3"/>
  <c r="C400" i="3"/>
  <c r="B401" i="3"/>
  <c r="C401" i="3"/>
  <c r="B402" i="3"/>
  <c r="C402" i="3"/>
  <c r="B403" i="3"/>
  <c r="C403" i="3"/>
  <c r="B404" i="3"/>
  <c r="C404" i="3"/>
  <c r="B405" i="3"/>
  <c r="C405" i="3"/>
  <c r="B406" i="3"/>
  <c r="C406" i="3"/>
  <c r="B407" i="3"/>
  <c r="C407" i="3"/>
  <c r="B408" i="3"/>
  <c r="C408" i="3"/>
  <c r="B409" i="3"/>
  <c r="C409" i="3"/>
  <c r="B410" i="3"/>
  <c r="C410" i="3"/>
  <c r="B411" i="3"/>
  <c r="C411" i="3"/>
  <c r="B412" i="3"/>
  <c r="C412" i="3"/>
  <c r="B413" i="3"/>
  <c r="C413" i="3"/>
  <c r="B414" i="3"/>
  <c r="C414" i="3"/>
  <c r="B415" i="3"/>
  <c r="C415" i="3"/>
  <c r="B416" i="3"/>
  <c r="C416" i="3"/>
  <c r="B417" i="3"/>
  <c r="C417" i="3"/>
  <c r="B418" i="3"/>
  <c r="C418" i="3"/>
  <c r="B419" i="3"/>
  <c r="C419" i="3"/>
  <c r="B420" i="3"/>
  <c r="C420" i="3"/>
  <c r="B421" i="3"/>
  <c r="C421" i="3"/>
  <c r="F458" i="3" l="1"/>
  <c r="F462" i="3"/>
  <c r="F460" i="3"/>
  <c r="F461" i="3"/>
  <c r="T466" i="9"/>
  <c r="F465" i="3" s="1"/>
  <c r="D428" i="3"/>
  <c r="E428" i="3"/>
  <c r="E426" i="3"/>
  <c r="D426" i="3"/>
  <c r="E424" i="3"/>
  <c r="D424" i="3"/>
  <c r="E422" i="3"/>
  <c r="D422" i="3"/>
  <c r="E420" i="3"/>
  <c r="D420" i="3"/>
  <c r="E427" i="3"/>
  <c r="D427" i="3"/>
  <c r="D425" i="3"/>
  <c r="E425" i="3"/>
  <c r="E423" i="3"/>
  <c r="D423" i="3"/>
  <c r="D421" i="3"/>
  <c r="E421" i="3"/>
  <c r="D415" i="3"/>
  <c r="E419" i="3"/>
  <c r="E417" i="3"/>
  <c r="D416" i="3"/>
  <c r="D414" i="3"/>
  <c r="D419" i="3"/>
  <c r="D417" i="3"/>
  <c r="E418" i="3"/>
  <c r="E415" i="3"/>
  <c r="D418" i="3"/>
  <c r="E416" i="3"/>
  <c r="D412" i="3"/>
  <c r="E414" i="3"/>
  <c r="D413" i="3"/>
  <c r="E411" i="3"/>
  <c r="E406" i="3"/>
  <c r="E412" i="3"/>
  <c r="D411" i="3"/>
  <c r="E413" i="3"/>
  <c r="D406" i="3"/>
  <c r="E407" i="3"/>
  <c r="D409" i="3"/>
  <c r="E410" i="3"/>
  <c r="D410" i="3"/>
  <c r="E408" i="3"/>
  <c r="D407" i="3"/>
  <c r="E409" i="3"/>
  <c r="D408" i="3"/>
  <c r="F467" i="3" l="1"/>
  <c r="F466" i="3"/>
  <c r="F464" i="3"/>
  <c r="T471" i="9"/>
  <c r="F472" i="3" s="1"/>
  <c r="F463" i="3"/>
  <c r="I4" i="6"/>
  <c r="I5" i="6"/>
  <c r="I6" i="6"/>
  <c r="I7" i="6"/>
  <c r="I8" i="6"/>
  <c r="I9" i="6"/>
  <c r="I10" i="6"/>
  <c r="I11" i="6"/>
  <c r="I12" i="6"/>
  <c r="I13" i="6"/>
  <c r="I3" i="6"/>
  <c r="V6" i="6"/>
  <c r="Y5" i="6"/>
  <c r="Y6" i="6"/>
  <c r="V9" i="6" s="1"/>
  <c r="Y7" i="6"/>
  <c r="Y8" i="6"/>
  <c r="Y9" i="6"/>
  <c r="Y10" i="6"/>
  <c r="Y11" i="6"/>
  <c r="Y12" i="6"/>
  <c r="Y13" i="6"/>
  <c r="Y4" i="6"/>
  <c r="V7" i="6" s="1"/>
  <c r="Z6" i="6"/>
  <c r="AB6" i="6" s="1"/>
  <c r="Z7" i="6"/>
  <c r="AA7" i="6" s="1"/>
  <c r="Z8" i="6"/>
  <c r="AB8" i="6" s="1"/>
  <c r="Z9" i="6"/>
  <c r="AB9" i="6" s="1"/>
  <c r="Z10" i="6"/>
  <c r="Z11" i="6"/>
  <c r="AA11" i="6" s="1"/>
  <c r="Z12" i="6"/>
  <c r="AB12" i="6" s="1"/>
  <c r="Z13" i="6"/>
  <c r="AB13" i="6" s="1"/>
  <c r="Z4" i="6"/>
  <c r="AB4" i="6" s="1"/>
  <c r="Z5" i="6"/>
  <c r="AA5" i="6" s="1"/>
  <c r="AA8" i="6"/>
  <c r="AB10" i="6"/>
  <c r="T4" i="6"/>
  <c r="T5" i="6"/>
  <c r="T6" i="6"/>
  <c r="T7" i="6"/>
  <c r="T8" i="6"/>
  <c r="T9" i="6"/>
  <c r="T10" i="6"/>
  <c r="T11" i="6"/>
  <c r="T12" i="6"/>
  <c r="T13" i="6"/>
  <c r="T14" i="6"/>
  <c r="S4" i="6"/>
  <c r="S5" i="6"/>
  <c r="S6" i="6"/>
  <c r="S7" i="6"/>
  <c r="S8" i="6"/>
  <c r="S9" i="6"/>
  <c r="S10" i="6"/>
  <c r="S11" i="6"/>
  <c r="S12" i="6"/>
  <c r="S13" i="6"/>
  <c r="S14" i="6"/>
  <c r="AB3" i="6"/>
  <c r="AA3" i="6"/>
  <c r="T3" i="6"/>
  <c r="S3" i="6"/>
  <c r="AB11" i="6"/>
  <c r="K17" i="6"/>
  <c r="K18" i="6"/>
  <c r="K19" i="6"/>
  <c r="K20" i="6"/>
  <c r="K21" i="6"/>
  <c r="K22" i="6"/>
  <c r="K23" i="6"/>
  <c r="K24" i="6"/>
  <c r="K25" i="6"/>
  <c r="K26" i="6"/>
  <c r="K27" i="6"/>
  <c r="K28" i="6"/>
  <c r="F471" i="3" l="1"/>
  <c r="F469" i="3"/>
  <c r="F470" i="3"/>
  <c r="F476" i="3"/>
  <c r="F468" i="3"/>
  <c r="AA13" i="6"/>
  <c r="AA9" i="6"/>
  <c r="AB7" i="6"/>
  <c r="AB5" i="6"/>
  <c r="AA12" i="6"/>
  <c r="AA6" i="6"/>
  <c r="AA10" i="6"/>
  <c r="AA4" i="6"/>
  <c r="A11" i="6"/>
  <c r="B2" i="6"/>
  <c r="B1" i="6"/>
  <c r="B3" i="6" s="1"/>
  <c r="F477" i="3" l="1"/>
  <c r="F475" i="3"/>
  <c r="F474" i="3"/>
  <c r="F479" i="3"/>
  <c r="F473" i="3"/>
  <c r="J4" i="6"/>
  <c r="J5" i="6"/>
  <c r="J6" i="6"/>
  <c r="J7" i="6"/>
  <c r="J8" i="6"/>
  <c r="J9" i="6"/>
  <c r="J10" i="6"/>
  <c r="J11" i="6"/>
  <c r="J12" i="6"/>
  <c r="J13" i="6"/>
  <c r="J3" i="6"/>
  <c r="F4" i="6"/>
  <c r="F5" i="6"/>
  <c r="F6" i="6"/>
  <c r="F7" i="6"/>
  <c r="F8" i="6"/>
  <c r="F9" i="6"/>
  <c r="F10" i="6"/>
  <c r="F11" i="6"/>
  <c r="F12" i="6"/>
  <c r="F13" i="6"/>
  <c r="F14" i="6"/>
  <c r="F3" i="6"/>
  <c r="E4" i="6"/>
  <c r="E5" i="6"/>
  <c r="E6" i="6"/>
  <c r="E7" i="6"/>
  <c r="E8" i="6"/>
  <c r="E9" i="6"/>
  <c r="E10" i="6"/>
  <c r="E11" i="6"/>
  <c r="E12" i="6"/>
  <c r="E13" i="6"/>
  <c r="E14" i="6"/>
  <c r="E3" i="6"/>
  <c r="H25" i="6"/>
  <c r="I25" i="6"/>
  <c r="J25" i="6"/>
  <c r="H26" i="6"/>
  <c r="I26" i="6"/>
  <c r="J26" i="6"/>
  <c r="H27" i="6"/>
  <c r="I27" i="6"/>
  <c r="J27" i="6"/>
  <c r="H28" i="6"/>
  <c r="I28" i="6"/>
  <c r="J28" i="6"/>
  <c r="H18" i="6"/>
  <c r="I18" i="6"/>
  <c r="J18" i="6"/>
  <c r="H19" i="6"/>
  <c r="I19" i="6"/>
  <c r="J19" i="6"/>
  <c r="H20" i="6"/>
  <c r="I20" i="6"/>
  <c r="J20" i="6"/>
  <c r="H21" i="6"/>
  <c r="I21" i="6"/>
  <c r="J21" i="6"/>
  <c r="H22" i="6"/>
  <c r="I22" i="6"/>
  <c r="J22" i="6"/>
  <c r="H23" i="6"/>
  <c r="I23" i="6"/>
  <c r="J23" i="6"/>
  <c r="H24" i="6"/>
  <c r="I24" i="6"/>
  <c r="J24" i="6"/>
  <c r="I17" i="6"/>
  <c r="J17" i="6"/>
  <c r="H17" i="6"/>
  <c r="E21" i="6"/>
  <c r="E22" i="6"/>
  <c r="E18" i="6"/>
  <c r="E19" i="6"/>
  <c r="E20" i="6"/>
  <c r="E17" i="6"/>
  <c r="E16" i="6"/>
  <c r="F482" i="3" l="1"/>
  <c r="F480" i="3"/>
  <c r="F481" i="3"/>
  <c r="F486" i="3"/>
  <c r="F478" i="3"/>
  <c r="E24" i="13"/>
  <c r="F24" i="13" s="1"/>
  <c r="E25" i="13"/>
  <c r="F25" i="13" s="1"/>
  <c r="E26" i="13"/>
  <c r="F26" i="13" s="1"/>
  <c r="E27" i="13"/>
  <c r="F27" i="13"/>
  <c r="E28" i="13"/>
  <c r="F28" i="13" s="1"/>
  <c r="E29" i="13"/>
  <c r="F29" i="13"/>
  <c r="E30" i="13"/>
  <c r="F30" i="13" s="1"/>
  <c r="E31" i="13"/>
  <c r="F31" i="13"/>
  <c r="E32" i="13"/>
  <c r="F32" i="13" s="1"/>
  <c r="B33" i="13"/>
  <c r="C33" i="13" s="1"/>
  <c r="B34" i="13"/>
  <c r="B35" i="13"/>
  <c r="B36" i="13"/>
  <c r="C36" i="13" s="1"/>
  <c r="B37" i="13"/>
  <c r="C37" i="13" s="1"/>
  <c r="B38" i="13"/>
  <c r="C38" i="13" s="1"/>
  <c r="B39" i="13"/>
  <c r="C39" i="13" s="1"/>
  <c r="B40" i="13"/>
  <c r="C40" i="13" s="1"/>
  <c r="B41" i="13"/>
  <c r="B42" i="13"/>
  <c r="B43" i="13"/>
  <c r="C43" i="13" s="1"/>
  <c r="B44" i="13"/>
  <c r="C44" i="13" s="1"/>
  <c r="B45" i="13"/>
  <c r="C45" i="13" s="1"/>
  <c r="B46" i="13"/>
  <c r="B47" i="13"/>
  <c r="C47" i="13" s="1"/>
  <c r="B48" i="13"/>
  <c r="C48" i="13" s="1"/>
  <c r="B49" i="13"/>
  <c r="C49" i="13" s="1"/>
  <c r="B50" i="13"/>
  <c r="C50" i="13" s="1"/>
  <c r="B51" i="13"/>
  <c r="B52" i="13"/>
  <c r="C52" i="13" s="1"/>
  <c r="B53" i="13"/>
  <c r="B54" i="13"/>
  <c r="B55" i="13"/>
  <c r="B56" i="13"/>
  <c r="C56" i="13" s="1"/>
  <c r="B57" i="13"/>
  <c r="C57" i="13" s="1"/>
  <c r="B58" i="13"/>
  <c r="B59" i="13"/>
  <c r="C59" i="13" s="1"/>
  <c r="B60" i="13"/>
  <c r="C60" i="13" s="1"/>
  <c r="B61" i="13"/>
  <c r="C61" i="13" s="1"/>
  <c r="B62" i="13"/>
  <c r="B63" i="13"/>
  <c r="C63" i="13" s="1"/>
  <c r="B64" i="13"/>
  <c r="C64" i="13" s="1"/>
  <c r="B65" i="13"/>
  <c r="C65" i="13" s="1"/>
  <c r="B66" i="13"/>
  <c r="B67" i="13"/>
  <c r="B68" i="13"/>
  <c r="C68" i="13" s="1"/>
  <c r="B69" i="13"/>
  <c r="B70" i="13"/>
  <c r="B71" i="13"/>
  <c r="C71" i="13" s="1"/>
  <c r="B72" i="13"/>
  <c r="C72" i="13" s="1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3" i="13"/>
  <c r="B4" i="13"/>
  <c r="C4" i="13" s="1"/>
  <c r="B5" i="13"/>
  <c r="C5" i="13" s="1"/>
  <c r="B6" i="13"/>
  <c r="C6" i="13" s="1"/>
  <c r="B7" i="13"/>
  <c r="C7" i="13" s="1"/>
  <c r="B8" i="13"/>
  <c r="B9" i="13"/>
  <c r="C9" i="13" s="1"/>
  <c r="B10" i="13"/>
  <c r="C10" i="13" s="1"/>
  <c r="B11" i="13"/>
  <c r="C11" i="13" s="1"/>
  <c r="B12" i="13"/>
  <c r="B13" i="13"/>
  <c r="B14" i="13"/>
  <c r="B15" i="13"/>
  <c r="C15" i="13" s="1"/>
  <c r="B16" i="13"/>
  <c r="B17" i="13"/>
  <c r="B18" i="13"/>
  <c r="C18" i="13" s="1"/>
  <c r="B19" i="13"/>
  <c r="C19" i="13" s="1"/>
  <c r="B20" i="13"/>
  <c r="B21" i="13"/>
  <c r="C21" i="13" s="1"/>
  <c r="B22" i="13"/>
  <c r="C22" i="13" s="1"/>
  <c r="B23" i="13"/>
  <c r="C23" i="13" s="1"/>
  <c r="B24" i="13"/>
  <c r="B25" i="13"/>
  <c r="B26" i="13"/>
  <c r="C26" i="13" s="1"/>
  <c r="B27" i="13"/>
  <c r="C27" i="13" s="1"/>
  <c r="B28" i="13"/>
  <c r="B29" i="13"/>
  <c r="C29" i="13" s="1"/>
  <c r="B30" i="13"/>
  <c r="B31" i="13"/>
  <c r="B32" i="13"/>
  <c r="B2" i="13"/>
  <c r="C2" i="13" s="1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41" i="13"/>
  <c r="C51" i="13"/>
  <c r="C53" i="13"/>
  <c r="C69" i="13"/>
  <c r="C3" i="13"/>
  <c r="C13" i="13"/>
  <c r="C14" i="13"/>
  <c r="F10" i="13"/>
  <c r="F14" i="13"/>
  <c r="E3" i="13"/>
  <c r="F3" i="13" s="1"/>
  <c r="E4" i="13"/>
  <c r="F4" i="13" s="1"/>
  <c r="E5" i="13"/>
  <c r="F5" i="13" s="1"/>
  <c r="E6" i="13"/>
  <c r="F6" i="13" s="1"/>
  <c r="E7" i="13"/>
  <c r="F7" i="13" s="1"/>
  <c r="E8" i="13"/>
  <c r="F8" i="13" s="1"/>
  <c r="E9" i="13"/>
  <c r="F9" i="13" s="1"/>
  <c r="E10" i="13"/>
  <c r="E11" i="13"/>
  <c r="F11" i="13" s="1"/>
  <c r="E12" i="13"/>
  <c r="F12" i="13" s="1"/>
  <c r="E13" i="13"/>
  <c r="F13" i="13" s="1"/>
  <c r="E14" i="13"/>
  <c r="E15" i="13"/>
  <c r="F15" i="13" s="1"/>
  <c r="E16" i="13"/>
  <c r="F16" i="13" s="1"/>
  <c r="E17" i="13"/>
  <c r="F17" i="13" s="1"/>
  <c r="E18" i="13"/>
  <c r="F18" i="13" s="1"/>
  <c r="E19" i="13"/>
  <c r="F19" i="13" s="1"/>
  <c r="E20" i="13"/>
  <c r="F20" i="13" s="1"/>
  <c r="E21" i="13"/>
  <c r="F21" i="13" s="1"/>
  <c r="E22" i="13"/>
  <c r="F22" i="13" s="1"/>
  <c r="E23" i="13"/>
  <c r="F23" i="13" s="1"/>
  <c r="E2" i="13"/>
  <c r="F2" i="13" s="1"/>
  <c r="F1" i="13"/>
  <c r="C66" i="13"/>
  <c r="C67" i="13"/>
  <c r="C70" i="13"/>
  <c r="C54" i="13"/>
  <c r="C55" i="13"/>
  <c r="C58" i="13"/>
  <c r="C62" i="13"/>
  <c r="C42" i="13"/>
  <c r="C46" i="13"/>
  <c r="C28" i="13"/>
  <c r="C30" i="13"/>
  <c r="C31" i="13"/>
  <c r="C32" i="13"/>
  <c r="C34" i="13"/>
  <c r="C35" i="13"/>
  <c r="C16" i="13"/>
  <c r="C17" i="13"/>
  <c r="C20" i="13"/>
  <c r="C24" i="13"/>
  <c r="C25" i="13"/>
  <c r="B1" i="13"/>
  <c r="C1" i="13" s="1"/>
  <c r="C8" i="13"/>
  <c r="C12" i="13"/>
  <c r="F487" i="3" l="1"/>
  <c r="F491" i="3"/>
  <c r="F483" i="3"/>
  <c r="F485" i="3"/>
  <c r="F484" i="3"/>
  <c r="F28" i="5"/>
  <c r="F29" i="5" s="1"/>
  <c r="F30" i="5" s="1"/>
  <c r="F31" i="5" s="1"/>
  <c r="F32" i="5" s="1"/>
  <c r="F33" i="5" s="1"/>
  <c r="F34" i="5" s="1"/>
  <c r="F35" i="5" s="1"/>
  <c r="F36" i="5" s="1"/>
  <c r="F37" i="5" s="1"/>
  <c r="F38" i="5" s="1"/>
  <c r="F39" i="5" s="1"/>
  <c r="F40" i="5" s="1"/>
  <c r="F41" i="5" s="1"/>
  <c r="F42" i="5" s="1"/>
  <c r="F43" i="5" s="1"/>
  <c r="F44" i="5" s="1"/>
  <c r="F45" i="5" s="1"/>
  <c r="F46" i="5" s="1"/>
  <c r="F47" i="5" s="1"/>
  <c r="F48" i="5" s="1"/>
  <c r="F49" i="5" s="1"/>
  <c r="F50" i="5" s="1"/>
  <c r="F51" i="5" s="1"/>
  <c r="F52" i="5" s="1"/>
  <c r="F53" i="5" s="1"/>
  <c r="G10" i="5"/>
  <c r="L4" i="5"/>
  <c r="L5" i="5"/>
  <c r="L6" i="5"/>
  <c r="L7" i="5"/>
  <c r="L8" i="5"/>
  <c r="L9" i="5"/>
  <c r="G9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2" i="5"/>
  <c r="F492" i="3" l="1"/>
  <c r="F490" i="3"/>
  <c r="F495" i="3"/>
  <c r="F497" i="3"/>
  <c r="F488" i="3"/>
  <c r="F489" i="3"/>
  <c r="C398" i="3"/>
  <c r="B398" i="3"/>
  <c r="C397" i="3"/>
  <c r="B397" i="3"/>
  <c r="C396" i="3"/>
  <c r="B396" i="3"/>
  <c r="C395" i="3"/>
  <c r="B395" i="3"/>
  <c r="C394" i="3"/>
  <c r="B394" i="3"/>
  <c r="C393" i="3"/>
  <c r="B393" i="3"/>
  <c r="C392" i="3"/>
  <c r="B392" i="3"/>
  <c r="C391" i="3"/>
  <c r="B391" i="3"/>
  <c r="C390" i="3"/>
  <c r="B390" i="3"/>
  <c r="C389" i="3"/>
  <c r="B389" i="3"/>
  <c r="C388" i="3"/>
  <c r="B388" i="3"/>
  <c r="C387" i="3"/>
  <c r="B387" i="3"/>
  <c r="C386" i="3"/>
  <c r="B386" i="3"/>
  <c r="C385" i="3"/>
  <c r="B385" i="3"/>
  <c r="C384" i="3"/>
  <c r="B384" i="3"/>
  <c r="C383" i="3"/>
  <c r="B383" i="3"/>
  <c r="C382" i="3"/>
  <c r="B382" i="3"/>
  <c r="C381" i="3"/>
  <c r="B381" i="3"/>
  <c r="C380" i="3"/>
  <c r="B380" i="3"/>
  <c r="C379" i="3"/>
  <c r="B379" i="3"/>
  <c r="C378" i="3"/>
  <c r="B378" i="3"/>
  <c r="C377" i="3"/>
  <c r="B377" i="3"/>
  <c r="C376" i="3"/>
  <c r="B376" i="3"/>
  <c r="C375" i="3"/>
  <c r="B375" i="3"/>
  <c r="C374" i="3"/>
  <c r="B374" i="3"/>
  <c r="C373" i="3"/>
  <c r="B373" i="3"/>
  <c r="C372" i="3"/>
  <c r="B372" i="3"/>
  <c r="C371" i="3"/>
  <c r="B371" i="3"/>
  <c r="C370" i="3"/>
  <c r="B370" i="3"/>
  <c r="C369" i="3"/>
  <c r="B369" i="3"/>
  <c r="C368" i="3"/>
  <c r="B368" i="3"/>
  <c r="C367" i="3"/>
  <c r="B367" i="3"/>
  <c r="C366" i="3"/>
  <c r="B366" i="3"/>
  <c r="C365" i="3"/>
  <c r="B365" i="3"/>
  <c r="C364" i="3"/>
  <c r="B364" i="3"/>
  <c r="C363" i="3"/>
  <c r="B363" i="3"/>
  <c r="C362" i="3"/>
  <c r="B362" i="3"/>
  <c r="F493" i="3" l="1"/>
  <c r="F494" i="3"/>
  <c r="F496" i="3"/>
  <c r="F499" i="3"/>
  <c r="D405" i="3"/>
  <c r="E405" i="3"/>
  <c r="E404" i="3"/>
  <c r="D404" i="3"/>
  <c r="D400" i="3"/>
  <c r="D401" i="3"/>
  <c r="E402" i="3"/>
  <c r="E401" i="3"/>
  <c r="D403" i="3"/>
  <c r="E403" i="3"/>
  <c r="E400" i="3"/>
  <c r="D402" i="3"/>
  <c r="D397" i="3"/>
  <c r="E395" i="3"/>
  <c r="E399" i="3"/>
  <c r="D394" i="3"/>
  <c r="D395" i="3"/>
  <c r="D399" i="3"/>
  <c r="E397" i="3"/>
  <c r="D396" i="3"/>
  <c r="E394" i="3"/>
  <c r="E398" i="3"/>
  <c r="D398" i="3"/>
  <c r="E396" i="3"/>
  <c r="E370" i="3"/>
  <c r="D370" i="3"/>
  <c r="E372" i="3"/>
  <c r="D372" i="3"/>
  <c r="D374" i="3"/>
  <c r="E374" i="3"/>
  <c r="E376" i="3"/>
  <c r="D376" i="3"/>
  <c r="E378" i="3"/>
  <c r="D378" i="3"/>
  <c r="D380" i="3"/>
  <c r="E380" i="3"/>
  <c r="E382" i="3"/>
  <c r="D382" i="3"/>
  <c r="E384" i="3"/>
  <c r="D384" i="3"/>
  <c r="E386" i="3"/>
  <c r="D386" i="3"/>
  <c r="E388" i="3"/>
  <c r="D388" i="3"/>
  <c r="D390" i="3"/>
  <c r="E390" i="3"/>
  <c r="E392" i="3"/>
  <c r="D392" i="3"/>
  <c r="D369" i="3"/>
  <c r="E369" i="3"/>
  <c r="D371" i="3"/>
  <c r="E371" i="3"/>
  <c r="E373" i="3"/>
  <c r="D373" i="3"/>
  <c r="D375" i="3"/>
  <c r="E375" i="3"/>
  <c r="E377" i="3"/>
  <c r="D377" i="3"/>
  <c r="D379" i="3"/>
  <c r="E379" i="3"/>
  <c r="E381" i="3"/>
  <c r="D381" i="3"/>
  <c r="D383" i="3"/>
  <c r="E383" i="3"/>
  <c r="D385" i="3"/>
  <c r="E385" i="3"/>
  <c r="D387" i="3"/>
  <c r="E387" i="3"/>
  <c r="E389" i="3"/>
  <c r="D389" i="3"/>
  <c r="D391" i="3"/>
  <c r="E391" i="3"/>
  <c r="E393" i="3"/>
  <c r="D393" i="3"/>
  <c r="H1" i="10"/>
  <c r="O1" i="10" s="1"/>
  <c r="D1" i="10"/>
  <c r="L9" i="10"/>
  <c r="L8" i="10"/>
  <c r="L7" i="10"/>
  <c r="L6" i="10"/>
  <c r="L5" i="10"/>
  <c r="L4" i="10"/>
  <c r="L3" i="10"/>
  <c r="L2" i="10"/>
  <c r="G2" i="10" s="1"/>
  <c r="H2" i="10" s="1"/>
  <c r="F500" i="3" l="1"/>
  <c r="F502" i="3"/>
  <c r="F501" i="3"/>
  <c r="T511" i="9"/>
  <c r="T516" i="9" s="1"/>
  <c r="F498" i="3"/>
  <c r="M5" i="10"/>
  <c r="N5" i="10" s="1"/>
  <c r="M7" i="10"/>
  <c r="N7" i="10" s="1"/>
  <c r="M9" i="10"/>
  <c r="N9" i="10" s="1"/>
  <c r="M8" i="10"/>
  <c r="N8" i="10" s="1"/>
  <c r="M4" i="10"/>
  <c r="N4" i="10" s="1"/>
  <c r="M3" i="10"/>
  <c r="N3" i="10" s="1"/>
  <c r="M6" i="10"/>
  <c r="N6" i="10" s="1"/>
  <c r="F507" i="3" l="1"/>
  <c r="F506" i="3"/>
  <c r="F505" i="3"/>
  <c r="F504" i="3"/>
  <c r="F512" i="3"/>
  <c r="F503" i="3"/>
  <c r="C1" i="10"/>
  <c r="E1" i="10" s="1"/>
  <c r="C3" i="10"/>
  <c r="C4" i="10"/>
  <c r="C5" i="10"/>
  <c r="C6" i="10"/>
  <c r="C7" i="10"/>
  <c r="C8" i="10"/>
  <c r="D8" i="10" s="1"/>
  <c r="E8" i="10" s="1"/>
  <c r="C9" i="10"/>
  <c r="C10" i="10"/>
  <c r="C11" i="10"/>
  <c r="C12" i="10"/>
  <c r="D12" i="10" s="1"/>
  <c r="E12" i="10" s="1"/>
  <c r="C13" i="10"/>
  <c r="D13" i="10" s="1"/>
  <c r="E13" i="10" s="1"/>
  <c r="C14" i="10"/>
  <c r="C15" i="10"/>
  <c r="C16" i="10"/>
  <c r="D16" i="10" s="1"/>
  <c r="E16" i="10" s="1"/>
  <c r="C17" i="10"/>
  <c r="D17" i="10" s="1"/>
  <c r="E17" i="10" s="1"/>
  <c r="C18" i="10"/>
  <c r="C19" i="10"/>
  <c r="C20" i="10"/>
  <c r="D20" i="10" s="1"/>
  <c r="E20" i="10" s="1"/>
  <c r="C21" i="10"/>
  <c r="D21" i="10" s="1"/>
  <c r="E21" i="10" s="1"/>
  <c r="C22" i="10"/>
  <c r="C23" i="10"/>
  <c r="C24" i="10"/>
  <c r="D24" i="10" s="1"/>
  <c r="E24" i="10" s="1"/>
  <c r="C25" i="10"/>
  <c r="D25" i="10" s="1"/>
  <c r="E25" i="10" s="1"/>
  <c r="C26" i="10"/>
  <c r="C2" i="10"/>
  <c r="F2" i="10" s="1"/>
  <c r="F511" i="3" l="1"/>
  <c r="D26" i="10"/>
  <c r="E26" i="10" s="1"/>
  <c r="D22" i="10"/>
  <c r="E22" i="10" s="1"/>
  <c r="D18" i="10"/>
  <c r="E18" i="10" s="1"/>
  <c r="D14" i="10"/>
  <c r="E14" i="10" s="1"/>
  <c r="D10" i="10"/>
  <c r="E10" i="10" s="1"/>
  <c r="D6" i="10"/>
  <c r="E6" i="10" s="1"/>
  <c r="F510" i="3"/>
  <c r="F509" i="3"/>
  <c r="F508" i="3"/>
  <c r="D9" i="10"/>
  <c r="E9" i="10" s="1"/>
  <c r="D5" i="10"/>
  <c r="E5" i="10" s="1"/>
  <c r="D4" i="10"/>
  <c r="E4" i="10" s="1"/>
  <c r="D3" i="10"/>
  <c r="E3" i="10" s="1"/>
  <c r="G3" i="10"/>
  <c r="F3" i="10" s="1"/>
  <c r="D23" i="10"/>
  <c r="E23" i="10" s="1"/>
  <c r="D19" i="10"/>
  <c r="E19" i="10" s="1"/>
  <c r="D15" i="10"/>
  <c r="E15" i="10" s="1"/>
  <c r="D11" i="10"/>
  <c r="E11" i="10" s="1"/>
  <c r="D7" i="10"/>
  <c r="E7" i="10" s="1"/>
  <c r="C361" i="3"/>
  <c r="B361" i="3"/>
  <c r="C360" i="3"/>
  <c r="B360" i="3"/>
  <c r="C359" i="3"/>
  <c r="B359" i="3"/>
  <c r="C358" i="3"/>
  <c r="B358" i="3"/>
  <c r="C357" i="3"/>
  <c r="B357" i="3"/>
  <c r="C356" i="3"/>
  <c r="B356" i="3"/>
  <c r="C355" i="3"/>
  <c r="B355" i="3"/>
  <c r="C354" i="3"/>
  <c r="B354" i="3"/>
  <c r="C353" i="3"/>
  <c r="B353" i="3"/>
  <c r="C352" i="3"/>
  <c r="B352" i="3"/>
  <c r="C351" i="3"/>
  <c r="B351" i="3"/>
  <c r="C350" i="3"/>
  <c r="B350" i="3"/>
  <c r="C349" i="3"/>
  <c r="B349" i="3"/>
  <c r="C348" i="3"/>
  <c r="B348" i="3"/>
  <c r="C347" i="3"/>
  <c r="B347" i="3"/>
  <c r="C346" i="3"/>
  <c r="B346" i="3"/>
  <c r="C345" i="3"/>
  <c r="B345" i="3"/>
  <c r="C344" i="3"/>
  <c r="B344" i="3"/>
  <c r="C343" i="3"/>
  <c r="B343" i="3"/>
  <c r="C342" i="3"/>
  <c r="B342" i="3"/>
  <c r="C341" i="3"/>
  <c r="B341" i="3"/>
  <c r="C340" i="3"/>
  <c r="B340" i="3"/>
  <c r="C339" i="3"/>
  <c r="B339" i="3"/>
  <c r="C338" i="3"/>
  <c r="B338" i="3"/>
  <c r="C337" i="3"/>
  <c r="B337" i="3"/>
  <c r="C336" i="3"/>
  <c r="B336" i="3"/>
  <c r="C335" i="3"/>
  <c r="B335" i="3"/>
  <c r="C334" i="3"/>
  <c r="B334" i="3"/>
  <c r="C333" i="3"/>
  <c r="B333" i="3"/>
  <c r="C332" i="3"/>
  <c r="B332" i="3"/>
  <c r="C331" i="3"/>
  <c r="B331" i="3"/>
  <c r="C330" i="3"/>
  <c r="B330" i="3"/>
  <c r="C329" i="3"/>
  <c r="B329" i="3"/>
  <c r="C328" i="3"/>
  <c r="B328" i="3"/>
  <c r="C327" i="3"/>
  <c r="B327" i="3"/>
  <c r="C326" i="3"/>
  <c r="B326" i="3"/>
  <c r="C325" i="3"/>
  <c r="B325" i="3"/>
  <c r="C324" i="3"/>
  <c r="B324" i="3"/>
  <c r="C323" i="3"/>
  <c r="B323" i="3"/>
  <c r="C322" i="3"/>
  <c r="B322" i="3"/>
  <c r="C321" i="3"/>
  <c r="B321" i="3"/>
  <c r="C320" i="3"/>
  <c r="B320" i="3"/>
  <c r="C319" i="3"/>
  <c r="B319" i="3"/>
  <c r="C318" i="3"/>
  <c r="B318" i="3"/>
  <c r="C317" i="3"/>
  <c r="B317" i="3"/>
  <c r="C316" i="3"/>
  <c r="B316" i="3"/>
  <c r="C315" i="3"/>
  <c r="B315" i="3"/>
  <c r="C314" i="3"/>
  <c r="B314" i="3"/>
  <c r="C313" i="3"/>
  <c r="B313" i="3"/>
  <c r="C312" i="3"/>
  <c r="B312" i="3"/>
  <c r="C311" i="3"/>
  <c r="B311" i="3"/>
  <c r="C310" i="3"/>
  <c r="B310" i="3"/>
  <c r="C309" i="3"/>
  <c r="B309" i="3"/>
  <c r="C308" i="3"/>
  <c r="B308" i="3"/>
  <c r="C307" i="3"/>
  <c r="B307" i="3"/>
  <c r="C306" i="3"/>
  <c r="B306" i="3"/>
  <c r="C305" i="3"/>
  <c r="B305" i="3"/>
  <c r="C304" i="3"/>
  <c r="B304" i="3"/>
  <c r="C303" i="3"/>
  <c r="B303" i="3"/>
  <c r="C302" i="3"/>
  <c r="B302" i="3"/>
  <c r="C301" i="3"/>
  <c r="B301" i="3"/>
  <c r="C300" i="3"/>
  <c r="B300" i="3"/>
  <c r="C299" i="3"/>
  <c r="B299" i="3"/>
  <c r="C298" i="3"/>
  <c r="B298" i="3"/>
  <c r="C297" i="3"/>
  <c r="B297" i="3"/>
  <c r="C296" i="3"/>
  <c r="B296" i="3"/>
  <c r="C295" i="3"/>
  <c r="B295" i="3"/>
  <c r="C294" i="3"/>
  <c r="B294" i="3"/>
  <c r="C293" i="3"/>
  <c r="B293" i="3"/>
  <c r="C292" i="3"/>
  <c r="B292" i="3"/>
  <c r="C291" i="3"/>
  <c r="B291" i="3"/>
  <c r="C290" i="3"/>
  <c r="B290" i="3"/>
  <c r="C289" i="3"/>
  <c r="B289" i="3"/>
  <c r="C288" i="3"/>
  <c r="B288" i="3"/>
  <c r="C287" i="3"/>
  <c r="B287" i="3"/>
  <c r="C286" i="3"/>
  <c r="B286" i="3"/>
  <c r="C285" i="3"/>
  <c r="B285" i="3"/>
  <c r="C284" i="3"/>
  <c r="B284" i="3"/>
  <c r="C283" i="3"/>
  <c r="B283" i="3"/>
  <c r="C282" i="3"/>
  <c r="B282" i="3"/>
  <c r="C281" i="3"/>
  <c r="B281" i="3"/>
  <c r="C280" i="3"/>
  <c r="B280" i="3"/>
  <c r="C279" i="3"/>
  <c r="B279" i="3"/>
  <c r="C278" i="3"/>
  <c r="B278" i="3"/>
  <c r="C277" i="3"/>
  <c r="B277" i="3"/>
  <c r="C276" i="3"/>
  <c r="B276" i="3"/>
  <c r="C275" i="3"/>
  <c r="B275" i="3"/>
  <c r="C274" i="3"/>
  <c r="B274" i="3"/>
  <c r="C273" i="3"/>
  <c r="B273" i="3"/>
  <c r="C272" i="3"/>
  <c r="B272" i="3"/>
  <c r="C271" i="3"/>
  <c r="B271" i="3"/>
  <c r="C270" i="3"/>
  <c r="B270" i="3"/>
  <c r="C269" i="3"/>
  <c r="B269" i="3"/>
  <c r="C268" i="3"/>
  <c r="B268" i="3"/>
  <c r="C267" i="3"/>
  <c r="B267" i="3"/>
  <c r="C266" i="3"/>
  <c r="B266" i="3"/>
  <c r="C265" i="3"/>
  <c r="B265" i="3"/>
  <c r="C264" i="3"/>
  <c r="B264" i="3"/>
  <c r="C263" i="3"/>
  <c r="B263" i="3"/>
  <c r="C262" i="3"/>
  <c r="B262" i="3"/>
  <c r="C261" i="3"/>
  <c r="B261" i="3"/>
  <c r="C260" i="3"/>
  <c r="B260" i="3"/>
  <c r="C259" i="3"/>
  <c r="B259" i="3"/>
  <c r="C258" i="3"/>
  <c r="B258" i="3"/>
  <c r="C257" i="3"/>
  <c r="B257" i="3"/>
  <c r="C256" i="3"/>
  <c r="B256" i="3"/>
  <c r="C255" i="3"/>
  <c r="B255" i="3"/>
  <c r="C254" i="3"/>
  <c r="B254" i="3"/>
  <c r="C253" i="3"/>
  <c r="B253" i="3"/>
  <c r="C252" i="3"/>
  <c r="B252" i="3"/>
  <c r="C251" i="3"/>
  <c r="B251" i="3"/>
  <c r="C250" i="3"/>
  <c r="B250" i="3"/>
  <c r="C249" i="3"/>
  <c r="B249" i="3"/>
  <c r="C248" i="3"/>
  <c r="B248" i="3"/>
  <c r="C247" i="3"/>
  <c r="B247" i="3"/>
  <c r="C246" i="3"/>
  <c r="B246" i="3"/>
  <c r="C245" i="3"/>
  <c r="B245" i="3"/>
  <c r="C244" i="3"/>
  <c r="B244" i="3"/>
  <c r="C243" i="3"/>
  <c r="B243" i="3"/>
  <c r="C242" i="3"/>
  <c r="B242" i="3"/>
  <c r="C241" i="3"/>
  <c r="B241" i="3"/>
  <c r="C240" i="3"/>
  <c r="B240" i="3"/>
  <c r="C239" i="3"/>
  <c r="B239" i="3"/>
  <c r="C238" i="3"/>
  <c r="B238" i="3"/>
  <c r="C237" i="3"/>
  <c r="B237" i="3"/>
  <c r="C236" i="3"/>
  <c r="B236" i="3"/>
  <c r="C235" i="3"/>
  <c r="B235" i="3"/>
  <c r="C234" i="3"/>
  <c r="B234" i="3"/>
  <c r="C233" i="3"/>
  <c r="B233" i="3"/>
  <c r="C232" i="3"/>
  <c r="B232" i="3"/>
  <c r="C231" i="3"/>
  <c r="B231" i="3"/>
  <c r="C230" i="3"/>
  <c r="B230" i="3"/>
  <c r="C229" i="3"/>
  <c r="B229" i="3"/>
  <c r="C228" i="3"/>
  <c r="B228" i="3"/>
  <c r="C227" i="3"/>
  <c r="B227" i="3"/>
  <c r="C226" i="3"/>
  <c r="B226" i="3"/>
  <c r="C225" i="3"/>
  <c r="B225" i="3"/>
  <c r="C224" i="3"/>
  <c r="B224" i="3"/>
  <c r="C223" i="3"/>
  <c r="B223" i="3"/>
  <c r="C222" i="3"/>
  <c r="B222" i="3"/>
  <c r="C221" i="3"/>
  <c r="B221" i="3"/>
  <c r="C220" i="3"/>
  <c r="B220" i="3"/>
  <c r="C219" i="3"/>
  <c r="B219" i="3"/>
  <c r="C218" i="3"/>
  <c r="B218" i="3"/>
  <c r="C217" i="3"/>
  <c r="B217" i="3"/>
  <c r="C216" i="3"/>
  <c r="B216" i="3"/>
  <c r="C215" i="3"/>
  <c r="B215" i="3"/>
  <c r="C214" i="3"/>
  <c r="B214" i="3"/>
  <c r="C213" i="3"/>
  <c r="B213" i="3"/>
  <c r="C212" i="3"/>
  <c r="B212" i="3"/>
  <c r="C211" i="3"/>
  <c r="B211" i="3"/>
  <c r="C210" i="3"/>
  <c r="B210" i="3"/>
  <c r="C209" i="3"/>
  <c r="B209" i="3"/>
  <c r="C208" i="3"/>
  <c r="B208" i="3"/>
  <c r="C207" i="3"/>
  <c r="B207" i="3"/>
  <c r="C206" i="3"/>
  <c r="B206" i="3"/>
  <c r="C205" i="3"/>
  <c r="B205" i="3"/>
  <c r="C204" i="3"/>
  <c r="B204" i="3"/>
  <c r="C203" i="3"/>
  <c r="B203" i="3"/>
  <c r="C202" i="3"/>
  <c r="B202" i="3"/>
  <c r="C201" i="3"/>
  <c r="B201" i="3"/>
  <c r="C200" i="3"/>
  <c r="B200" i="3"/>
  <c r="C199" i="3"/>
  <c r="B199" i="3"/>
  <c r="C198" i="3"/>
  <c r="B198" i="3"/>
  <c r="C197" i="3"/>
  <c r="B197" i="3"/>
  <c r="C196" i="3"/>
  <c r="B196" i="3"/>
  <c r="C195" i="3"/>
  <c r="B195" i="3"/>
  <c r="C194" i="3"/>
  <c r="B194" i="3"/>
  <c r="C193" i="3"/>
  <c r="B193" i="3"/>
  <c r="C192" i="3"/>
  <c r="B192" i="3"/>
  <c r="C191" i="3"/>
  <c r="B191" i="3"/>
  <c r="C190" i="3"/>
  <c r="B190" i="3"/>
  <c r="C189" i="3"/>
  <c r="B189" i="3"/>
  <c r="C188" i="3"/>
  <c r="B188" i="3"/>
  <c r="C187" i="3"/>
  <c r="B187" i="3"/>
  <c r="C186" i="3"/>
  <c r="B186" i="3"/>
  <c r="C185" i="3"/>
  <c r="B185" i="3"/>
  <c r="C184" i="3"/>
  <c r="B184" i="3"/>
  <c r="C183" i="3"/>
  <c r="B183" i="3"/>
  <c r="C182" i="3"/>
  <c r="B182" i="3"/>
  <c r="C181" i="3"/>
  <c r="B181" i="3"/>
  <c r="C180" i="3"/>
  <c r="B180" i="3"/>
  <c r="C179" i="3"/>
  <c r="B179" i="3"/>
  <c r="C178" i="3"/>
  <c r="B178" i="3"/>
  <c r="C177" i="3"/>
  <c r="B177" i="3"/>
  <c r="C176" i="3"/>
  <c r="B176" i="3"/>
  <c r="C175" i="3"/>
  <c r="B175" i="3"/>
  <c r="C174" i="3"/>
  <c r="B174" i="3"/>
  <c r="C173" i="3"/>
  <c r="B173" i="3"/>
  <c r="C172" i="3"/>
  <c r="B172" i="3"/>
  <c r="C171" i="3"/>
  <c r="B171" i="3"/>
  <c r="C170" i="3"/>
  <c r="B170" i="3"/>
  <c r="C169" i="3"/>
  <c r="B169" i="3"/>
  <c r="C168" i="3"/>
  <c r="B168" i="3"/>
  <c r="C167" i="3"/>
  <c r="B167" i="3"/>
  <c r="C166" i="3"/>
  <c r="B166" i="3"/>
  <c r="C165" i="3"/>
  <c r="B165" i="3"/>
  <c r="C164" i="3"/>
  <c r="B164" i="3"/>
  <c r="C163" i="3"/>
  <c r="B163" i="3"/>
  <c r="C162" i="3"/>
  <c r="B162" i="3"/>
  <c r="C161" i="3"/>
  <c r="B161" i="3"/>
  <c r="C160" i="3"/>
  <c r="B160" i="3"/>
  <c r="C159" i="3"/>
  <c r="B159" i="3"/>
  <c r="C158" i="3"/>
  <c r="B158" i="3"/>
  <c r="C157" i="3"/>
  <c r="B157" i="3"/>
  <c r="C156" i="3"/>
  <c r="B156" i="3"/>
  <c r="C155" i="3"/>
  <c r="B155" i="3"/>
  <c r="C154" i="3"/>
  <c r="B154" i="3"/>
  <c r="C153" i="3"/>
  <c r="B153" i="3"/>
  <c r="C152" i="3"/>
  <c r="B152" i="3"/>
  <c r="C151" i="3"/>
  <c r="B151" i="3"/>
  <c r="C150" i="3"/>
  <c r="B150" i="3"/>
  <c r="C149" i="3"/>
  <c r="B149" i="3"/>
  <c r="C148" i="3"/>
  <c r="B148" i="3"/>
  <c r="C147" i="3"/>
  <c r="B147" i="3"/>
  <c r="C146" i="3"/>
  <c r="B146" i="3"/>
  <c r="C145" i="3"/>
  <c r="B145" i="3"/>
  <c r="C144" i="3"/>
  <c r="B144" i="3"/>
  <c r="C143" i="3"/>
  <c r="B143" i="3"/>
  <c r="C142" i="3"/>
  <c r="B142" i="3"/>
  <c r="C141" i="3"/>
  <c r="B141" i="3"/>
  <c r="C140" i="3"/>
  <c r="B140" i="3"/>
  <c r="C139" i="3"/>
  <c r="B139" i="3"/>
  <c r="C138" i="3"/>
  <c r="B138" i="3"/>
  <c r="C137" i="3"/>
  <c r="B137" i="3"/>
  <c r="C136" i="3"/>
  <c r="B136" i="3"/>
  <c r="C135" i="3"/>
  <c r="B135" i="3"/>
  <c r="C134" i="3"/>
  <c r="B134" i="3"/>
  <c r="C133" i="3"/>
  <c r="B133" i="3"/>
  <c r="C132" i="3"/>
  <c r="B132" i="3"/>
  <c r="C131" i="3"/>
  <c r="B131" i="3"/>
  <c r="C130" i="3"/>
  <c r="B130" i="3"/>
  <c r="C129" i="3"/>
  <c r="B129" i="3"/>
  <c r="C128" i="3"/>
  <c r="B128" i="3"/>
  <c r="C127" i="3"/>
  <c r="B127" i="3"/>
  <c r="C126" i="3"/>
  <c r="B126" i="3"/>
  <c r="C125" i="3"/>
  <c r="B125" i="3"/>
  <c r="C124" i="3"/>
  <c r="B124" i="3"/>
  <c r="C123" i="3"/>
  <c r="B123" i="3"/>
  <c r="C122" i="3"/>
  <c r="B122" i="3"/>
  <c r="C121" i="3"/>
  <c r="B121" i="3"/>
  <c r="C120" i="3"/>
  <c r="B120" i="3"/>
  <c r="C119" i="3"/>
  <c r="B119" i="3"/>
  <c r="C118" i="3"/>
  <c r="B118" i="3"/>
  <c r="C117" i="3"/>
  <c r="B117" i="3"/>
  <c r="C116" i="3"/>
  <c r="B116" i="3"/>
  <c r="C115" i="3"/>
  <c r="B115" i="3"/>
  <c r="C114" i="3"/>
  <c r="B114" i="3"/>
  <c r="C113" i="3"/>
  <c r="B113" i="3"/>
  <c r="C112" i="3"/>
  <c r="B112" i="3"/>
  <c r="C111" i="3"/>
  <c r="B111" i="3"/>
  <c r="C110" i="3"/>
  <c r="B110" i="3"/>
  <c r="C109" i="3"/>
  <c r="B109" i="3"/>
  <c r="C108" i="3"/>
  <c r="B108" i="3"/>
  <c r="C107" i="3"/>
  <c r="B107" i="3"/>
  <c r="C106" i="3"/>
  <c r="B106" i="3"/>
  <c r="C105" i="3"/>
  <c r="B105" i="3"/>
  <c r="C104" i="3"/>
  <c r="B104" i="3"/>
  <c r="C103" i="3"/>
  <c r="B103" i="3"/>
  <c r="C102" i="3"/>
  <c r="B102" i="3"/>
  <c r="C101" i="3"/>
  <c r="B101" i="3"/>
  <c r="C100" i="3"/>
  <c r="B100" i="3"/>
  <c r="C99" i="3"/>
  <c r="B99" i="3"/>
  <c r="C98" i="3"/>
  <c r="B98" i="3"/>
  <c r="C97" i="3"/>
  <c r="B97" i="3"/>
  <c r="C96" i="3"/>
  <c r="B96" i="3"/>
  <c r="C95" i="3"/>
  <c r="B95" i="3"/>
  <c r="C94" i="3"/>
  <c r="B94" i="3"/>
  <c r="C93" i="3"/>
  <c r="B93" i="3"/>
  <c r="C92" i="3"/>
  <c r="B92" i="3"/>
  <c r="C91" i="3"/>
  <c r="B91" i="3"/>
  <c r="C90" i="3"/>
  <c r="B90" i="3"/>
  <c r="C89" i="3"/>
  <c r="B89" i="3"/>
  <c r="C88" i="3"/>
  <c r="B88" i="3"/>
  <c r="C87" i="3"/>
  <c r="B87" i="3"/>
  <c r="C86" i="3"/>
  <c r="B86" i="3"/>
  <c r="C85" i="3"/>
  <c r="B85" i="3"/>
  <c r="C84" i="3"/>
  <c r="B84" i="3"/>
  <c r="C83" i="3"/>
  <c r="B83" i="3"/>
  <c r="C82" i="3"/>
  <c r="B82" i="3"/>
  <c r="C81" i="3"/>
  <c r="B81" i="3"/>
  <c r="C80" i="3"/>
  <c r="B80" i="3"/>
  <c r="C79" i="3"/>
  <c r="B79" i="3"/>
  <c r="C78" i="3"/>
  <c r="B78" i="3"/>
  <c r="C77" i="3"/>
  <c r="B77" i="3"/>
  <c r="C76" i="3"/>
  <c r="B76" i="3"/>
  <c r="C75" i="3"/>
  <c r="B75" i="3"/>
  <c r="C74" i="3"/>
  <c r="B74" i="3"/>
  <c r="C73" i="3"/>
  <c r="B73" i="3"/>
  <c r="C72" i="3"/>
  <c r="B72" i="3"/>
  <c r="C71" i="3"/>
  <c r="B71" i="3"/>
  <c r="C70" i="3"/>
  <c r="B70" i="3"/>
  <c r="C69" i="3"/>
  <c r="B69" i="3"/>
  <c r="C68" i="3"/>
  <c r="B68" i="3"/>
  <c r="C67" i="3"/>
  <c r="B67" i="3"/>
  <c r="C66" i="3"/>
  <c r="B66" i="3"/>
  <c r="C65" i="3"/>
  <c r="B65" i="3"/>
  <c r="C64" i="3"/>
  <c r="B64" i="3"/>
  <c r="C63" i="3"/>
  <c r="B63" i="3"/>
  <c r="C62" i="3"/>
  <c r="B62" i="3"/>
  <c r="C61" i="3"/>
  <c r="B61" i="3"/>
  <c r="C60" i="3"/>
  <c r="B60" i="3"/>
  <c r="C59" i="3"/>
  <c r="B59" i="3"/>
  <c r="C58" i="3"/>
  <c r="B58" i="3"/>
  <c r="C57" i="3"/>
  <c r="B57" i="3"/>
  <c r="C56" i="3"/>
  <c r="B56" i="3"/>
  <c r="C55" i="3"/>
  <c r="B55" i="3"/>
  <c r="C54" i="3"/>
  <c r="B54" i="3"/>
  <c r="C53" i="3"/>
  <c r="B53" i="3"/>
  <c r="C52" i="3"/>
  <c r="B52" i="3"/>
  <c r="C51" i="3"/>
  <c r="B51" i="3"/>
  <c r="C50" i="3"/>
  <c r="B50" i="3"/>
  <c r="C49" i="3"/>
  <c r="B49" i="3"/>
  <c r="C48" i="3"/>
  <c r="B48" i="3"/>
  <c r="C47" i="3"/>
  <c r="B47" i="3"/>
  <c r="C46" i="3"/>
  <c r="B46" i="3"/>
  <c r="C45" i="3"/>
  <c r="B45" i="3"/>
  <c r="C44" i="3"/>
  <c r="B44" i="3"/>
  <c r="C43" i="3"/>
  <c r="B43" i="3"/>
  <c r="C42" i="3"/>
  <c r="B42" i="3"/>
  <c r="C41" i="3"/>
  <c r="B41" i="3"/>
  <c r="C40" i="3"/>
  <c r="B40" i="3"/>
  <c r="C39" i="3"/>
  <c r="B39" i="3"/>
  <c r="C38" i="3"/>
  <c r="B38" i="3"/>
  <c r="C37" i="3"/>
  <c r="B37" i="3"/>
  <c r="C36" i="3"/>
  <c r="B36" i="3"/>
  <c r="C35" i="3"/>
  <c r="B35" i="3"/>
  <c r="C34" i="3"/>
  <c r="B34" i="3"/>
  <c r="C33" i="3"/>
  <c r="B33" i="3"/>
  <c r="C32" i="3"/>
  <c r="B32" i="3"/>
  <c r="C31" i="3"/>
  <c r="B31" i="3"/>
  <c r="C30" i="3"/>
  <c r="B30" i="3"/>
  <c r="C29" i="3"/>
  <c r="B29" i="3"/>
  <c r="C28" i="3"/>
  <c r="B28" i="3"/>
  <c r="C27" i="3"/>
  <c r="B27" i="3"/>
  <c r="C26" i="3"/>
  <c r="B26" i="3"/>
  <c r="C25" i="3"/>
  <c r="B25" i="3"/>
  <c r="C24" i="3"/>
  <c r="B24" i="3"/>
  <c r="C23" i="3"/>
  <c r="B23" i="3"/>
  <c r="C22" i="3"/>
  <c r="B22" i="3"/>
  <c r="C21" i="3"/>
  <c r="B21" i="3"/>
  <c r="C20" i="3"/>
  <c r="B20" i="3"/>
  <c r="C19" i="3"/>
  <c r="B19" i="3"/>
  <c r="C18" i="3"/>
  <c r="B18" i="3"/>
  <c r="C17" i="3"/>
  <c r="B17" i="3"/>
  <c r="C16" i="3"/>
  <c r="B16" i="3"/>
  <c r="C15" i="3"/>
  <c r="B15" i="3"/>
  <c r="C14" i="3"/>
  <c r="B14" i="3"/>
  <c r="C13" i="3"/>
  <c r="B13" i="3"/>
  <c r="C12" i="3"/>
  <c r="B12" i="3"/>
  <c r="C11" i="3"/>
  <c r="B11" i="3"/>
  <c r="C10" i="3"/>
  <c r="B10" i="3"/>
  <c r="C9" i="3"/>
  <c r="B9" i="3"/>
  <c r="C8" i="3"/>
  <c r="B8" i="3"/>
  <c r="C7" i="3"/>
  <c r="B7" i="3"/>
  <c r="B3" i="3"/>
  <c r="C3" i="3"/>
  <c r="B4" i="3"/>
  <c r="C4" i="3"/>
  <c r="B5" i="3"/>
  <c r="C5" i="3"/>
  <c r="B6" i="3"/>
  <c r="C6" i="3"/>
  <c r="C2" i="3"/>
  <c r="B2" i="3"/>
  <c r="Q786" i="9"/>
  <c r="S786" i="9"/>
  <c r="N786" i="9"/>
  <c r="B25" i="8" s="1"/>
  <c r="E25" i="8" s="1"/>
  <c r="J786" i="9"/>
  <c r="I786" i="9" s="1"/>
  <c r="O785" i="9"/>
  <c r="Q785" i="9"/>
  <c r="J785" i="9"/>
  <c r="I785" i="9" s="1"/>
  <c r="O784" i="9"/>
  <c r="Q784" i="9"/>
  <c r="J784" i="9"/>
  <c r="I784" i="9" s="1"/>
  <c r="O783" i="9"/>
  <c r="Q783" i="9"/>
  <c r="J783" i="9"/>
  <c r="I783" i="9" s="1"/>
  <c r="O782" i="9"/>
  <c r="Q782" i="9"/>
  <c r="J782" i="9"/>
  <c r="I782" i="9" s="1"/>
  <c r="Q781" i="9"/>
  <c r="S781" i="9"/>
  <c r="J781" i="9"/>
  <c r="I781" i="9" s="1"/>
  <c r="O780" i="9"/>
  <c r="Q780" i="9"/>
  <c r="J780" i="9"/>
  <c r="I780" i="9" s="1"/>
  <c r="O779" i="9"/>
  <c r="Q779" i="9"/>
  <c r="J779" i="9"/>
  <c r="I779" i="9" s="1"/>
  <c r="O778" i="9"/>
  <c r="Q778" i="9"/>
  <c r="J778" i="9"/>
  <c r="I778" i="9" s="1"/>
  <c r="O777" i="9"/>
  <c r="Q777" i="9"/>
  <c r="J777" i="9"/>
  <c r="I777" i="9" s="1"/>
  <c r="Q776" i="9"/>
  <c r="S776" i="9"/>
  <c r="J776" i="9"/>
  <c r="I776" i="9" s="1"/>
  <c r="O775" i="9"/>
  <c r="Q775" i="9"/>
  <c r="J775" i="9"/>
  <c r="I775" i="9" s="1"/>
  <c r="O774" i="9"/>
  <c r="Q774" i="9"/>
  <c r="J774" i="9"/>
  <c r="I774" i="9" s="1"/>
  <c r="O773" i="9"/>
  <c r="Q773" i="9"/>
  <c r="J773" i="9"/>
  <c r="I773" i="9" s="1"/>
  <c r="O772" i="9"/>
  <c r="Q772" i="9"/>
  <c r="J772" i="9"/>
  <c r="I772" i="9" s="1"/>
  <c r="Q771" i="9"/>
  <c r="S771" i="9"/>
  <c r="J771" i="9"/>
  <c r="I771" i="9" s="1"/>
  <c r="O770" i="9"/>
  <c r="Q770" i="9"/>
  <c r="J770" i="9"/>
  <c r="I770" i="9" s="1"/>
  <c r="O769" i="9"/>
  <c r="Q769" i="9"/>
  <c r="J769" i="9"/>
  <c r="I769" i="9" s="1"/>
  <c r="O768" i="9"/>
  <c r="Q768" i="9"/>
  <c r="J768" i="9"/>
  <c r="I768" i="9" s="1"/>
  <c r="O767" i="9"/>
  <c r="Q767" i="9"/>
  <c r="J767" i="9"/>
  <c r="I767" i="9" s="1"/>
  <c r="Q766" i="9"/>
  <c r="S766" i="9"/>
  <c r="J766" i="9"/>
  <c r="I766" i="9" s="1"/>
  <c r="O765" i="9"/>
  <c r="Q765" i="9"/>
  <c r="J765" i="9"/>
  <c r="I765" i="9" s="1"/>
  <c r="O764" i="9"/>
  <c r="Q764" i="9"/>
  <c r="J764" i="9"/>
  <c r="I764" i="9" s="1"/>
  <c r="O763" i="9"/>
  <c r="Q763" i="9"/>
  <c r="N763" i="9"/>
  <c r="B24" i="8" s="1"/>
  <c r="E24" i="8" s="1"/>
  <c r="J763" i="9"/>
  <c r="I763" i="9" s="1"/>
  <c r="O762" i="9"/>
  <c r="Q762" i="9"/>
  <c r="J762" i="9"/>
  <c r="I762" i="9" s="1"/>
  <c r="Q761" i="9"/>
  <c r="S761" i="9"/>
  <c r="J761" i="9"/>
  <c r="I761" i="9" s="1"/>
  <c r="O760" i="9"/>
  <c r="Q760" i="9"/>
  <c r="J760" i="9"/>
  <c r="I760" i="9" s="1"/>
  <c r="O759" i="9"/>
  <c r="Q759" i="9"/>
  <c r="J759" i="9"/>
  <c r="I759" i="9" s="1"/>
  <c r="O758" i="9"/>
  <c r="Q758" i="9"/>
  <c r="J758" i="9"/>
  <c r="I758" i="9" s="1"/>
  <c r="O757" i="9"/>
  <c r="Q757" i="9"/>
  <c r="J757" i="9"/>
  <c r="I757" i="9" s="1"/>
  <c r="Q756" i="9"/>
  <c r="S756" i="9"/>
  <c r="J756" i="9"/>
  <c r="I756" i="9" s="1"/>
  <c r="O755" i="9"/>
  <c r="Q755" i="9"/>
  <c r="J755" i="9"/>
  <c r="I755" i="9" s="1"/>
  <c r="O754" i="9"/>
  <c r="Q754" i="9"/>
  <c r="J754" i="9"/>
  <c r="I754" i="9" s="1"/>
  <c r="O753" i="9"/>
  <c r="Q753" i="9"/>
  <c r="J753" i="9"/>
  <c r="I753" i="9" s="1"/>
  <c r="O752" i="9"/>
  <c r="Q752" i="9"/>
  <c r="J752" i="9"/>
  <c r="I752" i="9" s="1"/>
  <c r="Q751" i="9"/>
  <c r="S751" i="9"/>
  <c r="J751" i="9"/>
  <c r="I751" i="9" s="1"/>
  <c r="O750" i="9"/>
  <c r="Q750" i="9"/>
  <c r="J750" i="9"/>
  <c r="I750" i="9" s="1"/>
  <c r="O749" i="9"/>
  <c r="Q749" i="9"/>
  <c r="J749" i="9"/>
  <c r="I749" i="9" s="1"/>
  <c r="O748" i="9"/>
  <c r="Q748" i="9"/>
  <c r="J748" i="9"/>
  <c r="I748" i="9" s="1"/>
  <c r="O747" i="9"/>
  <c r="Q747" i="9"/>
  <c r="J747" i="9"/>
  <c r="I747" i="9" s="1"/>
  <c r="Q746" i="9"/>
  <c r="S746" i="9"/>
  <c r="J746" i="9"/>
  <c r="I746" i="9" s="1"/>
  <c r="O745" i="9"/>
  <c r="Q745" i="9"/>
  <c r="J745" i="9"/>
  <c r="I745" i="9" s="1"/>
  <c r="O744" i="9"/>
  <c r="Q744" i="9"/>
  <c r="J744" i="9"/>
  <c r="I744" i="9" s="1"/>
  <c r="O743" i="9"/>
  <c r="Q743" i="9"/>
  <c r="J743" i="9"/>
  <c r="I743" i="9" s="1"/>
  <c r="O742" i="9"/>
  <c r="Q742" i="9"/>
  <c r="J742" i="9"/>
  <c r="I742" i="9" s="1"/>
  <c r="Q741" i="9"/>
  <c r="S741" i="9"/>
  <c r="N741" i="9"/>
  <c r="B23" i="8" s="1"/>
  <c r="E23" i="8" s="1"/>
  <c r="J741" i="9"/>
  <c r="I741" i="9" s="1"/>
  <c r="O740" i="9"/>
  <c r="Q740" i="9"/>
  <c r="J740" i="9"/>
  <c r="I740" i="9" s="1"/>
  <c r="O739" i="9"/>
  <c r="Q739" i="9"/>
  <c r="J739" i="9"/>
  <c r="I739" i="9" s="1"/>
  <c r="O738" i="9"/>
  <c r="Q738" i="9"/>
  <c r="J738" i="9"/>
  <c r="I738" i="9" s="1"/>
  <c r="O737" i="9"/>
  <c r="Q737" i="9"/>
  <c r="J737" i="9"/>
  <c r="I737" i="9" s="1"/>
  <c r="Q736" i="9"/>
  <c r="S736" i="9"/>
  <c r="J736" i="9"/>
  <c r="I736" i="9" s="1"/>
  <c r="O735" i="9"/>
  <c r="Q735" i="9"/>
  <c r="J735" i="9"/>
  <c r="I735" i="9" s="1"/>
  <c r="O734" i="9"/>
  <c r="Q734" i="9"/>
  <c r="J734" i="9"/>
  <c r="I734" i="9" s="1"/>
  <c r="O733" i="9"/>
  <c r="Q733" i="9"/>
  <c r="J733" i="9"/>
  <c r="I733" i="9" s="1"/>
  <c r="O732" i="9"/>
  <c r="Q732" i="9"/>
  <c r="J732" i="9"/>
  <c r="I732" i="9" s="1"/>
  <c r="Q731" i="9"/>
  <c r="S731" i="9"/>
  <c r="J731" i="9"/>
  <c r="I731" i="9" s="1"/>
  <c r="O730" i="9"/>
  <c r="Q730" i="9"/>
  <c r="J730" i="9"/>
  <c r="I730" i="9" s="1"/>
  <c r="O729" i="9"/>
  <c r="Q729" i="9"/>
  <c r="J729" i="9"/>
  <c r="I729" i="9" s="1"/>
  <c r="O728" i="9"/>
  <c r="Q728" i="9"/>
  <c r="J728" i="9"/>
  <c r="I728" i="9" s="1"/>
  <c r="O727" i="9"/>
  <c r="Q727" i="9"/>
  <c r="J727" i="9"/>
  <c r="I727" i="9" s="1"/>
  <c r="Q726" i="9"/>
  <c r="S726" i="9"/>
  <c r="J726" i="9"/>
  <c r="I726" i="9" s="1"/>
  <c r="O725" i="9"/>
  <c r="Q725" i="9"/>
  <c r="J725" i="9"/>
  <c r="I725" i="9" s="1"/>
  <c r="O724" i="9"/>
  <c r="Q724" i="9"/>
  <c r="J724" i="9"/>
  <c r="I724" i="9" s="1"/>
  <c r="O723" i="9"/>
  <c r="Q723" i="9"/>
  <c r="J723" i="9"/>
  <c r="I723" i="9" s="1"/>
  <c r="O722" i="9"/>
  <c r="Q722" i="9"/>
  <c r="J722" i="9"/>
  <c r="I722" i="9" s="1"/>
  <c r="Q721" i="9"/>
  <c r="S721" i="9"/>
  <c r="J721" i="9"/>
  <c r="I721" i="9" s="1"/>
  <c r="O720" i="9"/>
  <c r="Q720" i="9"/>
  <c r="N720" i="9"/>
  <c r="B22" i="8" s="1"/>
  <c r="E22" i="8" s="1"/>
  <c r="J720" i="9"/>
  <c r="I720" i="9" s="1"/>
  <c r="O719" i="9"/>
  <c r="Q719" i="9"/>
  <c r="J719" i="9"/>
  <c r="I719" i="9" s="1"/>
  <c r="O718" i="9"/>
  <c r="Q718" i="9"/>
  <c r="J718" i="9"/>
  <c r="I718" i="9" s="1"/>
  <c r="O717" i="9"/>
  <c r="Q717" i="9"/>
  <c r="J717" i="9"/>
  <c r="I717" i="9" s="1"/>
  <c r="Q716" i="9"/>
  <c r="S716" i="9"/>
  <c r="J716" i="9"/>
  <c r="I716" i="9" s="1"/>
  <c r="O715" i="9"/>
  <c r="Q715" i="9"/>
  <c r="J715" i="9"/>
  <c r="I715" i="9" s="1"/>
  <c r="O714" i="9"/>
  <c r="Q714" i="9"/>
  <c r="J714" i="9"/>
  <c r="I714" i="9" s="1"/>
  <c r="O713" i="9"/>
  <c r="Q713" i="9"/>
  <c r="J713" i="9"/>
  <c r="I713" i="9" s="1"/>
  <c r="O712" i="9"/>
  <c r="Q712" i="9"/>
  <c r="J712" i="9"/>
  <c r="I712" i="9" s="1"/>
  <c r="Q711" i="9"/>
  <c r="S711" i="9"/>
  <c r="J711" i="9"/>
  <c r="I711" i="9" s="1"/>
  <c r="O710" i="9"/>
  <c r="Q710" i="9"/>
  <c r="J710" i="9"/>
  <c r="I710" i="9" s="1"/>
  <c r="O709" i="9"/>
  <c r="Q709" i="9"/>
  <c r="J709" i="9"/>
  <c r="I709" i="9" s="1"/>
  <c r="O708" i="9"/>
  <c r="Q708" i="9"/>
  <c r="J708" i="9"/>
  <c r="I708" i="9" s="1"/>
  <c r="O707" i="9"/>
  <c r="Q707" i="9"/>
  <c r="J707" i="9"/>
  <c r="I707" i="9" s="1"/>
  <c r="Q706" i="9"/>
  <c r="S706" i="9"/>
  <c r="J706" i="9"/>
  <c r="I706" i="9" s="1"/>
  <c r="O705" i="9"/>
  <c r="Q705" i="9"/>
  <c r="J705" i="9"/>
  <c r="I705" i="9" s="1"/>
  <c r="O704" i="9"/>
  <c r="Q704" i="9"/>
  <c r="J704" i="9"/>
  <c r="I704" i="9" s="1"/>
  <c r="O703" i="9"/>
  <c r="Q703" i="9"/>
  <c r="J703" i="9"/>
  <c r="I703" i="9" s="1"/>
  <c r="O702" i="9"/>
  <c r="Q702" i="9"/>
  <c r="J702" i="9"/>
  <c r="I702" i="9" s="1"/>
  <c r="Q701" i="9"/>
  <c r="S701" i="9"/>
  <c r="J701" i="9"/>
  <c r="I701" i="9" s="1"/>
  <c r="O700" i="9"/>
  <c r="Q700" i="9"/>
  <c r="J700" i="9"/>
  <c r="I700" i="9" s="1"/>
  <c r="O699" i="9"/>
  <c r="Q699" i="9"/>
  <c r="J699" i="9"/>
  <c r="I699" i="9" s="1"/>
  <c r="O698" i="9"/>
  <c r="Q698" i="9"/>
  <c r="J698" i="9"/>
  <c r="I698" i="9" s="1"/>
  <c r="O697" i="9"/>
  <c r="Q697" i="9"/>
  <c r="N697" i="9"/>
  <c r="B21" i="8" s="1"/>
  <c r="E21" i="8" s="1"/>
  <c r="J697" i="9"/>
  <c r="I697" i="9" s="1"/>
  <c r="Q696" i="9"/>
  <c r="S696" i="9"/>
  <c r="J696" i="9"/>
  <c r="I696" i="9" s="1"/>
  <c r="O695" i="9"/>
  <c r="Q695" i="9"/>
  <c r="J695" i="9"/>
  <c r="I695" i="9" s="1"/>
  <c r="O694" i="9"/>
  <c r="Q694" i="9"/>
  <c r="J694" i="9"/>
  <c r="I694" i="9" s="1"/>
  <c r="O693" i="9"/>
  <c r="Q693" i="9"/>
  <c r="J693" i="9"/>
  <c r="I693" i="9" s="1"/>
  <c r="O692" i="9"/>
  <c r="Q692" i="9"/>
  <c r="J692" i="9"/>
  <c r="I692" i="9" s="1"/>
  <c r="Q691" i="9"/>
  <c r="S691" i="9"/>
  <c r="J691" i="9"/>
  <c r="I691" i="9" s="1"/>
  <c r="O690" i="9"/>
  <c r="Q690" i="9"/>
  <c r="J690" i="9"/>
  <c r="I690" i="9" s="1"/>
  <c r="O689" i="9"/>
  <c r="Q689" i="9"/>
  <c r="J689" i="9"/>
  <c r="I689" i="9" s="1"/>
  <c r="O688" i="9"/>
  <c r="Q688" i="9"/>
  <c r="J688" i="9"/>
  <c r="I688" i="9" s="1"/>
  <c r="O687" i="9"/>
  <c r="Q687" i="9"/>
  <c r="J687" i="9"/>
  <c r="I687" i="9" s="1"/>
  <c r="Q686" i="9"/>
  <c r="S686" i="9"/>
  <c r="J686" i="9"/>
  <c r="I686" i="9" s="1"/>
  <c r="O685" i="9"/>
  <c r="Q685" i="9"/>
  <c r="J685" i="9"/>
  <c r="I685" i="9" s="1"/>
  <c r="O684" i="9"/>
  <c r="Q684" i="9"/>
  <c r="J684" i="9"/>
  <c r="I684" i="9" s="1"/>
  <c r="O683" i="9"/>
  <c r="Q683" i="9"/>
  <c r="J683" i="9"/>
  <c r="I683" i="9" s="1"/>
  <c r="O682" i="9"/>
  <c r="Q682" i="9"/>
  <c r="J682" i="9"/>
  <c r="I682" i="9" s="1"/>
  <c r="Q681" i="9"/>
  <c r="S681" i="9"/>
  <c r="J681" i="9"/>
  <c r="I681" i="9" s="1"/>
  <c r="O680" i="9"/>
  <c r="Q680" i="9"/>
  <c r="J680" i="9"/>
  <c r="I680" i="9" s="1"/>
  <c r="O679" i="9"/>
  <c r="Q679" i="9"/>
  <c r="J679" i="9"/>
  <c r="I679" i="9" s="1"/>
  <c r="O678" i="9"/>
  <c r="Q678" i="9"/>
  <c r="J678" i="9"/>
  <c r="I678" i="9" s="1"/>
  <c r="O677" i="9"/>
  <c r="Q677" i="9"/>
  <c r="J677" i="9"/>
  <c r="I677" i="9" s="1"/>
  <c r="Q676" i="9"/>
  <c r="S676" i="9"/>
  <c r="N676" i="9"/>
  <c r="B20" i="8" s="1"/>
  <c r="E20" i="8" s="1"/>
  <c r="J676" i="9"/>
  <c r="I676" i="9" s="1"/>
  <c r="O675" i="9"/>
  <c r="Q675" i="9"/>
  <c r="J675" i="9"/>
  <c r="I675" i="9" s="1"/>
  <c r="O674" i="9"/>
  <c r="Q674" i="9"/>
  <c r="J674" i="9"/>
  <c r="I674" i="9" s="1"/>
  <c r="O673" i="9"/>
  <c r="Q673" i="9"/>
  <c r="J673" i="9"/>
  <c r="I673" i="9" s="1"/>
  <c r="O672" i="9"/>
  <c r="Q672" i="9"/>
  <c r="J672" i="9"/>
  <c r="I672" i="9" s="1"/>
  <c r="Q671" i="9"/>
  <c r="S671" i="9"/>
  <c r="J671" i="9"/>
  <c r="I671" i="9" s="1"/>
  <c r="O670" i="9"/>
  <c r="Q670" i="9"/>
  <c r="J670" i="9"/>
  <c r="I670" i="9" s="1"/>
  <c r="O669" i="9"/>
  <c r="Q669" i="9"/>
  <c r="J669" i="9"/>
  <c r="I669" i="9" s="1"/>
  <c r="O668" i="9"/>
  <c r="Q668" i="9"/>
  <c r="J668" i="9"/>
  <c r="I668" i="9" s="1"/>
  <c r="O667" i="9"/>
  <c r="Q667" i="9"/>
  <c r="J667" i="9"/>
  <c r="I667" i="9" s="1"/>
  <c r="Q666" i="9"/>
  <c r="S666" i="9"/>
  <c r="J666" i="9"/>
  <c r="I666" i="9" s="1"/>
  <c r="O665" i="9"/>
  <c r="Q665" i="9"/>
  <c r="J665" i="9"/>
  <c r="I665" i="9" s="1"/>
  <c r="O664" i="9"/>
  <c r="Q664" i="9"/>
  <c r="J664" i="9"/>
  <c r="I664" i="9" s="1"/>
  <c r="O663" i="9"/>
  <c r="Q663" i="9"/>
  <c r="J663" i="9"/>
  <c r="I663" i="9" s="1"/>
  <c r="O662" i="9"/>
  <c r="Q662" i="9"/>
  <c r="J662" i="9"/>
  <c r="I662" i="9" s="1"/>
  <c r="Q661" i="9"/>
  <c r="S661" i="9"/>
  <c r="J661" i="9"/>
  <c r="I661" i="9" s="1"/>
  <c r="O660" i="9"/>
  <c r="Q660" i="9"/>
  <c r="J660" i="9"/>
  <c r="I660" i="9" s="1"/>
  <c r="O659" i="9"/>
  <c r="Q659" i="9"/>
  <c r="J659" i="9"/>
  <c r="I659" i="9" s="1"/>
  <c r="O658" i="9"/>
  <c r="Q658" i="9"/>
  <c r="J658" i="9"/>
  <c r="I658" i="9" s="1"/>
  <c r="O657" i="9"/>
  <c r="Q657" i="9"/>
  <c r="J657" i="9"/>
  <c r="I657" i="9" s="1"/>
  <c r="Q656" i="9"/>
  <c r="S656" i="9"/>
  <c r="J656" i="9"/>
  <c r="I656" i="9" s="1"/>
  <c r="O655" i="9"/>
  <c r="Q655" i="9"/>
  <c r="J655" i="9"/>
  <c r="I655" i="9" s="1"/>
  <c r="O654" i="9"/>
  <c r="Q654" i="9"/>
  <c r="N654" i="9"/>
  <c r="B19" i="8" s="1"/>
  <c r="E19" i="8" s="1"/>
  <c r="J654" i="9"/>
  <c r="I654" i="9" s="1"/>
  <c r="O653" i="9"/>
  <c r="Q653" i="9"/>
  <c r="J653" i="9"/>
  <c r="I653" i="9" s="1"/>
  <c r="O652" i="9"/>
  <c r="Q652" i="9"/>
  <c r="J652" i="9"/>
  <c r="I652" i="9" s="1"/>
  <c r="Q651" i="9"/>
  <c r="S651" i="9"/>
  <c r="J651" i="9"/>
  <c r="I651" i="9" s="1"/>
  <c r="O650" i="9"/>
  <c r="Q650" i="9"/>
  <c r="J650" i="9"/>
  <c r="I650" i="9" s="1"/>
  <c r="O649" i="9"/>
  <c r="Q649" i="9"/>
  <c r="J649" i="9"/>
  <c r="I649" i="9" s="1"/>
  <c r="O648" i="9"/>
  <c r="Q648" i="9"/>
  <c r="J648" i="9"/>
  <c r="I648" i="9" s="1"/>
  <c r="O647" i="9"/>
  <c r="Q647" i="9"/>
  <c r="J647" i="9"/>
  <c r="I647" i="9" s="1"/>
  <c r="Q646" i="9"/>
  <c r="S646" i="9"/>
  <c r="J646" i="9"/>
  <c r="I646" i="9" s="1"/>
  <c r="O645" i="9"/>
  <c r="Q645" i="9"/>
  <c r="J645" i="9"/>
  <c r="I645" i="9" s="1"/>
  <c r="O644" i="9"/>
  <c r="Q644" i="9"/>
  <c r="J644" i="9"/>
  <c r="I644" i="9" s="1"/>
  <c r="O643" i="9"/>
  <c r="Q643" i="9"/>
  <c r="J643" i="9"/>
  <c r="I643" i="9" s="1"/>
  <c r="O642" i="9"/>
  <c r="Q642" i="9"/>
  <c r="J642" i="9"/>
  <c r="I642" i="9" s="1"/>
  <c r="Q641" i="9"/>
  <c r="S641" i="9"/>
  <c r="J641" i="9"/>
  <c r="I641" i="9" s="1"/>
  <c r="O640" i="9"/>
  <c r="Q640" i="9"/>
  <c r="J640" i="9"/>
  <c r="I640" i="9" s="1"/>
  <c r="O639" i="9"/>
  <c r="Q639" i="9"/>
  <c r="J639" i="9"/>
  <c r="I639" i="9" s="1"/>
  <c r="O638" i="9"/>
  <c r="Q638" i="9"/>
  <c r="J638" i="9"/>
  <c r="I638" i="9" s="1"/>
  <c r="O637" i="9"/>
  <c r="Q637" i="9"/>
  <c r="J637" i="9"/>
  <c r="I637" i="9" s="1"/>
  <c r="Q636" i="9"/>
  <c r="S636" i="9"/>
  <c r="J636" i="9"/>
  <c r="I636" i="9" s="1"/>
  <c r="O635" i="9"/>
  <c r="Q635" i="9"/>
  <c r="J635" i="9"/>
  <c r="I635" i="9" s="1"/>
  <c r="O634" i="9"/>
  <c r="Q634" i="9"/>
  <c r="J634" i="9"/>
  <c r="I634" i="9" s="1"/>
  <c r="O633" i="9"/>
  <c r="Q633" i="9"/>
  <c r="J633" i="9"/>
  <c r="I633" i="9" s="1"/>
  <c r="O632" i="9"/>
  <c r="Q632" i="9"/>
  <c r="J632" i="9"/>
  <c r="I632" i="9" s="1"/>
  <c r="Q631" i="9"/>
  <c r="S631" i="9"/>
  <c r="N631" i="9"/>
  <c r="B18" i="8" s="1"/>
  <c r="E18" i="8" s="1"/>
  <c r="J631" i="9"/>
  <c r="I631" i="9" s="1"/>
  <c r="O630" i="9"/>
  <c r="Q630" i="9"/>
  <c r="J630" i="9"/>
  <c r="I630" i="9" s="1"/>
  <c r="O629" i="9"/>
  <c r="Q629" i="9"/>
  <c r="J629" i="9"/>
  <c r="I629" i="9" s="1"/>
  <c r="O628" i="9"/>
  <c r="Q628" i="9"/>
  <c r="J628" i="9"/>
  <c r="I628" i="9" s="1"/>
  <c r="O627" i="9"/>
  <c r="Q627" i="9"/>
  <c r="J627" i="9"/>
  <c r="I627" i="9" s="1"/>
  <c r="Q626" i="9"/>
  <c r="S626" i="9"/>
  <c r="J626" i="9"/>
  <c r="I626" i="9" s="1"/>
  <c r="O625" i="9"/>
  <c r="Q625" i="9"/>
  <c r="J625" i="9"/>
  <c r="I625" i="9" s="1"/>
  <c r="O624" i="9"/>
  <c r="Q624" i="9"/>
  <c r="J624" i="9"/>
  <c r="I624" i="9" s="1"/>
  <c r="O623" i="9"/>
  <c r="Q623" i="9"/>
  <c r="J623" i="9"/>
  <c r="I623" i="9" s="1"/>
  <c r="O622" i="9"/>
  <c r="Q622" i="9"/>
  <c r="J622" i="9"/>
  <c r="I622" i="9" s="1"/>
  <c r="Q621" i="9"/>
  <c r="S621" i="9"/>
  <c r="J621" i="9"/>
  <c r="I621" i="9" s="1"/>
  <c r="O620" i="9"/>
  <c r="Q620" i="9"/>
  <c r="J620" i="9"/>
  <c r="I620" i="9" s="1"/>
  <c r="O619" i="9"/>
  <c r="Q619" i="9"/>
  <c r="J619" i="9"/>
  <c r="I619" i="9" s="1"/>
  <c r="O618" i="9"/>
  <c r="Q618" i="9"/>
  <c r="J618" i="9"/>
  <c r="I618" i="9" s="1"/>
  <c r="O617" i="9"/>
  <c r="Q617" i="9"/>
  <c r="J617" i="9"/>
  <c r="I617" i="9" s="1"/>
  <c r="Q616" i="9"/>
  <c r="S616" i="9"/>
  <c r="J616" i="9"/>
  <c r="I616" i="9" s="1"/>
  <c r="O615" i="9"/>
  <c r="Q615" i="9"/>
  <c r="J615" i="9"/>
  <c r="I615" i="9" s="1"/>
  <c r="O614" i="9"/>
  <c r="Q614" i="9"/>
  <c r="J614" i="9"/>
  <c r="I614" i="9" s="1"/>
  <c r="O613" i="9"/>
  <c r="Q613" i="9"/>
  <c r="J613" i="9"/>
  <c r="I613" i="9" s="1"/>
  <c r="O612" i="9"/>
  <c r="Q612" i="9"/>
  <c r="J612" i="9"/>
  <c r="I612" i="9" s="1"/>
  <c r="Q611" i="9"/>
  <c r="S611" i="9"/>
  <c r="N611" i="9"/>
  <c r="B17" i="8" s="1"/>
  <c r="E17" i="8" s="1"/>
  <c r="J611" i="9"/>
  <c r="I611" i="9" s="1"/>
  <c r="O610" i="9"/>
  <c r="Q610" i="9"/>
  <c r="J610" i="9"/>
  <c r="I610" i="9" s="1"/>
  <c r="O609" i="9"/>
  <c r="Q609" i="9"/>
  <c r="J609" i="9"/>
  <c r="I609" i="9" s="1"/>
  <c r="O608" i="9"/>
  <c r="Q608" i="9"/>
  <c r="J608" i="9"/>
  <c r="I608" i="9" s="1"/>
  <c r="O607" i="9"/>
  <c r="Q607" i="9"/>
  <c r="J607" i="9"/>
  <c r="I607" i="9" s="1"/>
  <c r="Q606" i="9"/>
  <c r="S606" i="9"/>
  <c r="J606" i="9"/>
  <c r="I606" i="9" s="1"/>
  <c r="O605" i="9"/>
  <c r="Q605" i="9"/>
  <c r="J605" i="9"/>
  <c r="I605" i="9" s="1"/>
  <c r="O604" i="9"/>
  <c r="Q604" i="9"/>
  <c r="J604" i="9"/>
  <c r="I604" i="9" s="1"/>
  <c r="O603" i="9"/>
  <c r="Q603" i="9"/>
  <c r="J603" i="9"/>
  <c r="I603" i="9" s="1"/>
  <c r="O602" i="9"/>
  <c r="Q602" i="9"/>
  <c r="J602" i="9"/>
  <c r="I602" i="9" s="1"/>
  <c r="Q601" i="9"/>
  <c r="S601" i="9"/>
  <c r="J601" i="9"/>
  <c r="I601" i="9" s="1"/>
  <c r="O600" i="9"/>
  <c r="Q600" i="9"/>
  <c r="J600" i="9"/>
  <c r="I600" i="9" s="1"/>
  <c r="O599" i="9"/>
  <c r="Q599" i="9"/>
  <c r="J599" i="9"/>
  <c r="I599" i="9" s="1"/>
  <c r="O598" i="9"/>
  <c r="Q598" i="9"/>
  <c r="J598" i="9"/>
  <c r="I598" i="9" s="1"/>
  <c r="O597" i="9"/>
  <c r="Q597" i="9"/>
  <c r="J597" i="9"/>
  <c r="I597" i="9" s="1"/>
  <c r="Q596" i="9"/>
  <c r="S596" i="9"/>
  <c r="J596" i="9"/>
  <c r="I596" i="9" s="1"/>
  <c r="O595" i="9"/>
  <c r="Q595" i="9"/>
  <c r="J595" i="9"/>
  <c r="I595" i="9" s="1"/>
  <c r="O594" i="9"/>
  <c r="Q594" i="9"/>
  <c r="J594" i="9"/>
  <c r="I594" i="9" s="1"/>
  <c r="O593" i="9"/>
  <c r="Q593" i="9"/>
  <c r="J593" i="9"/>
  <c r="I593" i="9" s="1"/>
  <c r="O592" i="9"/>
  <c r="Q592" i="9"/>
  <c r="J592" i="9"/>
  <c r="I592" i="9" s="1"/>
  <c r="Q591" i="9"/>
  <c r="S591" i="9"/>
  <c r="J591" i="9"/>
  <c r="I591" i="9" s="1"/>
  <c r="O590" i="9"/>
  <c r="Q590" i="9"/>
  <c r="J590" i="9"/>
  <c r="I590" i="9" s="1"/>
  <c r="O589" i="9"/>
  <c r="Q589" i="9"/>
  <c r="J589" i="9"/>
  <c r="I589" i="9" s="1"/>
  <c r="O588" i="9"/>
  <c r="Q588" i="9"/>
  <c r="N588" i="9"/>
  <c r="B16" i="8" s="1"/>
  <c r="E16" i="8" s="1"/>
  <c r="J588" i="9"/>
  <c r="I588" i="9" s="1"/>
  <c r="O587" i="9"/>
  <c r="Q587" i="9"/>
  <c r="J587" i="9"/>
  <c r="I587" i="9" s="1"/>
  <c r="Q586" i="9"/>
  <c r="S586" i="9"/>
  <c r="J586" i="9"/>
  <c r="I586" i="9" s="1"/>
  <c r="O585" i="9"/>
  <c r="Q585" i="9"/>
  <c r="J585" i="9"/>
  <c r="I585" i="9" s="1"/>
  <c r="O584" i="9"/>
  <c r="Q584" i="9"/>
  <c r="J584" i="9"/>
  <c r="I584" i="9" s="1"/>
  <c r="O583" i="9"/>
  <c r="Q583" i="9"/>
  <c r="J583" i="9"/>
  <c r="I583" i="9" s="1"/>
  <c r="O582" i="9"/>
  <c r="Q582" i="9"/>
  <c r="J582" i="9"/>
  <c r="I582" i="9" s="1"/>
  <c r="Q581" i="9"/>
  <c r="S581" i="9"/>
  <c r="J581" i="9"/>
  <c r="I581" i="9" s="1"/>
  <c r="O580" i="9"/>
  <c r="Q580" i="9"/>
  <c r="J580" i="9"/>
  <c r="I580" i="9" s="1"/>
  <c r="O579" i="9"/>
  <c r="Q579" i="9"/>
  <c r="J579" i="9"/>
  <c r="I579" i="9" s="1"/>
  <c r="O578" i="9"/>
  <c r="Q578" i="9"/>
  <c r="J578" i="9"/>
  <c r="I578" i="9" s="1"/>
  <c r="O577" i="9"/>
  <c r="Q577" i="9"/>
  <c r="J577" i="9"/>
  <c r="I577" i="9" s="1"/>
  <c r="Q576" i="9"/>
  <c r="S576" i="9"/>
  <c r="J576" i="9"/>
  <c r="I576" i="9" s="1"/>
  <c r="O575" i="9"/>
  <c r="Q575" i="9"/>
  <c r="J575" i="9"/>
  <c r="I575" i="9" s="1"/>
  <c r="O574" i="9"/>
  <c r="Q574" i="9"/>
  <c r="J574" i="9"/>
  <c r="I574" i="9" s="1"/>
  <c r="O573" i="9"/>
  <c r="Q573" i="9"/>
  <c r="J573" i="9"/>
  <c r="I573" i="9" s="1"/>
  <c r="O572" i="9"/>
  <c r="Q572" i="9"/>
  <c r="J572" i="9"/>
  <c r="I572" i="9" s="1"/>
  <c r="Q571" i="9"/>
  <c r="S571" i="9"/>
  <c r="J571" i="9"/>
  <c r="I571" i="9" s="1"/>
  <c r="O570" i="9"/>
  <c r="Q570" i="9"/>
  <c r="J570" i="9"/>
  <c r="I570" i="9" s="1"/>
  <c r="O569" i="9"/>
  <c r="Q569" i="9"/>
  <c r="J569" i="9"/>
  <c r="I569" i="9" s="1"/>
  <c r="O568" i="9"/>
  <c r="Q568" i="9"/>
  <c r="J568" i="9"/>
  <c r="I568" i="9" s="1"/>
  <c r="O567" i="9"/>
  <c r="Q567" i="9"/>
  <c r="J567" i="9"/>
  <c r="I567" i="9" s="1"/>
  <c r="Q566" i="9"/>
  <c r="S566" i="9"/>
  <c r="N566" i="9"/>
  <c r="J566" i="9"/>
  <c r="I566" i="9" s="1"/>
  <c r="O565" i="9"/>
  <c r="Q565" i="9"/>
  <c r="J565" i="9"/>
  <c r="I565" i="9" s="1"/>
  <c r="O564" i="9"/>
  <c r="Q564" i="9"/>
  <c r="J564" i="9"/>
  <c r="I564" i="9" s="1"/>
  <c r="O563" i="9"/>
  <c r="Q563" i="9"/>
  <c r="J563" i="9"/>
  <c r="I563" i="9" s="1"/>
  <c r="O562" i="9"/>
  <c r="Q562" i="9"/>
  <c r="J562" i="9"/>
  <c r="I562" i="9" s="1"/>
  <c r="Q561" i="9"/>
  <c r="S561" i="9"/>
  <c r="J561" i="9"/>
  <c r="I561" i="9" s="1"/>
  <c r="O560" i="9"/>
  <c r="Q560" i="9"/>
  <c r="J560" i="9"/>
  <c r="I560" i="9" s="1"/>
  <c r="O559" i="9"/>
  <c r="Q559" i="9"/>
  <c r="J559" i="9"/>
  <c r="I559" i="9" s="1"/>
  <c r="O558" i="9"/>
  <c r="Q558" i="9"/>
  <c r="J558" i="9"/>
  <c r="I558" i="9" s="1"/>
  <c r="O557" i="9"/>
  <c r="Q557" i="9"/>
  <c r="J557" i="9"/>
  <c r="I557" i="9" s="1"/>
  <c r="Q556" i="9"/>
  <c r="S556" i="9"/>
  <c r="J556" i="9"/>
  <c r="I556" i="9" s="1"/>
  <c r="O555" i="9"/>
  <c r="Q555" i="9"/>
  <c r="J555" i="9"/>
  <c r="I555" i="9" s="1"/>
  <c r="O554" i="9"/>
  <c r="Q554" i="9"/>
  <c r="J554" i="9"/>
  <c r="I554" i="9" s="1"/>
  <c r="O553" i="9"/>
  <c r="Q553" i="9"/>
  <c r="J553" i="9"/>
  <c r="I553" i="9" s="1"/>
  <c r="O552" i="9"/>
  <c r="Q552" i="9"/>
  <c r="J552" i="9"/>
  <c r="I552" i="9" s="1"/>
  <c r="Q551" i="9"/>
  <c r="S551" i="9"/>
  <c r="J551" i="9"/>
  <c r="I551" i="9" s="1"/>
  <c r="O550" i="9"/>
  <c r="Q550" i="9"/>
  <c r="J550" i="9"/>
  <c r="I550" i="9" s="1"/>
  <c r="O549" i="9"/>
  <c r="Q549" i="9"/>
  <c r="J549" i="9"/>
  <c r="I549" i="9" s="1"/>
  <c r="O548" i="9"/>
  <c r="Q548" i="9"/>
  <c r="J548" i="9"/>
  <c r="I548" i="9" s="1"/>
  <c r="O547" i="9"/>
  <c r="Q547" i="9"/>
  <c r="J547" i="9"/>
  <c r="I547" i="9" s="1"/>
  <c r="Q546" i="9"/>
  <c r="S546" i="9"/>
  <c r="J546" i="9"/>
  <c r="I546" i="9" s="1"/>
  <c r="O545" i="9"/>
  <c r="Q545" i="9"/>
  <c r="N545" i="9"/>
  <c r="B14" i="8" s="1"/>
  <c r="J545" i="9"/>
  <c r="I545" i="9" s="1"/>
  <c r="O544" i="9"/>
  <c r="Q544" i="9"/>
  <c r="J544" i="9"/>
  <c r="I544" i="9" s="1"/>
  <c r="O543" i="9"/>
  <c r="Q543" i="9"/>
  <c r="J543" i="9"/>
  <c r="I543" i="9" s="1"/>
  <c r="O542" i="9"/>
  <c r="Q542" i="9"/>
  <c r="J542" i="9"/>
  <c r="I542" i="9" s="1"/>
  <c r="Q541" i="9"/>
  <c r="S541" i="9"/>
  <c r="J541" i="9"/>
  <c r="I541" i="9" s="1"/>
  <c r="O540" i="9"/>
  <c r="Q540" i="9"/>
  <c r="J540" i="9"/>
  <c r="I540" i="9" s="1"/>
  <c r="O539" i="9"/>
  <c r="Q539" i="9"/>
  <c r="J539" i="9"/>
  <c r="I539" i="9" s="1"/>
  <c r="O538" i="9"/>
  <c r="Q538" i="9"/>
  <c r="J538" i="9"/>
  <c r="I538" i="9" s="1"/>
  <c r="O537" i="9"/>
  <c r="Q537" i="9"/>
  <c r="J537" i="9"/>
  <c r="I537" i="9" s="1"/>
  <c r="Q536" i="9"/>
  <c r="S536" i="9"/>
  <c r="J536" i="9"/>
  <c r="I536" i="9" s="1"/>
  <c r="O535" i="9"/>
  <c r="Q535" i="9"/>
  <c r="J535" i="9"/>
  <c r="I535" i="9" s="1"/>
  <c r="O534" i="9"/>
  <c r="Q534" i="9"/>
  <c r="J534" i="9"/>
  <c r="I534" i="9" s="1"/>
  <c r="O533" i="9"/>
  <c r="Q533" i="9"/>
  <c r="J533" i="9"/>
  <c r="I533" i="9" s="1"/>
  <c r="O532" i="9"/>
  <c r="Q532" i="9"/>
  <c r="J532" i="9"/>
  <c r="I532" i="9" s="1"/>
  <c r="Q531" i="9"/>
  <c r="S531" i="9"/>
  <c r="J531" i="9"/>
  <c r="I531" i="9" s="1"/>
  <c r="O530" i="9"/>
  <c r="Q530" i="9"/>
  <c r="J530" i="9"/>
  <c r="I530" i="9" s="1"/>
  <c r="O529" i="9"/>
  <c r="Q529" i="9"/>
  <c r="J529" i="9"/>
  <c r="I529" i="9" s="1"/>
  <c r="O528" i="9"/>
  <c r="Q528" i="9"/>
  <c r="J528" i="9"/>
  <c r="I528" i="9" s="1"/>
  <c r="O527" i="9"/>
  <c r="Q527" i="9"/>
  <c r="J527" i="9"/>
  <c r="I527" i="9" s="1"/>
  <c r="Q526" i="9"/>
  <c r="S526" i="9"/>
  <c r="J526" i="9"/>
  <c r="I526" i="9" s="1"/>
  <c r="O525" i="9"/>
  <c r="Q525" i="9"/>
  <c r="N525" i="9"/>
  <c r="B13" i="8" s="1"/>
  <c r="J525" i="9"/>
  <c r="I525" i="9" s="1"/>
  <c r="O524" i="9"/>
  <c r="Q524" i="9"/>
  <c r="J524" i="9"/>
  <c r="I524" i="9" s="1"/>
  <c r="O523" i="9"/>
  <c r="Q523" i="9"/>
  <c r="J523" i="9"/>
  <c r="I523" i="9" s="1"/>
  <c r="O522" i="9"/>
  <c r="Q522" i="9"/>
  <c r="J522" i="9"/>
  <c r="I522" i="9" s="1"/>
  <c r="Q521" i="9"/>
  <c r="S521" i="9"/>
  <c r="J521" i="9"/>
  <c r="I521" i="9" s="1"/>
  <c r="O520" i="9"/>
  <c r="Q520" i="9"/>
  <c r="J520" i="9"/>
  <c r="I520" i="9" s="1"/>
  <c r="O519" i="9"/>
  <c r="Q519" i="9"/>
  <c r="J519" i="9"/>
  <c r="I519" i="9" s="1"/>
  <c r="O518" i="9"/>
  <c r="Q518" i="9"/>
  <c r="J518" i="9"/>
  <c r="I518" i="9" s="1"/>
  <c r="O517" i="9"/>
  <c r="Q517" i="9"/>
  <c r="J517" i="9"/>
  <c r="I517" i="9" s="1"/>
  <c r="Q516" i="9"/>
  <c r="S516" i="9"/>
  <c r="J516" i="9"/>
  <c r="I516" i="9" s="1"/>
  <c r="O515" i="9"/>
  <c r="Q515" i="9"/>
  <c r="J515" i="9"/>
  <c r="I515" i="9" s="1"/>
  <c r="O514" i="9"/>
  <c r="Q514" i="9"/>
  <c r="J514" i="9"/>
  <c r="I514" i="9" s="1"/>
  <c r="O513" i="9"/>
  <c r="Q513" i="9"/>
  <c r="J513" i="9"/>
  <c r="I513" i="9" s="1"/>
  <c r="O512" i="9"/>
  <c r="Q512" i="9"/>
  <c r="J512" i="9"/>
  <c r="I512" i="9" s="1"/>
  <c r="Q511" i="9"/>
  <c r="S511" i="9"/>
  <c r="J511" i="9"/>
  <c r="I511" i="9" s="1"/>
  <c r="O510" i="9"/>
  <c r="Q510" i="9"/>
  <c r="J510" i="9"/>
  <c r="I510" i="9" s="1"/>
  <c r="O509" i="9"/>
  <c r="Q509" i="9"/>
  <c r="J509" i="9"/>
  <c r="I509" i="9" s="1"/>
  <c r="O508" i="9"/>
  <c r="Q508" i="9"/>
  <c r="J508" i="9"/>
  <c r="I508" i="9" s="1"/>
  <c r="O507" i="9"/>
  <c r="Q507" i="9"/>
  <c r="J507" i="9"/>
  <c r="I507" i="9" s="1"/>
  <c r="Q506" i="9"/>
  <c r="S506" i="9"/>
  <c r="J506" i="9"/>
  <c r="I506" i="9" s="1"/>
  <c r="O505" i="9"/>
  <c r="Q505" i="9"/>
  <c r="J505" i="9"/>
  <c r="I505" i="9" s="1"/>
  <c r="O504" i="9"/>
  <c r="Q504" i="9"/>
  <c r="J504" i="9"/>
  <c r="I504" i="9" s="1"/>
  <c r="O503" i="9"/>
  <c r="Q503" i="9"/>
  <c r="J503" i="9"/>
  <c r="I503" i="9" s="1"/>
  <c r="O502" i="9"/>
  <c r="Q502" i="9"/>
  <c r="N502" i="9"/>
  <c r="B12" i="8" s="1"/>
  <c r="E12" i="8" s="1"/>
  <c r="J502" i="9"/>
  <c r="I502" i="9" s="1"/>
  <c r="Q501" i="9"/>
  <c r="S501" i="9"/>
  <c r="J501" i="9"/>
  <c r="I501" i="9" s="1"/>
  <c r="O500" i="9"/>
  <c r="Q500" i="9"/>
  <c r="J500" i="9"/>
  <c r="I500" i="9" s="1"/>
  <c r="O499" i="9"/>
  <c r="Q499" i="9"/>
  <c r="J499" i="9"/>
  <c r="I499" i="9" s="1"/>
  <c r="O498" i="9"/>
  <c r="Q498" i="9"/>
  <c r="J498" i="9"/>
  <c r="I498" i="9" s="1"/>
  <c r="O497" i="9"/>
  <c r="Q497" i="9"/>
  <c r="J497" i="9"/>
  <c r="I497" i="9" s="1"/>
  <c r="Q496" i="9"/>
  <c r="S496" i="9"/>
  <c r="J496" i="9"/>
  <c r="I496" i="9" s="1"/>
  <c r="O495" i="9"/>
  <c r="Q495" i="9"/>
  <c r="J495" i="9"/>
  <c r="I495" i="9" s="1"/>
  <c r="O494" i="9"/>
  <c r="Q494" i="9"/>
  <c r="J494" i="9"/>
  <c r="I494" i="9" s="1"/>
  <c r="O493" i="9"/>
  <c r="Q493" i="9"/>
  <c r="J493" i="9"/>
  <c r="I493" i="9" s="1"/>
  <c r="O492" i="9"/>
  <c r="Q492" i="9"/>
  <c r="J492" i="9"/>
  <c r="I492" i="9" s="1"/>
  <c r="Q491" i="9"/>
  <c r="S491" i="9"/>
  <c r="J491" i="9"/>
  <c r="I491" i="9" s="1"/>
  <c r="O490" i="9"/>
  <c r="Q490" i="9"/>
  <c r="J490" i="9"/>
  <c r="I490" i="9" s="1"/>
  <c r="O489" i="9"/>
  <c r="Q489" i="9"/>
  <c r="J489" i="9"/>
  <c r="I489" i="9" s="1"/>
  <c r="O488" i="9"/>
  <c r="Q488" i="9"/>
  <c r="J488" i="9"/>
  <c r="I488" i="9" s="1"/>
  <c r="O487" i="9"/>
  <c r="Q487" i="9"/>
  <c r="J487" i="9"/>
  <c r="I487" i="9" s="1"/>
  <c r="Q486" i="9"/>
  <c r="S486" i="9"/>
  <c r="J486" i="9"/>
  <c r="I486" i="9" s="1"/>
  <c r="O485" i="9"/>
  <c r="Q485" i="9"/>
  <c r="J485" i="9"/>
  <c r="I485" i="9" s="1"/>
  <c r="O484" i="9"/>
  <c r="Q484" i="9"/>
  <c r="J484" i="9"/>
  <c r="I484" i="9" s="1"/>
  <c r="O483" i="9"/>
  <c r="Q483" i="9"/>
  <c r="J483" i="9"/>
  <c r="I483" i="9" s="1"/>
  <c r="O482" i="9"/>
  <c r="Q482" i="9"/>
  <c r="J482" i="9"/>
  <c r="I482" i="9" s="1"/>
  <c r="Q481" i="9"/>
  <c r="S481" i="9"/>
  <c r="N481" i="9"/>
  <c r="B11" i="8" s="1"/>
  <c r="E11" i="8" s="1"/>
  <c r="J481" i="9"/>
  <c r="I481" i="9" s="1"/>
  <c r="O480" i="9"/>
  <c r="Q480" i="9"/>
  <c r="J480" i="9"/>
  <c r="I480" i="9" s="1"/>
  <c r="O479" i="9"/>
  <c r="Q479" i="9"/>
  <c r="J479" i="9"/>
  <c r="O478" i="9"/>
  <c r="Q478" i="9"/>
  <c r="J478" i="9"/>
  <c r="I478" i="9" s="1"/>
  <c r="O477" i="9"/>
  <c r="Q477" i="9"/>
  <c r="J477" i="9"/>
  <c r="I477" i="9" s="1"/>
  <c r="Q476" i="9"/>
  <c r="S476" i="9"/>
  <c r="J476" i="9"/>
  <c r="I476" i="9" s="1"/>
  <c r="O475" i="9"/>
  <c r="Q475" i="9"/>
  <c r="J475" i="9"/>
  <c r="I475" i="9" s="1"/>
  <c r="O474" i="9"/>
  <c r="Q474" i="9"/>
  <c r="J474" i="9"/>
  <c r="I474" i="9" s="1"/>
  <c r="O473" i="9"/>
  <c r="Q473" i="9"/>
  <c r="J473" i="9"/>
  <c r="I473" i="9" s="1"/>
  <c r="O472" i="9"/>
  <c r="Q472" i="9"/>
  <c r="J472" i="9"/>
  <c r="I472" i="9" s="1"/>
  <c r="Q471" i="9"/>
  <c r="S471" i="9"/>
  <c r="J471" i="9"/>
  <c r="I471" i="9" s="1"/>
  <c r="O470" i="9"/>
  <c r="Q470" i="9"/>
  <c r="J470" i="9"/>
  <c r="I470" i="9" s="1"/>
  <c r="O469" i="9"/>
  <c r="Q469" i="9"/>
  <c r="J469" i="9"/>
  <c r="I469" i="9" s="1"/>
  <c r="O468" i="9"/>
  <c r="Q468" i="9"/>
  <c r="J468" i="9"/>
  <c r="I468" i="9" s="1"/>
  <c r="O467" i="9"/>
  <c r="Q467" i="9"/>
  <c r="J467" i="9"/>
  <c r="I467" i="9" s="1"/>
  <c r="Q466" i="9"/>
  <c r="S466" i="9"/>
  <c r="J466" i="9"/>
  <c r="I466" i="9" s="1"/>
  <c r="O465" i="9"/>
  <c r="Q465" i="9"/>
  <c r="J465" i="9"/>
  <c r="I465" i="9" s="1"/>
  <c r="O464" i="9"/>
  <c r="Q464" i="9"/>
  <c r="J464" i="9"/>
  <c r="I464" i="9" s="1"/>
  <c r="O463" i="9"/>
  <c r="Q463" i="9"/>
  <c r="J463" i="9"/>
  <c r="I463" i="9" s="1"/>
  <c r="O462" i="9"/>
  <c r="Q462" i="9"/>
  <c r="J462" i="9"/>
  <c r="I462" i="9" s="1"/>
  <c r="Q461" i="9"/>
  <c r="S461" i="9"/>
  <c r="J461" i="9"/>
  <c r="I461" i="9" s="1"/>
  <c r="O460" i="9"/>
  <c r="Q460" i="9"/>
  <c r="J460" i="9"/>
  <c r="I460" i="9" s="1"/>
  <c r="O459" i="9"/>
  <c r="Q459" i="9"/>
  <c r="N459" i="9"/>
  <c r="B10" i="8" s="1"/>
  <c r="E10" i="8" s="1"/>
  <c r="J459" i="9"/>
  <c r="I459" i="9" s="1"/>
  <c r="O458" i="9"/>
  <c r="Q458" i="9"/>
  <c r="J458" i="9"/>
  <c r="I458" i="9" s="1"/>
  <c r="O457" i="9"/>
  <c r="Q457" i="9"/>
  <c r="J457" i="9"/>
  <c r="I457" i="9" s="1"/>
  <c r="Q456" i="9"/>
  <c r="S456" i="9"/>
  <c r="J456" i="9"/>
  <c r="I456" i="9" s="1"/>
  <c r="O455" i="9"/>
  <c r="Q455" i="9"/>
  <c r="J455" i="9"/>
  <c r="I455" i="9" s="1"/>
  <c r="O454" i="9"/>
  <c r="Q454" i="9"/>
  <c r="J454" i="9"/>
  <c r="I454" i="9" s="1"/>
  <c r="O453" i="9"/>
  <c r="Q453" i="9"/>
  <c r="J453" i="9"/>
  <c r="I453" i="9" s="1"/>
  <c r="O452" i="9"/>
  <c r="Q452" i="9"/>
  <c r="J452" i="9"/>
  <c r="I452" i="9" s="1"/>
  <c r="Q451" i="9"/>
  <c r="S451" i="9"/>
  <c r="J451" i="9"/>
  <c r="I451" i="9" s="1"/>
  <c r="O450" i="9"/>
  <c r="Q450" i="9"/>
  <c r="J450" i="9"/>
  <c r="I450" i="9" s="1"/>
  <c r="O449" i="9"/>
  <c r="Q449" i="9"/>
  <c r="J449" i="9"/>
  <c r="I449" i="9" s="1"/>
  <c r="O448" i="9"/>
  <c r="Q448" i="9"/>
  <c r="J448" i="9"/>
  <c r="I448" i="9" s="1"/>
  <c r="O447" i="9"/>
  <c r="Q447" i="9"/>
  <c r="J447" i="9"/>
  <c r="I447" i="9" s="1"/>
  <c r="Q446" i="9"/>
  <c r="S446" i="9"/>
  <c r="J446" i="9"/>
  <c r="I446" i="9" s="1"/>
  <c r="O445" i="9"/>
  <c r="Q445" i="9"/>
  <c r="J445" i="9"/>
  <c r="I445" i="9" s="1"/>
  <c r="O444" i="9"/>
  <c r="Q444" i="9"/>
  <c r="J444" i="9"/>
  <c r="I444" i="9" s="1"/>
  <c r="O443" i="9"/>
  <c r="Q443" i="9"/>
  <c r="J443" i="9"/>
  <c r="I443" i="9" s="1"/>
  <c r="O442" i="9"/>
  <c r="Q442" i="9"/>
  <c r="J442" i="9"/>
  <c r="I442" i="9" s="1"/>
  <c r="Q441" i="9"/>
  <c r="S441" i="9"/>
  <c r="J441" i="9"/>
  <c r="I441" i="9" s="1"/>
  <c r="O440" i="9"/>
  <c r="Q440" i="9"/>
  <c r="J440" i="9"/>
  <c r="I440" i="9" s="1"/>
  <c r="O439" i="9"/>
  <c r="Q439" i="9"/>
  <c r="J439" i="9"/>
  <c r="I439" i="9" s="1"/>
  <c r="O438" i="9"/>
  <c r="Q438" i="9"/>
  <c r="J438" i="9"/>
  <c r="I438" i="9" s="1"/>
  <c r="O437" i="9"/>
  <c r="Q437" i="9"/>
  <c r="J437" i="9"/>
  <c r="I437" i="9" s="1"/>
  <c r="Q436" i="9"/>
  <c r="S436" i="9"/>
  <c r="N436" i="9"/>
  <c r="B9" i="8" s="1"/>
  <c r="E9" i="8" s="1"/>
  <c r="J436" i="9"/>
  <c r="I436" i="9" s="1"/>
  <c r="O435" i="9"/>
  <c r="Q435" i="9"/>
  <c r="J435" i="9"/>
  <c r="I435" i="9" s="1"/>
  <c r="O434" i="9"/>
  <c r="Q434" i="9"/>
  <c r="J434" i="9"/>
  <c r="I434" i="9" s="1"/>
  <c r="O433" i="9"/>
  <c r="Q433" i="9"/>
  <c r="J433" i="9"/>
  <c r="I433" i="9" s="1"/>
  <c r="O432" i="9"/>
  <c r="Q432" i="9"/>
  <c r="J432" i="9"/>
  <c r="I432" i="9" s="1"/>
  <c r="Q431" i="9"/>
  <c r="S431" i="9"/>
  <c r="J431" i="9"/>
  <c r="I431" i="9" s="1"/>
  <c r="O430" i="9"/>
  <c r="Q430" i="9"/>
  <c r="J430" i="9"/>
  <c r="I430" i="9" s="1"/>
  <c r="O429" i="9"/>
  <c r="Q429" i="9"/>
  <c r="J429" i="9"/>
  <c r="I429" i="9" s="1"/>
  <c r="O428" i="9"/>
  <c r="Q428" i="9"/>
  <c r="J428" i="9"/>
  <c r="I428" i="9" s="1"/>
  <c r="O427" i="9"/>
  <c r="Q427" i="9"/>
  <c r="J427" i="9"/>
  <c r="I427" i="9" s="1"/>
  <c r="Q426" i="9"/>
  <c r="S426" i="9"/>
  <c r="J426" i="9"/>
  <c r="I426" i="9" s="1"/>
  <c r="O425" i="9"/>
  <c r="Q425" i="9"/>
  <c r="J425" i="9"/>
  <c r="I425" i="9" s="1"/>
  <c r="O424" i="9"/>
  <c r="Q424" i="9"/>
  <c r="J424" i="9"/>
  <c r="I424" i="9" s="1"/>
  <c r="O423" i="9"/>
  <c r="Q423" i="9"/>
  <c r="J423" i="9"/>
  <c r="I423" i="9" s="1"/>
  <c r="O422" i="9"/>
  <c r="Q422" i="9"/>
  <c r="J422" i="9"/>
  <c r="I422" i="9" s="1"/>
  <c r="Q421" i="9"/>
  <c r="S421" i="9"/>
  <c r="J421" i="9"/>
  <c r="I421" i="9" s="1"/>
  <c r="O420" i="9"/>
  <c r="Q420" i="9"/>
  <c r="J420" i="9"/>
  <c r="I420" i="9" s="1"/>
  <c r="O419" i="9"/>
  <c r="Q419" i="9"/>
  <c r="J419" i="9"/>
  <c r="I419" i="9" s="1"/>
  <c r="O418" i="9"/>
  <c r="Q418" i="9"/>
  <c r="J418" i="9"/>
  <c r="I418" i="9" s="1"/>
  <c r="O417" i="9"/>
  <c r="Q417" i="9"/>
  <c r="J417" i="9"/>
  <c r="I417" i="9" s="1"/>
  <c r="Q416" i="9"/>
  <c r="S416" i="9"/>
  <c r="N416" i="9"/>
  <c r="B8" i="8" s="1"/>
  <c r="E8" i="8" s="1"/>
  <c r="J416" i="9"/>
  <c r="I416" i="9" s="1"/>
  <c r="O415" i="9"/>
  <c r="Q415" i="9"/>
  <c r="J415" i="9"/>
  <c r="I415" i="9" s="1"/>
  <c r="O414" i="9"/>
  <c r="Q414" i="9"/>
  <c r="J414" i="9"/>
  <c r="I414" i="9" s="1"/>
  <c r="O413" i="9"/>
  <c r="Q413" i="9"/>
  <c r="J413" i="9"/>
  <c r="I413" i="9" s="1"/>
  <c r="O412" i="9"/>
  <c r="Q412" i="9"/>
  <c r="J412" i="9"/>
  <c r="I412" i="9" s="1"/>
  <c r="Q411" i="9"/>
  <c r="S411" i="9"/>
  <c r="J411" i="9"/>
  <c r="I411" i="9" s="1"/>
  <c r="O410" i="9"/>
  <c r="Q410" i="9"/>
  <c r="J410" i="9"/>
  <c r="I410" i="9" s="1"/>
  <c r="O409" i="9"/>
  <c r="Q409" i="9"/>
  <c r="J409" i="9"/>
  <c r="I409" i="9" s="1"/>
  <c r="O408" i="9"/>
  <c r="Q408" i="9"/>
  <c r="J408" i="9"/>
  <c r="I408" i="9" s="1"/>
  <c r="O407" i="9"/>
  <c r="Q407" i="9"/>
  <c r="J407" i="9"/>
  <c r="I407" i="9" s="1"/>
  <c r="Q406" i="9"/>
  <c r="S406" i="9"/>
  <c r="J406" i="9"/>
  <c r="I406" i="9" s="1"/>
  <c r="O405" i="9"/>
  <c r="Q405" i="9"/>
  <c r="J405" i="9"/>
  <c r="I405" i="9" s="1"/>
  <c r="O404" i="9"/>
  <c r="Q404" i="9"/>
  <c r="J404" i="9"/>
  <c r="I404" i="9" s="1"/>
  <c r="O403" i="9"/>
  <c r="Q403" i="9"/>
  <c r="J403" i="9"/>
  <c r="I403" i="9" s="1"/>
  <c r="O402" i="9"/>
  <c r="Q402" i="9"/>
  <c r="J402" i="9"/>
  <c r="I402" i="9" s="1"/>
  <c r="Q401" i="9"/>
  <c r="S401" i="9"/>
  <c r="J401" i="9"/>
  <c r="I401" i="9" s="1"/>
  <c r="O400" i="9"/>
  <c r="Q400" i="9"/>
  <c r="J400" i="9"/>
  <c r="I400" i="9" s="1"/>
  <c r="O399" i="9"/>
  <c r="Q399" i="9"/>
  <c r="J399" i="9"/>
  <c r="I399" i="9" s="1"/>
  <c r="O398" i="9"/>
  <c r="Q398" i="9"/>
  <c r="J398" i="9"/>
  <c r="I398" i="9" s="1"/>
  <c r="O397" i="9"/>
  <c r="Q397" i="9"/>
  <c r="J397" i="9"/>
  <c r="I397" i="9" s="1"/>
  <c r="Q396" i="9"/>
  <c r="S396" i="9"/>
  <c r="J396" i="9"/>
  <c r="I396" i="9" s="1"/>
  <c r="O395" i="9"/>
  <c r="Q395" i="9"/>
  <c r="J395" i="9"/>
  <c r="I395" i="9" s="1"/>
  <c r="O394" i="9"/>
  <c r="Q394" i="9"/>
  <c r="J394" i="9"/>
  <c r="I394" i="9" s="1"/>
  <c r="O393" i="9"/>
  <c r="Q393" i="9"/>
  <c r="N393" i="9"/>
  <c r="B7" i="8" s="1"/>
  <c r="E7" i="8" s="1"/>
  <c r="J393" i="9"/>
  <c r="I393" i="9" s="1"/>
  <c r="O392" i="9"/>
  <c r="Q392" i="9"/>
  <c r="J392" i="9"/>
  <c r="I392" i="9" s="1"/>
  <c r="Q391" i="9"/>
  <c r="S391" i="9"/>
  <c r="J391" i="9"/>
  <c r="I391" i="9" s="1"/>
  <c r="O390" i="9"/>
  <c r="Q390" i="9"/>
  <c r="J390" i="9"/>
  <c r="I390" i="9" s="1"/>
  <c r="O389" i="9"/>
  <c r="Q389" i="9"/>
  <c r="J389" i="9"/>
  <c r="I389" i="9" s="1"/>
  <c r="O388" i="9"/>
  <c r="Q388" i="9"/>
  <c r="J388" i="9"/>
  <c r="I388" i="9" s="1"/>
  <c r="O387" i="9"/>
  <c r="Q387" i="9"/>
  <c r="J387" i="9"/>
  <c r="I387" i="9" s="1"/>
  <c r="Q386" i="9"/>
  <c r="S386" i="9"/>
  <c r="J386" i="9"/>
  <c r="I386" i="9" s="1"/>
  <c r="O385" i="9"/>
  <c r="Q385" i="9"/>
  <c r="J385" i="9"/>
  <c r="I385" i="9" s="1"/>
  <c r="O384" i="9"/>
  <c r="Q384" i="9"/>
  <c r="J384" i="9"/>
  <c r="I384" i="9" s="1"/>
  <c r="O383" i="9"/>
  <c r="Q383" i="9"/>
  <c r="J383" i="9"/>
  <c r="I383" i="9" s="1"/>
  <c r="O382" i="9"/>
  <c r="Q382" i="9"/>
  <c r="J382" i="9"/>
  <c r="I382" i="9" s="1"/>
  <c r="Q381" i="9"/>
  <c r="S381" i="9"/>
  <c r="J381" i="9"/>
  <c r="I381" i="9" s="1"/>
  <c r="O380" i="9"/>
  <c r="Q380" i="9"/>
  <c r="J380" i="9"/>
  <c r="I380" i="9" s="1"/>
  <c r="O379" i="9"/>
  <c r="Q379" i="9"/>
  <c r="J379" i="9"/>
  <c r="I379" i="9" s="1"/>
  <c r="O378" i="9"/>
  <c r="Q378" i="9"/>
  <c r="J378" i="9"/>
  <c r="I378" i="9" s="1"/>
  <c r="O377" i="9"/>
  <c r="Q377" i="9"/>
  <c r="J377" i="9"/>
  <c r="I377" i="9" s="1"/>
  <c r="Q376" i="9"/>
  <c r="S376" i="9"/>
  <c r="J376" i="9"/>
  <c r="I376" i="9" s="1"/>
  <c r="O375" i="9"/>
  <c r="Q375" i="9"/>
  <c r="J375" i="9"/>
  <c r="I375" i="9" s="1"/>
  <c r="O374" i="9"/>
  <c r="Q374" i="9"/>
  <c r="J374" i="9"/>
  <c r="I374" i="9" s="1"/>
  <c r="O373" i="9"/>
  <c r="Q373" i="9"/>
  <c r="J373" i="9"/>
  <c r="I373" i="9" s="1"/>
  <c r="O372" i="9"/>
  <c r="Q372" i="9"/>
  <c r="J372" i="9"/>
  <c r="I372" i="9" s="1"/>
  <c r="Q371" i="9"/>
  <c r="S371" i="9"/>
  <c r="N371" i="9"/>
  <c r="B6" i="8" s="1"/>
  <c r="E6" i="8" s="1"/>
  <c r="J371" i="9"/>
  <c r="I371" i="9" s="1"/>
  <c r="O370" i="9"/>
  <c r="Q370" i="9"/>
  <c r="J370" i="9"/>
  <c r="I370" i="9" s="1"/>
  <c r="O369" i="9"/>
  <c r="Q369" i="9"/>
  <c r="J369" i="9"/>
  <c r="I369" i="9" s="1"/>
  <c r="O368" i="9"/>
  <c r="Q368" i="9"/>
  <c r="J368" i="9"/>
  <c r="I368" i="9" s="1"/>
  <c r="O367" i="9"/>
  <c r="Q367" i="9"/>
  <c r="J367" i="9"/>
  <c r="I367" i="9" s="1"/>
  <c r="Q366" i="9"/>
  <c r="S366" i="9"/>
  <c r="J366" i="9"/>
  <c r="I366" i="9" s="1"/>
  <c r="O365" i="9"/>
  <c r="Q365" i="9"/>
  <c r="J365" i="9"/>
  <c r="I365" i="9" s="1"/>
  <c r="O364" i="9"/>
  <c r="Q364" i="9"/>
  <c r="J364" i="9"/>
  <c r="I364" i="9" s="1"/>
  <c r="O363" i="9"/>
  <c r="Q363" i="9"/>
  <c r="J363" i="9"/>
  <c r="I363" i="9" s="1"/>
  <c r="O362" i="9"/>
  <c r="Q362" i="9"/>
  <c r="J362" i="9"/>
  <c r="I362" i="9" s="1"/>
  <c r="Q361" i="9"/>
  <c r="S361" i="9"/>
  <c r="J361" i="9"/>
  <c r="I361" i="9" s="1"/>
  <c r="O360" i="9"/>
  <c r="Q360" i="9"/>
  <c r="J360" i="9"/>
  <c r="I360" i="9" s="1"/>
  <c r="O359" i="9"/>
  <c r="Q359" i="9"/>
  <c r="J359" i="9"/>
  <c r="I359" i="9" s="1"/>
  <c r="O358" i="9"/>
  <c r="Q358" i="9"/>
  <c r="J358" i="9"/>
  <c r="I358" i="9" s="1"/>
  <c r="O357" i="9"/>
  <c r="Q357" i="9"/>
  <c r="J357" i="9"/>
  <c r="I357" i="9" s="1"/>
  <c r="Q356" i="9"/>
  <c r="S356" i="9"/>
  <c r="J356" i="9"/>
  <c r="I356" i="9" s="1"/>
  <c r="O355" i="9"/>
  <c r="Q355" i="9"/>
  <c r="J355" i="9"/>
  <c r="I355" i="9" s="1"/>
  <c r="O354" i="9"/>
  <c r="Q354" i="9"/>
  <c r="J354" i="9"/>
  <c r="I354" i="9" s="1"/>
  <c r="O353" i="9"/>
  <c r="Q353" i="9"/>
  <c r="J353" i="9"/>
  <c r="I353" i="9" s="1"/>
  <c r="O352" i="9"/>
  <c r="Q352" i="9"/>
  <c r="J352" i="9"/>
  <c r="I352" i="9" s="1"/>
  <c r="Q351" i="9"/>
  <c r="S351" i="9"/>
  <c r="J351" i="9"/>
  <c r="I351" i="9" s="1"/>
  <c r="O350" i="9"/>
  <c r="Q350" i="9"/>
  <c r="N350" i="9"/>
  <c r="B5" i="8" s="1"/>
  <c r="E5" i="8" s="1"/>
  <c r="J350" i="9"/>
  <c r="I350" i="9" s="1"/>
  <c r="O349" i="9"/>
  <c r="Q349" i="9"/>
  <c r="J349" i="9"/>
  <c r="I349" i="9" s="1"/>
  <c r="O348" i="9"/>
  <c r="Q348" i="9"/>
  <c r="J348" i="9"/>
  <c r="I348" i="9" s="1"/>
  <c r="O347" i="9"/>
  <c r="Q347" i="9"/>
  <c r="J347" i="9"/>
  <c r="I347" i="9" s="1"/>
  <c r="Q346" i="9"/>
  <c r="S346" i="9"/>
  <c r="J346" i="9"/>
  <c r="I346" i="9" s="1"/>
  <c r="O345" i="9"/>
  <c r="Q345" i="9"/>
  <c r="J345" i="9"/>
  <c r="I345" i="9" s="1"/>
  <c r="O344" i="9"/>
  <c r="Q344" i="9"/>
  <c r="J344" i="9"/>
  <c r="I344" i="9" s="1"/>
  <c r="O343" i="9"/>
  <c r="Q343" i="9"/>
  <c r="J343" i="9"/>
  <c r="I343" i="9" s="1"/>
  <c r="O342" i="9"/>
  <c r="Q342" i="9"/>
  <c r="J342" i="9"/>
  <c r="I342" i="9" s="1"/>
  <c r="Q341" i="9"/>
  <c r="S341" i="9"/>
  <c r="J341" i="9"/>
  <c r="I341" i="9" s="1"/>
  <c r="O340" i="9"/>
  <c r="Q340" i="9"/>
  <c r="J340" i="9"/>
  <c r="I340" i="9" s="1"/>
  <c r="O339" i="9"/>
  <c r="Q339" i="9"/>
  <c r="J339" i="9"/>
  <c r="I339" i="9" s="1"/>
  <c r="O338" i="9"/>
  <c r="Q338" i="9"/>
  <c r="J338" i="9"/>
  <c r="I338" i="9" s="1"/>
  <c r="O337" i="9"/>
  <c r="Q337" i="9"/>
  <c r="J337" i="9"/>
  <c r="I337" i="9" s="1"/>
  <c r="Q336" i="9"/>
  <c r="S336" i="9"/>
  <c r="J336" i="9"/>
  <c r="I336" i="9" s="1"/>
  <c r="O335" i="9"/>
  <c r="Q335" i="9"/>
  <c r="J335" i="9"/>
  <c r="I335" i="9" s="1"/>
  <c r="O334" i="9"/>
  <c r="Q334" i="9"/>
  <c r="J334" i="9"/>
  <c r="I334" i="9" s="1"/>
  <c r="O333" i="9"/>
  <c r="Q333" i="9"/>
  <c r="J333" i="9"/>
  <c r="I333" i="9" s="1"/>
  <c r="O332" i="9"/>
  <c r="Q332" i="9"/>
  <c r="J332" i="9"/>
  <c r="I332" i="9" s="1"/>
  <c r="Q331" i="9"/>
  <c r="S331" i="9"/>
  <c r="J331" i="9"/>
  <c r="I331" i="9" s="1"/>
  <c r="O330" i="9"/>
  <c r="Q330" i="9"/>
  <c r="J330" i="9"/>
  <c r="I330" i="9" s="1"/>
  <c r="O329" i="9"/>
  <c r="Q329" i="9"/>
  <c r="J329" i="9"/>
  <c r="I329" i="9" s="1"/>
  <c r="O328" i="9"/>
  <c r="Q328" i="9"/>
  <c r="J328" i="9"/>
  <c r="I328" i="9" s="1"/>
  <c r="O327" i="9"/>
  <c r="Q327" i="9"/>
  <c r="N327" i="9"/>
  <c r="B4" i="8" s="1"/>
  <c r="E4" i="8" s="1"/>
  <c r="J327" i="9"/>
  <c r="I327" i="9" s="1"/>
  <c r="Q326" i="9"/>
  <c r="S326" i="9"/>
  <c r="J326" i="9"/>
  <c r="I326" i="9" s="1"/>
  <c r="O325" i="9"/>
  <c r="Q325" i="9"/>
  <c r="J325" i="9"/>
  <c r="I325" i="9" s="1"/>
  <c r="O324" i="9"/>
  <c r="Q324" i="9"/>
  <c r="J324" i="9"/>
  <c r="I324" i="9" s="1"/>
  <c r="O323" i="9"/>
  <c r="Q323" i="9"/>
  <c r="J323" i="9"/>
  <c r="I323" i="9" s="1"/>
  <c r="O322" i="9"/>
  <c r="Q322" i="9"/>
  <c r="J322" i="9"/>
  <c r="I322" i="9" s="1"/>
  <c r="Q321" i="9"/>
  <c r="S321" i="9"/>
  <c r="J321" i="9"/>
  <c r="I321" i="9" s="1"/>
  <c r="O320" i="9"/>
  <c r="Q320" i="9"/>
  <c r="J320" i="9"/>
  <c r="I320" i="9" s="1"/>
  <c r="O319" i="9"/>
  <c r="Q319" i="9"/>
  <c r="J319" i="9"/>
  <c r="I319" i="9" s="1"/>
  <c r="O318" i="9"/>
  <c r="Q318" i="9"/>
  <c r="J318" i="9"/>
  <c r="I318" i="9" s="1"/>
  <c r="O317" i="9"/>
  <c r="Q317" i="9"/>
  <c r="J317" i="9"/>
  <c r="I317" i="9" s="1"/>
  <c r="Q316" i="9"/>
  <c r="S316" i="9"/>
  <c r="J316" i="9"/>
  <c r="I316" i="9" s="1"/>
  <c r="O315" i="9"/>
  <c r="Q315" i="9"/>
  <c r="J315" i="9"/>
  <c r="I315" i="9" s="1"/>
  <c r="O314" i="9"/>
  <c r="Q314" i="9"/>
  <c r="J314" i="9"/>
  <c r="I314" i="9" s="1"/>
  <c r="O313" i="9"/>
  <c r="Q313" i="9"/>
  <c r="J313" i="9"/>
  <c r="I313" i="9" s="1"/>
  <c r="O312" i="9"/>
  <c r="Q312" i="9"/>
  <c r="J312" i="9"/>
  <c r="Q311" i="9"/>
  <c r="S311" i="9"/>
  <c r="J311" i="9"/>
  <c r="I311" i="9" s="1"/>
  <c r="O310" i="9"/>
  <c r="Q310" i="9"/>
  <c r="J310" i="9"/>
  <c r="I310" i="9" s="1"/>
  <c r="O309" i="9"/>
  <c r="Q309" i="9"/>
  <c r="J309" i="9"/>
  <c r="I309" i="9" s="1"/>
  <c r="O308" i="9"/>
  <c r="Q308" i="9"/>
  <c r="J308" i="9"/>
  <c r="I308" i="9" s="1"/>
  <c r="O307" i="9"/>
  <c r="Q307" i="9"/>
  <c r="J307" i="9"/>
  <c r="I307" i="9" s="1"/>
  <c r="Q306" i="9"/>
  <c r="S306" i="9"/>
  <c r="N306" i="9"/>
  <c r="B3" i="8" s="1"/>
  <c r="E3" i="8" s="1"/>
  <c r="J306" i="9"/>
  <c r="I306" i="9" s="1"/>
  <c r="O305" i="9"/>
  <c r="Q305" i="9"/>
  <c r="J305" i="9"/>
  <c r="I305" i="9" s="1"/>
  <c r="O304" i="9"/>
  <c r="Q304" i="9"/>
  <c r="J304" i="9"/>
  <c r="I304" i="9" s="1"/>
  <c r="O303" i="9"/>
  <c r="Q303" i="9"/>
  <c r="J303" i="9"/>
  <c r="I303" i="9" s="1"/>
  <c r="O302" i="9"/>
  <c r="Q302" i="9"/>
  <c r="J302" i="9"/>
  <c r="I302" i="9" s="1"/>
  <c r="Q301" i="9"/>
  <c r="S301" i="9"/>
  <c r="J301" i="9"/>
  <c r="I301" i="9" s="1"/>
  <c r="O300" i="9"/>
  <c r="Q300" i="9"/>
  <c r="J300" i="9"/>
  <c r="I300" i="9" s="1"/>
  <c r="O299" i="9"/>
  <c r="Q299" i="9"/>
  <c r="J299" i="9"/>
  <c r="I299" i="9" s="1"/>
  <c r="O298" i="9"/>
  <c r="Q298" i="9"/>
  <c r="J298" i="9"/>
  <c r="I298" i="9" s="1"/>
  <c r="O297" i="9"/>
  <c r="Q297" i="9"/>
  <c r="J297" i="9"/>
  <c r="I297" i="9" s="1"/>
  <c r="Q296" i="9"/>
  <c r="S296" i="9"/>
  <c r="J296" i="9"/>
  <c r="I296" i="9" s="1"/>
  <c r="O295" i="9"/>
  <c r="Q295" i="9"/>
  <c r="J295" i="9"/>
  <c r="I295" i="9" s="1"/>
  <c r="O294" i="9"/>
  <c r="Q294" i="9"/>
  <c r="J294" i="9"/>
  <c r="I294" i="9" s="1"/>
  <c r="O293" i="9"/>
  <c r="Q293" i="9"/>
  <c r="J293" i="9"/>
  <c r="I293" i="9" s="1"/>
  <c r="O292" i="9"/>
  <c r="Q292" i="9"/>
  <c r="J292" i="9"/>
  <c r="I292" i="9" s="1"/>
  <c r="Q291" i="9"/>
  <c r="S291" i="9"/>
  <c r="J291" i="9"/>
  <c r="I291" i="9" s="1"/>
  <c r="O290" i="9"/>
  <c r="Q290" i="9"/>
  <c r="J290" i="9"/>
  <c r="I290" i="9" s="1"/>
  <c r="O289" i="9"/>
  <c r="Q289" i="9"/>
  <c r="J289" i="9"/>
  <c r="I289" i="9" s="1"/>
  <c r="O288" i="9"/>
  <c r="Q288" i="9"/>
  <c r="J288" i="9"/>
  <c r="I288" i="9" s="1"/>
  <c r="O287" i="9"/>
  <c r="Q287" i="9"/>
  <c r="J287" i="9"/>
  <c r="I287" i="9" s="1"/>
  <c r="Q286" i="9"/>
  <c r="S286" i="9"/>
  <c r="J286" i="9"/>
  <c r="I286" i="9" s="1"/>
  <c r="O285" i="9"/>
  <c r="Q285" i="9"/>
  <c r="J285" i="9"/>
  <c r="I285" i="9" s="1"/>
  <c r="O284" i="9"/>
  <c r="Q284" i="9"/>
  <c r="N284" i="9"/>
  <c r="B2" i="8" s="1"/>
  <c r="E2" i="8" s="1"/>
  <c r="J284" i="9"/>
  <c r="I284" i="9" s="1"/>
  <c r="O283" i="9"/>
  <c r="Q283" i="9"/>
  <c r="J283" i="9"/>
  <c r="I283" i="9" s="1"/>
  <c r="O282" i="9"/>
  <c r="Q282" i="9"/>
  <c r="J282" i="9"/>
  <c r="I282" i="9" s="1"/>
  <c r="Q281" i="9"/>
  <c r="S281" i="9"/>
  <c r="J281" i="9"/>
  <c r="I281" i="9" s="1"/>
  <c r="O280" i="9"/>
  <c r="Q280" i="9"/>
  <c r="J280" i="9"/>
  <c r="I280" i="9" s="1"/>
  <c r="O279" i="9"/>
  <c r="Q279" i="9"/>
  <c r="J279" i="9"/>
  <c r="I279" i="9" s="1"/>
  <c r="O278" i="9"/>
  <c r="Q278" i="9"/>
  <c r="J278" i="9"/>
  <c r="I278" i="9" s="1"/>
  <c r="O277" i="9"/>
  <c r="Q277" i="9"/>
  <c r="J277" i="9"/>
  <c r="I277" i="9" s="1"/>
  <c r="O276" i="9"/>
  <c r="Q276" i="9"/>
  <c r="S276" i="9"/>
  <c r="J276" i="9"/>
  <c r="I276" i="9" s="1"/>
  <c r="O275" i="9"/>
  <c r="Q275" i="9"/>
  <c r="J275" i="9"/>
  <c r="I275" i="9" s="1"/>
  <c r="O274" i="9"/>
  <c r="Q274" i="9"/>
  <c r="J274" i="9"/>
  <c r="I274" i="9" s="1"/>
  <c r="O273" i="9"/>
  <c r="Q273" i="9"/>
  <c r="J273" i="9"/>
  <c r="I273" i="9" s="1"/>
  <c r="O272" i="9"/>
  <c r="Q272" i="9"/>
  <c r="J272" i="9"/>
  <c r="I272" i="9" s="1"/>
  <c r="Q271" i="9"/>
  <c r="S271" i="9"/>
  <c r="J271" i="9"/>
  <c r="I271" i="9" s="1"/>
  <c r="O270" i="9"/>
  <c r="Q270" i="9"/>
  <c r="J270" i="9"/>
  <c r="I270" i="9" s="1"/>
  <c r="O269" i="9"/>
  <c r="Q269" i="9"/>
  <c r="J269" i="9"/>
  <c r="I269" i="9" s="1"/>
  <c r="O268" i="9"/>
  <c r="Q268" i="9"/>
  <c r="J268" i="9"/>
  <c r="I268" i="9" s="1"/>
  <c r="O267" i="9"/>
  <c r="Q267" i="9"/>
  <c r="J267" i="9"/>
  <c r="I267" i="9" s="1"/>
  <c r="Q266" i="9"/>
  <c r="S266" i="9"/>
  <c r="J266" i="9"/>
  <c r="I266" i="9" s="1"/>
  <c r="O265" i="9"/>
  <c r="Q265" i="9"/>
  <c r="J265" i="9"/>
  <c r="I265" i="9" s="1"/>
  <c r="O264" i="9"/>
  <c r="Q264" i="9"/>
  <c r="N264" i="9"/>
  <c r="B1" i="8" s="1"/>
  <c r="E1" i="8" s="1"/>
  <c r="J264" i="9"/>
  <c r="I264" i="9" s="1"/>
  <c r="O263" i="9"/>
  <c r="Q263" i="9"/>
  <c r="J263" i="9"/>
  <c r="I263" i="9" s="1"/>
  <c r="O262" i="9"/>
  <c r="Q262" i="9"/>
  <c r="J262" i="9"/>
  <c r="I262" i="9" s="1"/>
  <c r="Q261" i="9"/>
  <c r="S261" i="9"/>
  <c r="J261" i="9"/>
  <c r="I261" i="9" s="1"/>
  <c r="O260" i="9"/>
  <c r="Q260" i="9"/>
  <c r="J260" i="9"/>
  <c r="I260" i="9" s="1"/>
  <c r="O259" i="9"/>
  <c r="Q259" i="9"/>
  <c r="J259" i="9"/>
  <c r="I259" i="9" s="1"/>
  <c r="O258" i="9"/>
  <c r="Q258" i="9"/>
  <c r="J258" i="9"/>
  <c r="I258" i="9" s="1"/>
  <c r="O257" i="9"/>
  <c r="Q257" i="9"/>
  <c r="J257" i="9"/>
  <c r="I257" i="9" s="1"/>
  <c r="Q256" i="9"/>
  <c r="S256" i="9"/>
  <c r="J256" i="9"/>
  <c r="I256" i="9" s="1"/>
  <c r="O255" i="9"/>
  <c r="Q255" i="9"/>
  <c r="J255" i="9"/>
  <c r="I255" i="9" s="1"/>
  <c r="O254" i="9"/>
  <c r="Q254" i="9"/>
  <c r="J254" i="9"/>
  <c r="I254" i="9" s="1"/>
  <c r="O253" i="9"/>
  <c r="Q253" i="9"/>
  <c r="J253" i="9"/>
  <c r="I253" i="9" s="1"/>
  <c r="O252" i="9"/>
  <c r="Q252" i="9"/>
  <c r="J252" i="9"/>
  <c r="I252" i="9" s="1"/>
  <c r="Q251" i="9"/>
  <c r="S251" i="9"/>
  <c r="J251" i="9"/>
  <c r="I251" i="9" s="1"/>
  <c r="O250" i="9"/>
  <c r="Q250" i="9"/>
  <c r="J250" i="9"/>
  <c r="I250" i="9" s="1"/>
  <c r="O249" i="9"/>
  <c r="Q249" i="9"/>
  <c r="J249" i="9"/>
  <c r="I249" i="9" s="1"/>
  <c r="O248" i="9"/>
  <c r="Q248" i="9"/>
  <c r="J248" i="9"/>
  <c r="I248" i="9" s="1"/>
  <c r="O247" i="9"/>
  <c r="Q247" i="9"/>
  <c r="J247" i="9"/>
  <c r="I247" i="9" s="1"/>
  <c r="Q246" i="9"/>
  <c r="J246" i="9"/>
  <c r="I246" i="9" s="1"/>
  <c r="O245" i="9"/>
  <c r="Q245" i="9"/>
  <c r="J245" i="9"/>
  <c r="I245" i="9" s="1"/>
  <c r="O244" i="9"/>
  <c r="Q244" i="9"/>
  <c r="J244" i="9"/>
  <c r="I244" i="9" s="1"/>
  <c r="O243" i="9"/>
  <c r="Q243" i="9"/>
  <c r="J243" i="9"/>
  <c r="I243" i="9" s="1"/>
  <c r="O242" i="9"/>
  <c r="Q242" i="9"/>
  <c r="J242" i="9"/>
  <c r="I242" i="9" s="1"/>
  <c r="Q241" i="9"/>
  <c r="S241" i="9"/>
  <c r="S246" i="9" s="1"/>
  <c r="N241" i="9"/>
  <c r="J241" i="9"/>
  <c r="I241" i="9" s="1"/>
  <c r="O240" i="9"/>
  <c r="Q240" i="9"/>
  <c r="J240" i="9"/>
  <c r="I240" i="9" s="1"/>
  <c r="O239" i="9"/>
  <c r="Q239" i="9"/>
  <c r="J239" i="9"/>
  <c r="I239" i="9" s="1"/>
  <c r="O238" i="9"/>
  <c r="Q238" i="9"/>
  <c r="J238" i="9"/>
  <c r="I238" i="9" s="1"/>
  <c r="O237" i="9"/>
  <c r="Q237" i="9"/>
  <c r="J237" i="9"/>
  <c r="I237" i="9" s="1"/>
  <c r="Q236" i="9"/>
  <c r="S236" i="9"/>
  <c r="J236" i="9"/>
  <c r="I236" i="9" s="1"/>
  <c r="O235" i="9"/>
  <c r="Q235" i="9"/>
  <c r="J235" i="9"/>
  <c r="I235" i="9" s="1"/>
  <c r="O234" i="9"/>
  <c r="Q234" i="9"/>
  <c r="J234" i="9"/>
  <c r="I234" i="9" s="1"/>
  <c r="O233" i="9"/>
  <c r="Q233" i="9"/>
  <c r="J233" i="9"/>
  <c r="I233" i="9" s="1"/>
  <c r="O232" i="9"/>
  <c r="Q232" i="9"/>
  <c r="J232" i="9"/>
  <c r="I232" i="9" s="1"/>
  <c r="Q231" i="9"/>
  <c r="S231" i="9"/>
  <c r="J231" i="9"/>
  <c r="I231" i="9" s="1"/>
  <c r="O230" i="9"/>
  <c r="Q230" i="9"/>
  <c r="J230" i="9"/>
  <c r="I230" i="9" s="1"/>
  <c r="O229" i="9"/>
  <c r="Q229" i="9"/>
  <c r="J229" i="9"/>
  <c r="I229" i="9" s="1"/>
  <c r="O228" i="9"/>
  <c r="Q228" i="9"/>
  <c r="J228" i="9"/>
  <c r="I228" i="9" s="1"/>
  <c r="O227" i="9"/>
  <c r="Q227" i="9"/>
  <c r="J227" i="9"/>
  <c r="I227" i="9" s="1"/>
  <c r="Q226" i="9"/>
  <c r="S226" i="9"/>
  <c r="J226" i="9"/>
  <c r="I226" i="9" s="1"/>
  <c r="O225" i="9"/>
  <c r="Q225" i="9"/>
  <c r="J225" i="9"/>
  <c r="I225" i="9" s="1"/>
  <c r="O224" i="9"/>
  <c r="Q224" i="9"/>
  <c r="J224" i="9"/>
  <c r="I224" i="9" s="1"/>
  <c r="O223" i="9"/>
  <c r="Q223" i="9"/>
  <c r="J223" i="9"/>
  <c r="I223" i="9" s="1"/>
  <c r="O222" i="9"/>
  <c r="Q222" i="9"/>
  <c r="J222" i="9"/>
  <c r="I222" i="9" s="1"/>
  <c r="Q221" i="9"/>
  <c r="S221" i="9"/>
  <c r="J221" i="9"/>
  <c r="I221" i="9" s="1"/>
  <c r="O220" i="9"/>
  <c r="Q220" i="9"/>
  <c r="N220" i="9"/>
  <c r="J220" i="9"/>
  <c r="I220" i="9" s="1"/>
  <c r="O219" i="9"/>
  <c r="Q219" i="9"/>
  <c r="J219" i="9"/>
  <c r="I219" i="9" s="1"/>
  <c r="O218" i="9"/>
  <c r="Q218" i="9"/>
  <c r="J218" i="9"/>
  <c r="I218" i="9" s="1"/>
  <c r="O217" i="9"/>
  <c r="Q217" i="9"/>
  <c r="J217" i="9"/>
  <c r="I217" i="9" s="1"/>
  <c r="Q216" i="9"/>
  <c r="S216" i="9"/>
  <c r="J216" i="9"/>
  <c r="I216" i="9" s="1"/>
  <c r="O215" i="9"/>
  <c r="Q215" i="9"/>
  <c r="J215" i="9"/>
  <c r="I215" i="9" s="1"/>
  <c r="O214" i="9"/>
  <c r="Q214" i="9"/>
  <c r="J214" i="9"/>
  <c r="I214" i="9" s="1"/>
  <c r="O213" i="9"/>
  <c r="Q213" i="9"/>
  <c r="J213" i="9"/>
  <c r="I213" i="9" s="1"/>
  <c r="O212" i="9"/>
  <c r="Q212" i="9"/>
  <c r="J212" i="9"/>
  <c r="I212" i="9" s="1"/>
  <c r="Q211" i="9"/>
  <c r="S211" i="9"/>
  <c r="J211" i="9"/>
  <c r="I211" i="9" s="1"/>
  <c r="O210" i="9"/>
  <c r="Q210" i="9"/>
  <c r="J210" i="9"/>
  <c r="I210" i="9" s="1"/>
  <c r="O209" i="9"/>
  <c r="Q209" i="9"/>
  <c r="J209" i="9"/>
  <c r="I209" i="9" s="1"/>
  <c r="O208" i="9"/>
  <c r="Q208" i="9"/>
  <c r="J208" i="9"/>
  <c r="I208" i="9" s="1"/>
  <c r="O207" i="9"/>
  <c r="Q207" i="9"/>
  <c r="J207" i="9"/>
  <c r="I207" i="9" s="1"/>
  <c r="Q206" i="9"/>
  <c r="S206" i="9"/>
  <c r="J206" i="9"/>
  <c r="I206" i="9" s="1"/>
  <c r="Q205" i="9"/>
  <c r="J205" i="9"/>
  <c r="I205" i="9" s="1"/>
  <c r="Q204" i="9"/>
  <c r="J204" i="9"/>
  <c r="I204" i="9" s="1"/>
  <c r="Q203" i="9"/>
  <c r="J203" i="9"/>
  <c r="I203" i="9" s="1"/>
  <c r="Q202" i="9"/>
  <c r="J202" i="9"/>
  <c r="I202" i="9" s="1"/>
  <c r="Q201" i="9"/>
  <c r="S201" i="9"/>
  <c r="J201" i="9"/>
  <c r="I201" i="9" s="1"/>
  <c r="Q200" i="9"/>
  <c r="J200" i="9"/>
  <c r="I200" i="9" s="1"/>
  <c r="Q199" i="9"/>
  <c r="I199" i="9"/>
  <c r="Q198" i="9"/>
  <c r="N198" i="9"/>
  <c r="J198" i="9"/>
  <c r="I198" i="9" s="1"/>
  <c r="Q197" i="9"/>
  <c r="J197" i="9"/>
  <c r="I197" i="9" s="1"/>
  <c r="Q196" i="9"/>
  <c r="S196" i="9"/>
  <c r="J196" i="9"/>
  <c r="I196" i="9" s="1"/>
  <c r="Q195" i="9"/>
  <c r="J195" i="9"/>
  <c r="I195" i="9" s="1"/>
  <c r="Q194" i="9"/>
  <c r="J194" i="9"/>
  <c r="I194" i="9" s="1"/>
  <c r="Q193" i="9"/>
  <c r="J193" i="9"/>
  <c r="I193" i="9" s="1"/>
  <c r="Q192" i="9"/>
  <c r="J192" i="9"/>
  <c r="I192" i="9" s="1"/>
  <c r="Q191" i="9"/>
  <c r="S191" i="9"/>
  <c r="J191" i="9"/>
  <c r="I191" i="9" s="1"/>
  <c r="Q190" i="9"/>
  <c r="J190" i="9"/>
  <c r="I190" i="9" s="1"/>
  <c r="Q189" i="9"/>
  <c r="J189" i="9"/>
  <c r="I189" i="9" s="1"/>
  <c r="Q188" i="9"/>
  <c r="J188" i="9"/>
  <c r="I188" i="9" s="1"/>
  <c r="Q187" i="9"/>
  <c r="J187" i="9"/>
  <c r="I187" i="9" s="1"/>
  <c r="Q186" i="9"/>
  <c r="S186" i="9"/>
  <c r="I186" i="9"/>
  <c r="Q185" i="9"/>
  <c r="I185" i="9"/>
  <c r="Q184" i="9"/>
  <c r="J184" i="9"/>
  <c r="I184" i="9" s="1"/>
  <c r="Q183" i="9"/>
  <c r="J183" i="9"/>
  <c r="I183" i="9" s="1"/>
  <c r="Q182" i="9"/>
  <c r="J182" i="9"/>
  <c r="I182" i="9" s="1"/>
  <c r="Q181" i="9"/>
  <c r="S181" i="9"/>
  <c r="I181" i="9"/>
  <c r="Q180" i="9"/>
  <c r="I180" i="9"/>
  <c r="Q179" i="9"/>
  <c r="J179" i="9"/>
  <c r="I179" i="9" s="1"/>
  <c r="Q178" i="9"/>
  <c r="J178" i="9"/>
  <c r="I178" i="9" s="1"/>
  <c r="Q177" i="9"/>
  <c r="J177" i="9"/>
  <c r="I177" i="9" s="1"/>
  <c r="Q176" i="9"/>
  <c r="S176" i="9"/>
  <c r="N176" i="9"/>
  <c r="J176" i="9"/>
  <c r="I176" i="9" s="1"/>
  <c r="Q175" i="9"/>
  <c r="J175" i="9"/>
  <c r="I175" i="9" s="1"/>
  <c r="Q174" i="9"/>
  <c r="J174" i="9"/>
  <c r="I174" i="9" s="1"/>
  <c r="Q173" i="9"/>
  <c r="J173" i="9"/>
  <c r="I173" i="9" s="1"/>
  <c r="Q172" i="9"/>
  <c r="J172" i="9"/>
  <c r="I172" i="9" s="1"/>
  <c r="Q171" i="9"/>
  <c r="S171" i="9"/>
  <c r="I171" i="9"/>
  <c r="Q170" i="9"/>
  <c r="I170" i="9"/>
  <c r="Q169" i="9"/>
  <c r="J169" i="9"/>
  <c r="I169" i="9" s="1"/>
  <c r="Q168" i="9"/>
  <c r="J168" i="9"/>
  <c r="I168" i="9" s="1"/>
  <c r="Q167" i="9"/>
  <c r="J167" i="9"/>
  <c r="I167" i="9" s="1"/>
  <c r="Q166" i="9"/>
  <c r="S166" i="9"/>
  <c r="J166" i="9"/>
  <c r="I166" i="9" s="1"/>
  <c r="Q165" i="9"/>
  <c r="J165" i="9"/>
  <c r="I165" i="9" s="1"/>
  <c r="Q164" i="9"/>
  <c r="J164" i="9"/>
  <c r="I164" i="9" s="1"/>
  <c r="Q163" i="9"/>
  <c r="J163" i="9"/>
  <c r="I163" i="9" s="1"/>
  <c r="Q162" i="9"/>
  <c r="J162" i="9"/>
  <c r="I162" i="9" s="1"/>
  <c r="Q161" i="9"/>
  <c r="S161" i="9"/>
  <c r="J161" i="9"/>
  <c r="I161" i="9" s="1"/>
  <c r="Q160" i="9"/>
  <c r="J160" i="9"/>
  <c r="I160" i="9" s="1"/>
  <c r="Q159" i="9"/>
  <c r="I159" i="9"/>
  <c r="Q158" i="9"/>
  <c r="I158" i="9"/>
  <c r="Q157" i="9"/>
  <c r="I157" i="9"/>
  <c r="Q156" i="9"/>
  <c r="S156" i="9"/>
  <c r="J156" i="9"/>
  <c r="I156" i="9" s="1"/>
  <c r="N155" i="9"/>
  <c r="J155" i="9"/>
  <c r="I155" i="9" s="1"/>
  <c r="Q154" i="9"/>
  <c r="J154" i="9"/>
  <c r="I154" i="9" s="1"/>
  <c r="Q153" i="9"/>
  <c r="J153" i="9"/>
  <c r="I153" i="9" s="1"/>
  <c r="Q152" i="9"/>
  <c r="J152" i="9"/>
  <c r="I152" i="9" s="1"/>
  <c r="Q151" i="9"/>
  <c r="S151" i="9"/>
  <c r="J151" i="9"/>
  <c r="I151" i="9" s="1"/>
  <c r="Q150" i="9"/>
  <c r="J150" i="9"/>
  <c r="I150" i="9" s="1"/>
  <c r="Q149" i="9"/>
  <c r="J149" i="9"/>
  <c r="I149" i="9" s="1"/>
  <c r="Q148" i="9"/>
  <c r="J148" i="9"/>
  <c r="I148" i="9" s="1"/>
  <c r="Q147" i="9"/>
  <c r="I147" i="9"/>
  <c r="Q146" i="9"/>
  <c r="I146" i="9"/>
  <c r="Q145" i="9"/>
  <c r="I145" i="9"/>
  <c r="Q144" i="9"/>
  <c r="I144" i="9"/>
  <c r="Q143" i="9"/>
  <c r="I143" i="9"/>
  <c r="Q142" i="9"/>
  <c r="I142" i="9"/>
  <c r="Q141" i="9"/>
  <c r="I141" i="9"/>
  <c r="Q140" i="9"/>
  <c r="I140" i="9"/>
  <c r="Q139" i="9"/>
  <c r="I139" i="9"/>
  <c r="Q138" i="9"/>
  <c r="I138" i="9"/>
  <c r="Q137" i="9"/>
  <c r="I137" i="9"/>
  <c r="Q136" i="9"/>
  <c r="S136" i="9"/>
  <c r="S141" i="9" s="1"/>
  <c r="S146" i="9" s="1"/>
  <c r="I136" i="9"/>
  <c r="Q135" i="9"/>
  <c r="I135" i="9"/>
  <c r="Q134" i="9"/>
  <c r="I134" i="9"/>
  <c r="Q133" i="9"/>
  <c r="I133" i="9"/>
  <c r="Q132" i="9"/>
  <c r="N132" i="9"/>
  <c r="J132" i="9"/>
  <c r="I132" i="9" s="1"/>
  <c r="Q131" i="9"/>
  <c r="S131" i="9"/>
  <c r="J131" i="9"/>
  <c r="I131" i="9" s="1"/>
  <c r="Q130" i="9"/>
  <c r="J130" i="9"/>
  <c r="I130" i="9" s="1"/>
  <c r="Q129" i="9"/>
  <c r="J129" i="9"/>
  <c r="I129" i="9" s="1"/>
  <c r="Q128" i="9"/>
  <c r="J128" i="9"/>
  <c r="I128" i="9" s="1"/>
  <c r="Q127" i="9"/>
  <c r="J127" i="9"/>
  <c r="I127" i="9" s="1"/>
  <c r="Q126" i="9"/>
  <c r="S126" i="9"/>
  <c r="J126" i="9"/>
  <c r="I126" i="9" s="1"/>
  <c r="Q125" i="9"/>
  <c r="J125" i="9"/>
  <c r="I125" i="9" s="1"/>
  <c r="Q124" i="9"/>
  <c r="J124" i="9"/>
  <c r="I124" i="9" s="1"/>
  <c r="Q123" i="9"/>
  <c r="J123" i="9"/>
  <c r="I123" i="9" s="1"/>
  <c r="Q122" i="9"/>
  <c r="J122" i="9"/>
  <c r="I122" i="9" s="1"/>
  <c r="Q121" i="9"/>
  <c r="S121" i="9"/>
  <c r="I121" i="9"/>
  <c r="Q120" i="9"/>
  <c r="J120" i="9"/>
  <c r="I120" i="9" s="1"/>
  <c r="Q119" i="9"/>
  <c r="J119" i="9"/>
  <c r="I119" i="9" s="1"/>
  <c r="Q118" i="9"/>
  <c r="J118" i="9"/>
  <c r="I118" i="9" s="1"/>
  <c r="Q117" i="9"/>
  <c r="J117" i="9"/>
  <c r="I117" i="9" s="1"/>
  <c r="Q116" i="9"/>
  <c r="S116" i="9"/>
  <c r="J116" i="9"/>
  <c r="I116" i="9" s="1"/>
  <c r="Q115" i="9"/>
  <c r="J115" i="9"/>
  <c r="I115" i="9" s="1"/>
  <c r="Q114" i="9"/>
  <c r="J114" i="9"/>
  <c r="I114" i="9" s="1"/>
  <c r="Q113" i="9"/>
  <c r="J113" i="9"/>
  <c r="I113" i="9" s="1"/>
  <c r="Q112" i="9"/>
  <c r="J112" i="9"/>
  <c r="I112" i="9" s="1"/>
  <c r="Q111" i="9"/>
  <c r="S111" i="9"/>
  <c r="N111" i="9"/>
  <c r="J111" i="9"/>
  <c r="I111" i="9" s="1"/>
  <c r="Q110" i="9"/>
  <c r="J110" i="9"/>
  <c r="I110" i="9" s="1"/>
  <c r="Q109" i="9"/>
  <c r="I109" i="9"/>
  <c r="Q108" i="9"/>
  <c r="I108" i="9"/>
  <c r="Q107" i="9"/>
  <c r="I107" i="9"/>
  <c r="Q106" i="9"/>
  <c r="S106" i="9"/>
  <c r="I106" i="9"/>
  <c r="Q105" i="9"/>
  <c r="I105" i="9"/>
  <c r="Q104" i="9"/>
  <c r="I104" i="9"/>
  <c r="Q103" i="9"/>
  <c r="J103" i="9"/>
  <c r="I103" i="9" s="1"/>
  <c r="Q102" i="9"/>
  <c r="J102" i="9"/>
  <c r="I102" i="9" s="1"/>
  <c r="Q101" i="9"/>
  <c r="S101" i="9"/>
  <c r="J101" i="9"/>
  <c r="I101" i="9" s="1"/>
  <c r="Q100" i="9"/>
  <c r="J100" i="9"/>
  <c r="I100" i="9" s="1"/>
  <c r="Q99" i="9"/>
  <c r="J99" i="9"/>
  <c r="I99" i="9" s="1"/>
  <c r="Q98" i="9"/>
  <c r="J98" i="9"/>
  <c r="I98" i="9" s="1"/>
  <c r="Q97" i="9"/>
  <c r="J97" i="9"/>
  <c r="I97" i="9" s="1"/>
  <c r="Q96" i="9"/>
  <c r="S96" i="9"/>
  <c r="J96" i="9"/>
  <c r="I96" i="9" s="1"/>
  <c r="Q95" i="9"/>
  <c r="J95" i="9"/>
  <c r="I95" i="9" s="1"/>
  <c r="Q94" i="9"/>
  <c r="J94" i="9"/>
  <c r="I94" i="9" s="1"/>
  <c r="Q93" i="9"/>
  <c r="J93" i="9"/>
  <c r="I93" i="9" s="1"/>
  <c r="Q92" i="9"/>
  <c r="I92" i="9"/>
  <c r="Q91" i="9"/>
  <c r="S91" i="9"/>
  <c r="J91" i="9"/>
  <c r="I91" i="9" s="1"/>
  <c r="Q90" i="9"/>
  <c r="I90" i="9"/>
  <c r="Q89" i="9"/>
  <c r="N89" i="9"/>
  <c r="I89" i="9"/>
  <c r="Q88" i="9"/>
  <c r="J88" i="9"/>
  <c r="I88" i="9" s="1"/>
  <c r="Q87" i="9"/>
  <c r="J87" i="9"/>
  <c r="I87" i="9" s="1"/>
  <c r="Q86" i="9"/>
  <c r="S86" i="9"/>
  <c r="J86" i="9"/>
  <c r="I86" i="9" s="1"/>
  <c r="Q85" i="9"/>
  <c r="I85" i="9"/>
  <c r="Q84" i="9"/>
  <c r="J84" i="9"/>
  <c r="I84" i="9" s="1"/>
  <c r="Q83" i="9"/>
  <c r="J83" i="9"/>
  <c r="I83" i="9" s="1"/>
  <c r="Q82" i="9"/>
  <c r="J82" i="9"/>
  <c r="I82" i="9" s="1"/>
  <c r="Q81" i="9"/>
  <c r="S81" i="9"/>
  <c r="J81" i="9"/>
  <c r="I81" i="9" s="1"/>
  <c r="Q80" i="9"/>
  <c r="J80" i="9"/>
  <c r="I80" i="9" s="1"/>
  <c r="Q79" i="9"/>
  <c r="J79" i="9"/>
  <c r="I79" i="9" s="1"/>
  <c r="Q78" i="9"/>
  <c r="J78" i="9"/>
  <c r="I78" i="9" s="1"/>
  <c r="Q77" i="9"/>
  <c r="J77" i="9"/>
  <c r="I77" i="9" s="1"/>
  <c r="Q76" i="9"/>
  <c r="S76" i="9"/>
  <c r="J76" i="9"/>
  <c r="I76" i="9" s="1"/>
  <c r="Q75" i="9"/>
  <c r="J75" i="9"/>
  <c r="I75" i="9" s="1"/>
  <c r="Q74" i="9"/>
  <c r="J74" i="9"/>
  <c r="I74" i="9" s="1"/>
  <c r="Q73" i="9"/>
  <c r="J73" i="9"/>
  <c r="I73" i="9" s="1"/>
  <c r="Q72" i="9"/>
  <c r="I72" i="9"/>
  <c r="Q71" i="9"/>
  <c r="S71" i="9"/>
  <c r="J71" i="9"/>
  <c r="I71" i="9" s="1"/>
  <c r="Q70" i="9"/>
  <c r="J70" i="9"/>
  <c r="I70" i="9" s="1"/>
  <c r="Q69" i="9"/>
  <c r="J69" i="9"/>
  <c r="I69" i="9" s="1"/>
  <c r="Q68" i="9"/>
  <c r="J68" i="9"/>
  <c r="I68" i="9" s="1"/>
  <c r="Q67" i="9"/>
  <c r="I67" i="9"/>
  <c r="Q66" i="9"/>
  <c r="S66" i="9"/>
  <c r="N66" i="9"/>
  <c r="J66" i="9"/>
  <c r="I66" i="9" s="1"/>
  <c r="Q65" i="9"/>
  <c r="J65" i="9"/>
  <c r="I65" i="9" s="1"/>
  <c r="Q64" i="9"/>
  <c r="J64" i="9"/>
  <c r="I64" i="9" s="1"/>
  <c r="Q63" i="9"/>
  <c r="J63" i="9"/>
  <c r="I63" i="9" s="1"/>
  <c r="Q62" i="9"/>
  <c r="J62" i="9"/>
  <c r="I62" i="9" s="1"/>
  <c r="Q61" i="9"/>
  <c r="S61" i="9"/>
  <c r="J61" i="9"/>
  <c r="I61" i="9" s="1"/>
  <c r="Q60" i="9"/>
  <c r="J60" i="9"/>
  <c r="I60" i="9" s="1"/>
  <c r="Q59" i="9"/>
  <c r="J59" i="9"/>
  <c r="I59" i="9" s="1"/>
  <c r="Q58" i="9"/>
  <c r="I58" i="9"/>
  <c r="Q57" i="9"/>
  <c r="I57" i="9"/>
  <c r="Q56" i="9"/>
  <c r="I56" i="9"/>
  <c r="Q55" i="9"/>
  <c r="I55" i="9"/>
  <c r="Q54" i="9"/>
  <c r="I54" i="9"/>
  <c r="Q53" i="9"/>
  <c r="I53" i="9"/>
  <c r="Q52" i="9"/>
  <c r="I52" i="9"/>
  <c r="Q51" i="9"/>
  <c r="S51" i="9"/>
  <c r="I51" i="9"/>
  <c r="Q50" i="9"/>
  <c r="J50" i="9"/>
  <c r="I50" i="9" s="1"/>
  <c r="Q49" i="9"/>
  <c r="J49" i="9"/>
  <c r="I49" i="9" s="1"/>
  <c r="Q48" i="9"/>
  <c r="J48" i="9"/>
  <c r="I48" i="9" s="1"/>
  <c r="Q47" i="9"/>
  <c r="J47" i="9"/>
  <c r="I47" i="9" s="1"/>
  <c r="Q46" i="9"/>
  <c r="S46" i="9"/>
  <c r="N46" i="9"/>
  <c r="J46" i="9"/>
  <c r="I46" i="9" s="1"/>
  <c r="Q45" i="9"/>
  <c r="J45" i="9"/>
  <c r="I45" i="9" s="1"/>
  <c r="Q44" i="9"/>
  <c r="J44" i="9"/>
  <c r="I44" i="9" s="1"/>
  <c r="Q43" i="9"/>
  <c r="J43" i="9"/>
  <c r="I43" i="9" s="1"/>
  <c r="Q42" i="9"/>
  <c r="J42" i="9"/>
  <c r="I42" i="9" s="1"/>
  <c r="Q41" i="9"/>
  <c r="S41" i="9"/>
  <c r="J41" i="9"/>
  <c r="I41" i="9" s="1"/>
  <c r="Q40" i="9"/>
  <c r="J40" i="9"/>
  <c r="I40" i="9" s="1"/>
  <c r="Q39" i="9"/>
  <c r="J39" i="9"/>
  <c r="I39" i="9" s="1"/>
  <c r="Q38" i="9"/>
  <c r="J38" i="9"/>
  <c r="I38" i="9" s="1"/>
  <c r="Q37" i="9"/>
  <c r="J37" i="9"/>
  <c r="I37" i="9" s="1"/>
  <c r="Q36" i="9"/>
  <c r="S36" i="9"/>
  <c r="J36" i="9"/>
  <c r="I36" i="9" s="1"/>
  <c r="Q35" i="9"/>
  <c r="J35" i="9"/>
  <c r="I35" i="9" s="1"/>
  <c r="Q34" i="9"/>
  <c r="J34" i="9"/>
  <c r="I34" i="9" s="1"/>
  <c r="Q33" i="9"/>
  <c r="J33" i="9"/>
  <c r="I33" i="9" s="1"/>
  <c r="Q32" i="9"/>
  <c r="J32" i="9"/>
  <c r="I32" i="9" s="1"/>
  <c r="Q31" i="9"/>
  <c r="S31" i="9"/>
  <c r="J31" i="9"/>
  <c r="I31" i="9" s="1"/>
  <c r="Q30" i="9"/>
  <c r="J30" i="9"/>
  <c r="I30" i="9" s="1"/>
  <c r="Q29" i="9"/>
  <c r="J29" i="9"/>
  <c r="I29" i="9" s="1"/>
  <c r="Q28" i="9"/>
  <c r="J28" i="9"/>
  <c r="I28" i="9" s="1"/>
  <c r="Q27" i="9"/>
  <c r="J27" i="9"/>
  <c r="I27" i="9" s="1"/>
  <c r="Q26" i="9"/>
  <c r="S26" i="9"/>
  <c r="J26" i="9"/>
  <c r="I26" i="9" s="1"/>
  <c r="Q25" i="9"/>
  <c r="J25" i="9"/>
  <c r="I25" i="9" s="1"/>
  <c r="G24" i="9"/>
  <c r="J24" i="9" s="1"/>
  <c r="I24" i="9" s="1"/>
  <c r="N23" i="9"/>
  <c r="G23" i="9"/>
  <c r="J23" i="9" s="1"/>
  <c r="I23" i="9" s="1"/>
  <c r="J22" i="9"/>
  <c r="A22" i="9" s="1"/>
  <c r="Q21" i="9"/>
  <c r="S21" i="9"/>
  <c r="J21" i="9"/>
  <c r="I21" i="9" s="1"/>
  <c r="Q20" i="9"/>
  <c r="J20" i="9"/>
  <c r="I20" i="9" s="1"/>
  <c r="Q19" i="9"/>
  <c r="J19" i="9"/>
  <c r="I19" i="9" s="1"/>
  <c r="Q18" i="9"/>
  <c r="J18" i="9"/>
  <c r="I18" i="9" s="1"/>
  <c r="Q17" i="9"/>
  <c r="J17" i="9"/>
  <c r="I17" i="9" s="1"/>
  <c r="Q16" i="9"/>
  <c r="S16" i="9"/>
  <c r="J16" i="9"/>
  <c r="I16" i="9" s="1"/>
  <c r="Q15" i="9"/>
  <c r="J15" i="9"/>
  <c r="I15" i="9" s="1"/>
  <c r="Q14" i="9"/>
  <c r="J14" i="9"/>
  <c r="I14" i="9" s="1"/>
  <c r="Q13" i="9"/>
  <c r="J13" i="9"/>
  <c r="I13" i="9" s="1"/>
  <c r="Q12" i="9"/>
  <c r="J12" i="9"/>
  <c r="I12" i="9" s="1"/>
  <c r="Q11" i="9"/>
  <c r="S11" i="9"/>
  <c r="J11" i="9"/>
  <c r="I11" i="9" s="1"/>
  <c r="C11" i="9"/>
  <c r="C16" i="9" s="1"/>
  <c r="C21" i="9" s="1"/>
  <c r="C26" i="9" s="1"/>
  <c r="C31" i="9" s="1"/>
  <c r="C36" i="9" s="1"/>
  <c r="C41" i="9" s="1"/>
  <c r="C46" i="9" s="1"/>
  <c r="C51" i="9" s="1"/>
  <c r="C56" i="9" s="1"/>
  <c r="C61" i="9" s="1"/>
  <c r="C66" i="9" s="1"/>
  <c r="C71" i="9" s="1"/>
  <c r="C76" i="9" s="1"/>
  <c r="C81" i="9" s="1"/>
  <c r="C86" i="9" s="1"/>
  <c r="C91" i="9" s="1"/>
  <c r="C96" i="9" s="1"/>
  <c r="C101" i="9" s="1"/>
  <c r="C106" i="9" s="1"/>
  <c r="C111" i="9" s="1"/>
  <c r="C116" i="9" s="1"/>
  <c r="C121" i="9" s="1"/>
  <c r="C126" i="9" s="1"/>
  <c r="C131" i="9" s="1"/>
  <c r="C136" i="9" s="1"/>
  <c r="C141" i="9" s="1"/>
  <c r="C146" i="9" s="1"/>
  <c r="C151" i="9" s="1"/>
  <c r="C156" i="9" s="1"/>
  <c r="C161" i="9" s="1"/>
  <c r="C166" i="9" s="1"/>
  <c r="C171" i="9" s="1"/>
  <c r="C176" i="9" s="1"/>
  <c r="C181" i="9" s="1"/>
  <c r="C186" i="9" s="1"/>
  <c r="C191" i="9" s="1"/>
  <c r="C196" i="9" s="1"/>
  <c r="C201" i="9" s="1"/>
  <c r="C206" i="9" s="1"/>
  <c r="C211" i="9" s="1"/>
  <c r="C216" i="9" s="1"/>
  <c r="C221" i="9" s="1"/>
  <c r="C226" i="9" s="1"/>
  <c r="C231" i="9" s="1"/>
  <c r="C236" i="9" s="1"/>
  <c r="C241" i="9" s="1"/>
  <c r="C246" i="9" s="1"/>
  <c r="C251" i="9" s="1"/>
  <c r="C256" i="9" s="1"/>
  <c r="C261" i="9" s="1"/>
  <c r="C266" i="9" s="1"/>
  <c r="C271" i="9" s="1"/>
  <c r="C276" i="9" s="1"/>
  <c r="C281" i="9" s="1"/>
  <c r="C286" i="9" s="1"/>
  <c r="C291" i="9" s="1"/>
  <c r="C296" i="9" s="1"/>
  <c r="C301" i="9" s="1"/>
  <c r="C306" i="9" s="1"/>
  <c r="C311" i="9" s="1"/>
  <c r="C316" i="9" s="1"/>
  <c r="C321" i="9" s="1"/>
  <c r="C326" i="9" s="1"/>
  <c r="C331" i="9" s="1"/>
  <c r="C336" i="9" s="1"/>
  <c r="C341" i="9" s="1"/>
  <c r="C346" i="9" s="1"/>
  <c r="C351" i="9" s="1"/>
  <c r="C356" i="9" s="1"/>
  <c r="C361" i="9" s="1"/>
  <c r="C366" i="9" s="1"/>
  <c r="C371" i="9" s="1"/>
  <c r="C376" i="9" s="1"/>
  <c r="C381" i="9" s="1"/>
  <c r="C386" i="9" s="1"/>
  <c r="C391" i="9" s="1"/>
  <c r="C396" i="9" s="1"/>
  <c r="C401" i="9" s="1"/>
  <c r="C406" i="9" s="1"/>
  <c r="C411" i="9" s="1"/>
  <c r="C416" i="9" s="1"/>
  <c r="C421" i="9" s="1"/>
  <c r="C426" i="9" s="1"/>
  <c r="C431" i="9" s="1"/>
  <c r="C436" i="9" s="1"/>
  <c r="C441" i="9" s="1"/>
  <c r="C446" i="9" s="1"/>
  <c r="C451" i="9" s="1"/>
  <c r="C456" i="9" s="1"/>
  <c r="C461" i="9" s="1"/>
  <c r="C466" i="9" s="1"/>
  <c r="C471" i="9" s="1"/>
  <c r="C476" i="9" s="1"/>
  <c r="C481" i="9" s="1"/>
  <c r="C486" i="9" s="1"/>
  <c r="C491" i="9" s="1"/>
  <c r="C496" i="9" s="1"/>
  <c r="C501" i="9" s="1"/>
  <c r="C506" i="9" s="1"/>
  <c r="C511" i="9" s="1"/>
  <c r="C516" i="9" s="1"/>
  <c r="C521" i="9" s="1"/>
  <c r="C526" i="9" s="1"/>
  <c r="C531" i="9" s="1"/>
  <c r="C536" i="9" s="1"/>
  <c r="C541" i="9" s="1"/>
  <c r="C546" i="9" s="1"/>
  <c r="C551" i="9" s="1"/>
  <c r="C556" i="9" s="1"/>
  <c r="C561" i="9" s="1"/>
  <c r="C566" i="9" s="1"/>
  <c r="C571" i="9" s="1"/>
  <c r="C576" i="9" s="1"/>
  <c r="C581" i="9" s="1"/>
  <c r="C586" i="9" s="1"/>
  <c r="C591" i="9" s="1"/>
  <c r="C596" i="9" s="1"/>
  <c r="C601" i="9" s="1"/>
  <c r="C606" i="9" s="1"/>
  <c r="C611" i="9" s="1"/>
  <c r="C616" i="9" s="1"/>
  <c r="C621" i="9" s="1"/>
  <c r="C626" i="9" s="1"/>
  <c r="C631" i="9" s="1"/>
  <c r="C636" i="9" s="1"/>
  <c r="C641" i="9" s="1"/>
  <c r="C646" i="9" s="1"/>
  <c r="C651" i="9" s="1"/>
  <c r="C656" i="9" s="1"/>
  <c r="C661" i="9" s="1"/>
  <c r="C666" i="9" s="1"/>
  <c r="C671" i="9" s="1"/>
  <c r="C676" i="9" s="1"/>
  <c r="C681" i="9" s="1"/>
  <c r="C686" i="9" s="1"/>
  <c r="C691" i="9" s="1"/>
  <c r="C696" i="9" s="1"/>
  <c r="C701" i="9" s="1"/>
  <c r="C706" i="9" s="1"/>
  <c r="C711" i="9" s="1"/>
  <c r="C716" i="9" s="1"/>
  <c r="C721" i="9" s="1"/>
  <c r="C726" i="9" s="1"/>
  <c r="C731" i="9" s="1"/>
  <c r="C736" i="9" s="1"/>
  <c r="C741" i="9" s="1"/>
  <c r="C746" i="9" s="1"/>
  <c r="C751" i="9" s="1"/>
  <c r="C756" i="9" s="1"/>
  <c r="C761" i="9" s="1"/>
  <c r="C766" i="9" s="1"/>
  <c r="C771" i="9" s="1"/>
  <c r="C776" i="9" s="1"/>
  <c r="C781" i="9" s="1"/>
  <c r="C786" i="9" s="1"/>
  <c r="Q10" i="9"/>
  <c r="J10" i="9"/>
  <c r="I10" i="9" s="1"/>
  <c r="C10" i="9"/>
  <c r="C15" i="9" s="1"/>
  <c r="C20" i="9" s="1"/>
  <c r="C25" i="9" s="1"/>
  <c r="C30" i="9" s="1"/>
  <c r="C35" i="9" s="1"/>
  <c r="C40" i="9" s="1"/>
  <c r="C45" i="9" s="1"/>
  <c r="C50" i="9" s="1"/>
  <c r="C55" i="9" s="1"/>
  <c r="C60" i="9" s="1"/>
  <c r="C65" i="9" s="1"/>
  <c r="C70" i="9" s="1"/>
  <c r="C75" i="9" s="1"/>
  <c r="C80" i="9" s="1"/>
  <c r="C85" i="9" s="1"/>
  <c r="C90" i="9" s="1"/>
  <c r="C95" i="9" s="1"/>
  <c r="C100" i="9" s="1"/>
  <c r="C105" i="9" s="1"/>
  <c r="C110" i="9" s="1"/>
  <c r="C115" i="9" s="1"/>
  <c r="C120" i="9" s="1"/>
  <c r="C125" i="9" s="1"/>
  <c r="C130" i="9" s="1"/>
  <c r="C135" i="9" s="1"/>
  <c r="C140" i="9" s="1"/>
  <c r="C145" i="9" s="1"/>
  <c r="C150" i="9" s="1"/>
  <c r="C155" i="9" s="1"/>
  <c r="C160" i="9" s="1"/>
  <c r="C165" i="9" s="1"/>
  <c r="C170" i="9" s="1"/>
  <c r="C175" i="9" s="1"/>
  <c r="C180" i="9" s="1"/>
  <c r="C185" i="9" s="1"/>
  <c r="C190" i="9" s="1"/>
  <c r="C195" i="9" s="1"/>
  <c r="C200" i="9" s="1"/>
  <c r="C205" i="9" s="1"/>
  <c r="C210" i="9" s="1"/>
  <c r="C215" i="9" s="1"/>
  <c r="C220" i="9" s="1"/>
  <c r="C225" i="9" s="1"/>
  <c r="C230" i="9" s="1"/>
  <c r="C235" i="9" s="1"/>
  <c r="C240" i="9" s="1"/>
  <c r="C245" i="9" s="1"/>
  <c r="C250" i="9" s="1"/>
  <c r="C255" i="9" s="1"/>
  <c r="C260" i="9" s="1"/>
  <c r="C265" i="9" s="1"/>
  <c r="C270" i="9" s="1"/>
  <c r="C275" i="9" s="1"/>
  <c r="C280" i="9" s="1"/>
  <c r="C285" i="9" s="1"/>
  <c r="C290" i="9" s="1"/>
  <c r="C295" i="9" s="1"/>
  <c r="C300" i="9" s="1"/>
  <c r="C305" i="9" s="1"/>
  <c r="C310" i="9" s="1"/>
  <c r="C315" i="9" s="1"/>
  <c r="C320" i="9" s="1"/>
  <c r="C325" i="9" s="1"/>
  <c r="C330" i="9" s="1"/>
  <c r="C335" i="9" s="1"/>
  <c r="C340" i="9" s="1"/>
  <c r="C345" i="9" s="1"/>
  <c r="C350" i="9" s="1"/>
  <c r="C355" i="9" s="1"/>
  <c r="C360" i="9" s="1"/>
  <c r="C365" i="9" s="1"/>
  <c r="C370" i="9" s="1"/>
  <c r="C375" i="9" s="1"/>
  <c r="C380" i="9" s="1"/>
  <c r="C385" i="9" s="1"/>
  <c r="C390" i="9" s="1"/>
  <c r="C395" i="9" s="1"/>
  <c r="C400" i="9" s="1"/>
  <c r="C405" i="9" s="1"/>
  <c r="C410" i="9" s="1"/>
  <c r="C415" i="9" s="1"/>
  <c r="C420" i="9" s="1"/>
  <c r="C425" i="9" s="1"/>
  <c r="C430" i="9" s="1"/>
  <c r="C435" i="9" s="1"/>
  <c r="C440" i="9" s="1"/>
  <c r="C445" i="9" s="1"/>
  <c r="C450" i="9" s="1"/>
  <c r="C455" i="9" s="1"/>
  <c r="C460" i="9" s="1"/>
  <c r="C465" i="9" s="1"/>
  <c r="C470" i="9" s="1"/>
  <c r="C475" i="9" s="1"/>
  <c r="C480" i="9" s="1"/>
  <c r="C485" i="9" s="1"/>
  <c r="C490" i="9" s="1"/>
  <c r="C495" i="9" s="1"/>
  <c r="C500" i="9" s="1"/>
  <c r="C505" i="9" s="1"/>
  <c r="C510" i="9" s="1"/>
  <c r="C515" i="9" s="1"/>
  <c r="C520" i="9" s="1"/>
  <c r="C525" i="9" s="1"/>
  <c r="C530" i="9" s="1"/>
  <c r="C535" i="9" s="1"/>
  <c r="C540" i="9" s="1"/>
  <c r="C545" i="9" s="1"/>
  <c r="C550" i="9" s="1"/>
  <c r="C555" i="9" s="1"/>
  <c r="C560" i="9" s="1"/>
  <c r="C565" i="9" s="1"/>
  <c r="C570" i="9" s="1"/>
  <c r="C575" i="9" s="1"/>
  <c r="C580" i="9" s="1"/>
  <c r="C585" i="9" s="1"/>
  <c r="C590" i="9" s="1"/>
  <c r="C595" i="9" s="1"/>
  <c r="C600" i="9" s="1"/>
  <c r="C605" i="9" s="1"/>
  <c r="C610" i="9" s="1"/>
  <c r="C615" i="9" s="1"/>
  <c r="C620" i="9" s="1"/>
  <c r="C625" i="9" s="1"/>
  <c r="C630" i="9" s="1"/>
  <c r="C635" i="9" s="1"/>
  <c r="C640" i="9" s="1"/>
  <c r="C645" i="9" s="1"/>
  <c r="C650" i="9" s="1"/>
  <c r="C655" i="9" s="1"/>
  <c r="C660" i="9" s="1"/>
  <c r="C665" i="9" s="1"/>
  <c r="C670" i="9" s="1"/>
  <c r="C675" i="9" s="1"/>
  <c r="C680" i="9" s="1"/>
  <c r="C685" i="9" s="1"/>
  <c r="C690" i="9" s="1"/>
  <c r="C695" i="9" s="1"/>
  <c r="C700" i="9" s="1"/>
  <c r="C705" i="9" s="1"/>
  <c r="C710" i="9" s="1"/>
  <c r="C715" i="9" s="1"/>
  <c r="C720" i="9" s="1"/>
  <c r="C725" i="9" s="1"/>
  <c r="C730" i="9" s="1"/>
  <c r="C735" i="9" s="1"/>
  <c r="C740" i="9" s="1"/>
  <c r="C745" i="9" s="1"/>
  <c r="C750" i="9" s="1"/>
  <c r="C755" i="9" s="1"/>
  <c r="C760" i="9" s="1"/>
  <c r="C765" i="9" s="1"/>
  <c r="C770" i="9" s="1"/>
  <c r="C775" i="9" s="1"/>
  <c r="C780" i="9" s="1"/>
  <c r="C785" i="9" s="1"/>
  <c r="Q9" i="9"/>
  <c r="J9" i="9"/>
  <c r="I9" i="9" s="1"/>
  <c r="C9" i="9"/>
  <c r="C14" i="9" s="1"/>
  <c r="C19" i="9" s="1"/>
  <c r="C24" i="9" s="1"/>
  <c r="C29" i="9" s="1"/>
  <c r="C34" i="9" s="1"/>
  <c r="C39" i="9" s="1"/>
  <c r="C44" i="9" s="1"/>
  <c r="C49" i="9" s="1"/>
  <c r="C54" i="9" s="1"/>
  <c r="C59" i="9" s="1"/>
  <c r="C64" i="9" s="1"/>
  <c r="C69" i="9" s="1"/>
  <c r="C74" i="9" s="1"/>
  <c r="C79" i="9" s="1"/>
  <c r="C84" i="9" s="1"/>
  <c r="C89" i="9" s="1"/>
  <c r="C94" i="9" s="1"/>
  <c r="C99" i="9" s="1"/>
  <c r="C104" i="9" s="1"/>
  <c r="C109" i="9" s="1"/>
  <c r="C114" i="9" s="1"/>
  <c r="C119" i="9" s="1"/>
  <c r="C124" i="9" s="1"/>
  <c r="C129" i="9" s="1"/>
  <c r="C134" i="9" s="1"/>
  <c r="C139" i="9" s="1"/>
  <c r="C144" i="9" s="1"/>
  <c r="C149" i="9" s="1"/>
  <c r="C154" i="9" s="1"/>
  <c r="C159" i="9" s="1"/>
  <c r="C164" i="9" s="1"/>
  <c r="C169" i="9" s="1"/>
  <c r="C174" i="9" s="1"/>
  <c r="C179" i="9" s="1"/>
  <c r="C184" i="9" s="1"/>
  <c r="C189" i="9" s="1"/>
  <c r="C194" i="9" s="1"/>
  <c r="C199" i="9" s="1"/>
  <c r="C204" i="9" s="1"/>
  <c r="C209" i="9" s="1"/>
  <c r="C214" i="9" s="1"/>
  <c r="C219" i="9" s="1"/>
  <c r="C224" i="9" s="1"/>
  <c r="C229" i="9" s="1"/>
  <c r="C234" i="9" s="1"/>
  <c r="C239" i="9" s="1"/>
  <c r="C244" i="9" s="1"/>
  <c r="C249" i="9" s="1"/>
  <c r="C254" i="9" s="1"/>
  <c r="C259" i="9" s="1"/>
  <c r="C264" i="9" s="1"/>
  <c r="C269" i="9" s="1"/>
  <c r="C274" i="9" s="1"/>
  <c r="C279" i="9" s="1"/>
  <c r="C284" i="9" s="1"/>
  <c r="C289" i="9" s="1"/>
  <c r="C294" i="9" s="1"/>
  <c r="C299" i="9" s="1"/>
  <c r="C304" i="9" s="1"/>
  <c r="C309" i="9" s="1"/>
  <c r="C314" i="9" s="1"/>
  <c r="C319" i="9" s="1"/>
  <c r="C324" i="9" s="1"/>
  <c r="C329" i="9" s="1"/>
  <c r="C334" i="9" s="1"/>
  <c r="C339" i="9" s="1"/>
  <c r="C344" i="9" s="1"/>
  <c r="C349" i="9" s="1"/>
  <c r="C354" i="9" s="1"/>
  <c r="C359" i="9" s="1"/>
  <c r="C364" i="9" s="1"/>
  <c r="C369" i="9" s="1"/>
  <c r="C374" i="9" s="1"/>
  <c r="C379" i="9" s="1"/>
  <c r="C384" i="9" s="1"/>
  <c r="C389" i="9" s="1"/>
  <c r="C394" i="9" s="1"/>
  <c r="C399" i="9" s="1"/>
  <c r="C404" i="9" s="1"/>
  <c r="C409" i="9" s="1"/>
  <c r="C414" i="9" s="1"/>
  <c r="C419" i="9" s="1"/>
  <c r="C424" i="9" s="1"/>
  <c r="C429" i="9" s="1"/>
  <c r="C434" i="9" s="1"/>
  <c r="C439" i="9" s="1"/>
  <c r="C444" i="9" s="1"/>
  <c r="C449" i="9" s="1"/>
  <c r="C454" i="9" s="1"/>
  <c r="C459" i="9" s="1"/>
  <c r="C464" i="9" s="1"/>
  <c r="C469" i="9" s="1"/>
  <c r="C474" i="9" s="1"/>
  <c r="C479" i="9" s="1"/>
  <c r="C484" i="9" s="1"/>
  <c r="C489" i="9" s="1"/>
  <c r="C494" i="9" s="1"/>
  <c r="C499" i="9" s="1"/>
  <c r="C504" i="9" s="1"/>
  <c r="C509" i="9" s="1"/>
  <c r="C514" i="9" s="1"/>
  <c r="C519" i="9" s="1"/>
  <c r="C524" i="9" s="1"/>
  <c r="C529" i="9" s="1"/>
  <c r="C534" i="9" s="1"/>
  <c r="C539" i="9" s="1"/>
  <c r="C544" i="9" s="1"/>
  <c r="C549" i="9" s="1"/>
  <c r="C554" i="9" s="1"/>
  <c r="C559" i="9" s="1"/>
  <c r="C564" i="9" s="1"/>
  <c r="C569" i="9" s="1"/>
  <c r="C574" i="9" s="1"/>
  <c r="C579" i="9" s="1"/>
  <c r="C584" i="9" s="1"/>
  <c r="C589" i="9" s="1"/>
  <c r="C594" i="9" s="1"/>
  <c r="C599" i="9" s="1"/>
  <c r="C604" i="9" s="1"/>
  <c r="C609" i="9" s="1"/>
  <c r="C614" i="9" s="1"/>
  <c r="C619" i="9" s="1"/>
  <c r="C624" i="9" s="1"/>
  <c r="C629" i="9" s="1"/>
  <c r="C634" i="9" s="1"/>
  <c r="C639" i="9" s="1"/>
  <c r="C644" i="9" s="1"/>
  <c r="C649" i="9" s="1"/>
  <c r="C654" i="9" s="1"/>
  <c r="C659" i="9" s="1"/>
  <c r="C664" i="9" s="1"/>
  <c r="C669" i="9" s="1"/>
  <c r="C674" i="9" s="1"/>
  <c r="C679" i="9" s="1"/>
  <c r="C684" i="9" s="1"/>
  <c r="C689" i="9" s="1"/>
  <c r="C694" i="9" s="1"/>
  <c r="C699" i="9" s="1"/>
  <c r="C704" i="9" s="1"/>
  <c r="C709" i="9" s="1"/>
  <c r="C714" i="9" s="1"/>
  <c r="C719" i="9" s="1"/>
  <c r="C724" i="9" s="1"/>
  <c r="C729" i="9" s="1"/>
  <c r="C734" i="9" s="1"/>
  <c r="C739" i="9" s="1"/>
  <c r="C744" i="9" s="1"/>
  <c r="C749" i="9" s="1"/>
  <c r="C754" i="9" s="1"/>
  <c r="C759" i="9" s="1"/>
  <c r="C764" i="9" s="1"/>
  <c r="C769" i="9" s="1"/>
  <c r="C774" i="9" s="1"/>
  <c r="C779" i="9" s="1"/>
  <c r="C784" i="9" s="1"/>
  <c r="Q8" i="9"/>
  <c r="J8" i="9"/>
  <c r="I8" i="9" s="1"/>
  <c r="C8" i="9"/>
  <c r="C13" i="9" s="1"/>
  <c r="C18" i="9" s="1"/>
  <c r="C23" i="9" s="1"/>
  <c r="C28" i="9" s="1"/>
  <c r="C33" i="9" s="1"/>
  <c r="C38" i="9" s="1"/>
  <c r="C43" i="9" s="1"/>
  <c r="C48" i="9" s="1"/>
  <c r="C53" i="9" s="1"/>
  <c r="C58" i="9" s="1"/>
  <c r="C63" i="9" s="1"/>
  <c r="C68" i="9" s="1"/>
  <c r="C73" i="9" s="1"/>
  <c r="C78" i="9" s="1"/>
  <c r="C83" i="9" s="1"/>
  <c r="C88" i="9" s="1"/>
  <c r="C93" i="9" s="1"/>
  <c r="C98" i="9" s="1"/>
  <c r="C103" i="9" s="1"/>
  <c r="C108" i="9" s="1"/>
  <c r="C113" i="9" s="1"/>
  <c r="C118" i="9" s="1"/>
  <c r="C123" i="9" s="1"/>
  <c r="C128" i="9" s="1"/>
  <c r="C133" i="9" s="1"/>
  <c r="C138" i="9" s="1"/>
  <c r="C143" i="9" s="1"/>
  <c r="C148" i="9" s="1"/>
  <c r="C153" i="9" s="1"/>
  <c r="C158" i="9" s="1"/>
  <c r="C163" i="9" s="1"/>
  <c r="C168" i="9" s="1"/>
  <c r="C173" i="9" s="1"/>
  <c r="C178" i="9" s="1"/>
  <c r="C183" i="9" s="1"/>
  <c r="C188" i="9" s="1"/>
  <c r="C193" i="9" s="1"/>
  <c r="C198" i="9" s="1"/>
  <c r="C203" i="9" s="1"/>
  <c r="C208" i="9" s="1"/>
  <c r="C213" i="9" s="1"/>
  <c r="C218" i="9" s="1"/>
  <c r="C223" i="9" s="1"/>
  <c r="C228" i="9" s="1"/>
  <c r="C233" i="9" s="1"/>
  <c r="C238" i="9" s="1"/>
  <c r="C243" i="9" s="1"/>
  <c r="C248" i="9" s="1"/>
  <c r="C253" i="9" s="1"/>
  <c r="C258" i="9" s="1"/>
  <c r="C263" i="9" s="1"/>
  <c r="C268" i="9" s="1"/>
  <c r="C273" i="9" s="1"/>
  <c r="C278" i="9" s="1"/>
  <c r="C283" i="9" s="1"/>
  <c r="C288" i="9" s="1"/>
  <c r="C293" i="9" s="1"/>
  <c r="C298" i="9" s="1"/>
  <c r="C303" i="9" s="1"/>
  <c r="C308" i="9" s="1"/>
  <c r="C313" i="9" s="1"/>
  <c r="C318" i="9" s="1"/>
  <c r="C323" i="9" s="1"/>
  <c r="C328" i="9" s="1"/>
  <c r="C333" i="9" s="1"/>
  <c r="C338" i="9" s="1"/>
  <c r="C343" i="9" s="1"/>
  <c r="C348" i="9" s="1"/>
  <c r="C353" i="9" s="1"/>
  <c r="C358" i="9" s="1"/>
  <c r="C363" i="9" s="1"/>
  <c r="C368" i="9" s="1"/>
  <c r="C373" i="9" s="1"/>
  <c r="C378" i="9" s="1"/>
  <c r="C383" i="9" s="1"/>
  <c r="C388" i="9" s="1"/>
  <c r="C393" i="9" s="1"/>
  <c r="C398" i="9" s="1"/>
  <c r="C403" i="9" s="1"/>
  <c r="C408" i="9" s="1"/>
  <c r="C413" i="9" s="1"/>
  <c r="C418" i="9" s="1"/>
  <c r="C423" i="9" s="1"/>
  <c r="C428" i="9" s="1"/>
  <c r="C433" i="9" s="1"/>
  <c r="C438" i="9" s="1"/>
  <c r="C443" i="9" s="1"/>
  <c r="C448" i="9" s="1"/>
  <c r="C453" i="9" s="1"/>
  <c r="C458" i="9" s="1"/>
  <c r="C463" i="9" s="1"/>
  <c r="C468" i="9" s="1"/>
  <c r="C473" i="9" s="1"/>
  <c r="C478" i="9" s="1"/>
  <c r="C483" i="9" s="1"/>
  <c r="C488" i="9" s="1"/>
  <c r="C493" i="9" s="1"/>
  <c r="C498" i="9" s="1"/>
  <c r="C503" i="9" s="1"/>
  <c r="C508" i="9" s="1"/>
  <c r="C513" i="9" s="1"/>
  <c r="C518" i="9" s="1"/>
  <c r="C523" i="9" s="1"/>
  <c r="C528" i="9" s="1"/>
  <c r="C533" i="9" s="1"/>
  <c r="C538" i="9" s="1"/>
  <c r="C543" i="9" s="1"/>
  <c r="C548" i="9" s="1"/>
  <c r="C553" i="9" s="1"/>
  <c r="C558" i="9" s="1"/>
  <c r="C563" i="9" s="1"/>
  <c r="C568" i="9" s="1"/>
  <c r="C573" i="9" s="1"/>
  <c r="C578" i="9" s="1"/>
  <c r="C583" i="9" s="1"/>
  <c r="C588" i="9" s="1"/>
  <c r="C593" i="9" s="1"/>
  <c r="C598" i="9" s="1"/>
  <c r="C603" i="9" s="1"/>
  <c r="C608" i="9" s="1"/>
  <c r="C613" i="9" s="1"/>
  <c r="C618" i="9" s="1"/>
  <c r="C623" i="9" s="1"/>
  <c r="C628" i="9" s="1"/>
  <c r="C633" i="9" s="1"/>
  <c r="C638" i="9" s="1"/>
  <c r="C643" i="9" s="1"/>
  <c r="C648" i="9" s="1"/>
  <c r="C653" i="9" s="1"/>
  <c r="C658" i="9" s="1"/>
  <c r="C663" i="9" s="1"/>
  <c r="C668" i="9" s="1"/>
  <c r="C673" i="9" s="1"/>
  <c r="C678" i="9" s="1"/>
  <c r="C683" i="9" s="1"/>
  <c r="C688" i="9" s="1"/>
  <c r="C693" i="9" s="1"/>
  <c r="C698" i="9" s="1"/>
  <c r="C703" i="9" s="1"/>
  <c r="C708" i="9" s="1"/>
  <c r="C713" i="9" s="1"/>
  <c r="C718" i="9" s="1"/>
  <c r="C723" i="9" s="1"/>
  <c r="C728" i="9" s="1"/>
  <c r="C733" i="9" s="1"/>
  <c r="C738" i="9" s="1"/>
  <c r="C743" i="9" s="1"/>
  <c r="C748" i="9" s="1"/>
  <c r="C753" i="9" s="1"/>
  <c r="C758" i="9" s="1"/>
  <c r="C763" i="9" s="1"/>
  <c r="C768" i="9" s="1"/>
  <c r="C773" i="9" s="1"/>
  <c r="C778" i="9" s="1"/>
  <c r="C783" i="9" s="1"/>
  <c r="Q7" i="9"/>
  <c r="J7" i="9"/>
  <c r="I7" i="9" s="1"/>
  <c r="C7" i="9"/>
  <c r="C12" i="9" s="1"/>
  <c r="C17" i="9" s="1"/>
  <c r="C22" i="9" s="1"/>
  <c r="C27" i="9" s="1"/>
  <c r="C32" i="9" s="1"/>
  <c r="C37" i="9" s="1"/>
  <c r="C42" i="9" s="1"/>
  <c r="C47" i="9" s="1"/>
  <c r="C52" i="9" s="1"/>
  <c r="C57" i="9" s="1"/>
  <c r="C62" i="9" s="1"/>
  <c r="C67" i="9" s="1"/>
  <c r="C72" i="9" s="1"/>
  <c r="C77" i="9" s="1"/>
  <c r="C82" i="9" s="1"/>
  <c r="C87" i="9" s="1"/>
  <c r="C92" i="9" s="1"/>
  <c r="C97" i="9" s="1"/>
  <c r="C102" i="9" s="1"/>
  <c r="C107" i="9" s="1"/>
  <c r="C112" i="9" s="1"/>
  <c r="C117" i="9" s="1"/>
  <c r="C122" i="9" s="1"/>
  <c r="C127" i="9" s="1"/>
  <c r="C132" i="9" s="1"/>
  <c r="C137" i="9" s="1"/>
  <c r="C142" i="9" s="1"/>
  <c r="C147" i="9" s="1"/>
  <c r="C152" i="9" s="1"/>
  <c r="C157" i="9" s="1"/>
  <c r="C162" i="9" s="1"/>
  <c r="C167" i="9" s="1"/>
  <c r="C172" i="9" s="1"/>
  <c r="C177" i="9" s="1"/>
  <c r="C182" i="9" s="1"/>
  <c r="C187" i="9" s="1"/>
  <c r="C192" i="9" s="1"/>
  <c r="C197" i="9" s="1"/>
  <c r="C202" i="9" s="1"/>
  <c r="C207" i="9" s="1"/>
  <c r="C212" i="9" s="1"/>
  <c r="C217" i="9" s="1"/>
  <c r="C222" i="9" s="1"/>
  <c r="C227" i="9" s="1"/>
  <c r="C232" i="9" s="1"/>
  <c r="C237" i="9" s="1"/>
  <c r="C242" i="9" s="1"/>
  <c r="C247" i="9" s="1"/>
  <c r="C252" i="9" s="1"/>
  <c r="C257" i="9" s="1"/>
  <c r="C262" i="9" s="1"/>
  <c r="C267" i="9" s="1"/>
  <c r="C272" i="9" s="1"/>
  <c r="C277" i="9" s="1"/>
  <c r="C282" i="9" s="1"/>
  <c r="C287" i="9" s="1"/>
  <c r="C292" i="9" s="1"/>
  <c r="C297" i="9" s="1"/>
  <c r="C302" i="9" s="1"/>
  <c r="C307" i="9" s="1"/>
  <c r="C312" i="9" s="1"/>
  <c r="C317" i="9" s="1"/>
  <c r="C322" i="9" s="1"/>
  <c r="C327" i="9" s="1"/>
  <c r="C332" i="9" s="1"/>
  <c r="C337" i="9" s="1"/>
  <c r="C342" i="9" s="1"/>
  <c r="C347" i="9" s="1"/>
  <c r="C352" i="9" s="1"/>
  <c r="C357" i="9" s="1"/>
  <c r="C362" i="9" s="1"/>
  <c r="C367" i="9" s="1"/>
  <c r="C372" i="9" s="1"/>
  <c r="C377" i="9" s="1"/>
  <c r="C382" i="9" s="1"/>
  <c r="C387" i="9" s="1"/>
  <c r="C392" i="9" s="1"/>
  <c r="C397" i="9" s="1"/>
  <c r="C402" i="9" s="1"/>
  <c r="C407" i="9" s="1"/>
  <c r="C412" i="9" s="1"/>
  <c r="C417" i="9" s="1"/>
  <c r="C422" i="9" s="1"/>
  <c r="C427" i="9" s="1"/>
  <c r="C432" i="9" s="1"/>
  <c r="C437" i="9" s="1"/>
  <c r="C442" i="9" s="1"/>
  <c r="C447" i="9" s="1"/>
  <c r="C452" i="9" s="1"/>
  <c r="C457" i="9" s="1"/>
  <c r="C462" i="9" s="1"/>
  <c r="C467" i="9" s="1"/>
  <c r="C472" i="9" s="1"/>
  <c r="C477" i="9" s="1"/>
  <c r="C482" i="9" s="1"/>
  <c r="C487" i="9" s="1"/>
  <c r="C492" i="9" s="1"/>
  <c r="C497" i="9" s="1"/>
  <c r="C502" i="9" s="1"/>
  <c r="C507" i="9" s="1"/>
  <c r="C512" i="9" s="1"/>
  <c r="C517" i="9" s="1"/>
  <c r="C522" i="9" s="1"/>
  <c r="C527" i="9" s="1"/>
  <c r="C532" i="9" s="1"/>
  <c r="C537" i="9" s="1"/>
  <c r="C542" i="9" s="1"/>
  <c r="C547" i="9" s="1"/>
  <c r="C552" i="9" s="1"/>
  <c r="C557" i="9" s="1"/>
  <c r="C562" i="9" s="1"/>
  <c r="C567" i="9" s="1"/>
  <c r="C572" i="9" s="1"/>
  <c r="C577" i="9" s="1"/>
  <c r="C582" i="9" s="1"/>
  <c r="C587" i="9" s="1"/>
  <c r="C592" i="9" s="1"/>
  <c r="C597" i="9" s="1"/>
  <c r="C602" i="9" s="1"/>
  <c r="C607" i="9" s="1"/>
  <c r="C612" i="9" s="1"/>
  <c r="C617" i="9" s="1"/>
  <c r="C622" i="9" s="1"/>
  <c r="C627" i="9" s="1"/>
  <c r="C632" i="9" s="1"/>
  <c r="C637" i="9" s="1"/>
  <c r="C642" i="9" s="1"/>
  <c r="C647" i="9" s="1"/>
  <c r="C652" i="9" s="1"/>
  <c r="C657" i="9" s="1"/>
  <c r="C662" i="9" s="1"/>
  <c r="C667" i="9" s="1"/>
  <c r="C672" i="9" s="1"/>
  <c r="C677" i="9" s="1"/>
  <c r="C682" i="9" s="1"/>
  <c r="C687" i="9" s="1"/>
  <c r="C692" i="9" s="1"/>
  <c r="C697" i="9" s="1"/>
  <c r="C702" i="9" s="1"/>
  <c r="C707" i="9" s="1"/>
  <c r="C712" i="9" s="1"/>
  <c r="C717" i="9" s="1"/>
  <c r="C722" i="9" s="1"/>
  <c r="C727" i="9" s="1"/>
  <c r="C732" i="9" s="1"/>
  <c r="C737" i="9" s="1"/>
  <c r="C742" i="9" s="1"/>
  <c r="C747" i="9" s="1"/>
  <c r="C752" i="9" s="1"/>
  <c r="C757" i="9" s="1"/>
  <c r="C762" i="9" s="1"/>
  <c r="C767" i="9" s="1"/>
  <c r="C772" i="9" s="1"/>
  <c r="C777" i="9" s="1"/>
  <c r="C782" i="9" s="1"/>
  <c r="Q6" i="9"/>
  <c r="S6" i="9"/>
  <c r="J6" i="9"/>
  <c r="I6" i="9" s="1"/>
  <c r="Q5" i="9"/>
  <c r="J5" i="9"/>
  <c r="I5" i="9" s="1"/>
  <c r="Q4" i="9"/>
  <c r="J4" i="9"/>
  <c r="I4" i="9" s="1"/>
  <c r="Q3" i="9"/>
  <c r="N3" i="9"/>
  <c r="J3" i="9"/>
  <c r="I3" i="9" s="1"/>
  <c r="Q2" i="9"/>
  <c r="J2" i="9"/>
  <c r="A2" i="9" s="1"/>
  <c r="R2" i="9" s="1"/>
  <c r="C1" i="9"/>
  <c r="C13" i="8" l="1"/>
  <c r="C15" i="8" s="1"/>
  <c r="T521" i="9"/>
  <c r="T526" i="9" s="1"/>
  <c r="T531" i="9" s="1"/>
  <c r="T536" i="9" s="1"/>
  <c r="T541" i="9" s="1"/>
  <c r="T546" i="9" s="1"/>
  <c r="T551" i="9" s="1"/>
  <c r="T556" i="9" s="1"/>
  <c r="T561" i="9" s="1"/>
  <c r="T566" i="9" s="1"/>
  <c r="F515" i="3"/>
  <c r="F514" i="3"/>
  <c r="F516" i="3"/>
  <c r="F513" i="3"/>
  <c r="I479" i="9"/>
  <c r="C18" i="8"/>
  <c r="E15" i="8"/>
  <c r="C25" i="8" s="1"/>
  <c r="C24" i="8"/>
  <c r="E14" i="8"/>
  <c r="E13" i="8"/>
  <c r="C19" i="8" s="1"/>
  <c r="C12" i="8"/>
  <c r="E15" i="3"/>
  <c r="D15" i="3"/>
  <c r="E19" i="3"/>
  <c r="D19" i="3"/>
  <c r="D23" i="3"/>
  <c r="E23" i="3"/>
  <c r="E29" i="3"/>
  <c r="D29" i="3"/>
  <c r="E33" i="3"/>
  <c r="D33" i="3"/>
  <c r="E37" i="3"/>
  <c r="D37" i="3"/>
  <c r="D43" i="3"/>
  <c r="E43" i="3"/>
  <c r="E47" i="3"/>
  <c r="D47" i="3"/>
  <c r="E51" i="3"/>
  <c r="D51" i="3"/>
  <c r="D55" i="3"/>
  <c r="E55" i="3"/>
  <c r="D59" i="3"/>
  <c r="E59" i="3"/>
  <c r="E65" i="3"/>
  <c r="D65" i="3"/>
  <c r="E69" i="3"/>
  <c r="D69" i="3"/>
  <c r="E73" i="3"/>
  <c r="D73" i="3"/>
  <c r="E77" i="3"/>
  <c r="D77" i="3"/>
  <c r="E81" i="3"/>
  <c r="D81" i="3"/>
  <c r="D87" i="3"/>
  <c r="E87" i="3"/>
  <c r="D91" i="3"/>
  <c r="E91" i="3"/>
  <c r="D95" i="3"/>
  <c r="E95" i="3"/>
  <c r="E99" i="3"/>
  <c r="D99" i="3"/>
  <c r="E105" i="3"/>
  <c r="D105" i="3"/>
  <c r="E109" i="3"/>
  <c r="D109" i="3"/>
  <c r="D113" i="3"/>
  <c r="E113" i="3"/>
  <c r="D117" i="3"/>
  <c r="E117" i="3"/>
  <c r="E121" i="3"/>
  <c r="D121" i="3"/>
  <c r="E125" i="3"/>
  <c r="D125" i="3"/>
  <c r="D129" i="3"/>
  <c r="E129" i="3"/>
  <c r="D133" i="3"/>
  <c r="E133" i="3"/>
  <c r="E137" i="3"/>
  <c r="D137" i="3"/>
  <c r="E141" i="3"/>
  <c r="D141" i="3"/>
  <c r="D145" i="3"/>
  <c r="E145" i="3"/>
  <c r="D151" i="3"/>
  <c r="E151" i="3"/>
  <c r="D155" i="3"/>
  <c r="E155" i="3"/>
  <c r="D159" i="3"/>
  <c r="E159" i="3"/>
  <c r="E163" i="3"/>
  <c r="D163" i="3"/>
  <c r="E167" i="3"/>
  <c r="D167" i="3"/>
  <c r="D171" i="3"/>
  <c r="E171" i="3"/>
  <c r="E173" i="3"/>
  <c r="D173" i="3"/>
  <c r="D175" i="3"/>
  <c r="E175" i="3"/>
  <c r="D179" i="3"/>
  <c r="E179" i="3"/>
  <c r="D181" i="3"/>
  <c r="E181" i="3"/>
  <c r="D187" i="3"/>
  <c r="E187" i="3"/>
  <c r="D191" i="3"/>
  <c r="E191" i="3"/>
  <c r="E195" i="3"/>
  <c r="D195" i="3"/>
  <c r="D199" i="3"/>
  <c r="E199" i="3"/>
  <c r="D203" i="3"/>
  <c r="E203" i="3"/>
  <c r="D209" i="3"/>
  <c r="E209" i="3"/>
  <c r="D213" i="3"/>
  <c r="E213" i="3"/>
  <c r="E217" i="3"/>
  <c r="D217" i="3"/>
  <c r="E221" i="3"/>
  <c r="D221" i="3"/>
  <c r="D225" i="3"/>
  <c r="E225" i="3"/>
  <c r="D229" i="3"/>
  <c r="E229" i="3"/>
  <c r="E233" i="3"/>
  <c r="D233" i="3"/>
  <c r="D235" i="3"/>
  <c r="E235" i="3"/>
  <c r="D10" i="3"/>
  <c r="E10" i="3"/>
  <c r="D14" i="3"/>
  <c r="E14" i="3"/>
  <c r="D16" i="3"/>
  <c r="E16" i="3"/>
  <c r="D18" i="3"/>
  <c r="E18" i="3"/>
  <c r="E20" i="3"/>
  <c r="D20" i="3"/>
  <c r="D22" i="3"/>
  <c r="E22" i="3"/>
  <c r="E24" i="3"/>
  <c r="D24" i="3"/>
  <c r="D26" i="3"/>
  <c r="E26" i="3"/>
  <c r="D28" i="3"/>
  <c r="E28" i="3"/>
  <c r="D30" i="3"/>
  <c r="E30" i="3"/>
  <c r="D32" i="3"/>
  <c r="E32" i="3"/>
  <c r="D34" i="3"/>
  <c r="E34" i="3"/>
  <c r="E36" i="3"/>
  <c r="D36" i="3"/>
  <c r="D38" i="3"/>
  <c r="E38" i="3"/>
  <c r="E40" i="3"/>
  <c r="D40" i="3"/>
  <c r="D42" i="3"/>
  <c r="E42" i="3"/>
  <c r="D44" i="3"/>
  <c r="E44" i="3"/>
  <c r="D46" i="3"/>
  <c r="E46" i="3"/>
  <c r="D48" i="3"/>
  <c r="E48" i="3"/>
  <c r="D50" i="3"/>
  <c r="E50" i="3"/>
  <c r="E52" i="3"/>
  <c r="D52" i="3"/>
  <c r="D54" i="3"/>
  <c r="E54" i="3"/>
  <c r="E56" i="3"/>
  <c r="D56" i="3"/>
  <c r="D58" i="3"/>
  <c r="E58" i="3"/>
  <c r="D60" i="3"/>
  <c r="E60" i="3"/>
  <c r="D62" i="3"/>
  <c r="E62" i="3"/>
  <c r="D64" i="3"/>
  <c r="E64" i="3"/>
  <c r="D66" i="3"/>
  <c r="E66" i="3"/>
  <c r="D68" i="3"/>
  <c r="E68" i="3"/>
  <c r="D70" i="3"/>
  <c r="E70" i="3"/>
  <c r="D72" i="3"/>
  <c r="E72" i="3"/>
  <c r="D74" i="3"/>
  <c r="E74" i="3"/>
  <c r="D76" i="3"/>
  <c r="E76" i="3"/>
  <c r="E78" i="3"/>
  <c r="D78" i="3"/>
  <c r="D80" i="3"/>
  <c r="E80" i="3"/>
  <c r="E82" i="3"/>
  <c r="D82" i="3"/>
  <c r="D84" i="3"/>
  <c r="E84" i="3"/>
  <c r="D86" i="3"/>
  <c r="E86" i="3"/>
  <c r="D88" i="3"/>
  <c r="E88" i="3"/>
  <c r="D90" i="3"/>
  <c r="E90" i="3"/>
  <c r="D92" i="3"/>
  <c r="E92" i="3"/>
  <c r="E94" i="3"/>
  <c r="D94" i="3"/>
  <c r="D96" i="3"/>
  <c r="E96" i="3"/>
  <c r="E98" i="3"/>
  <c r="D98" i="3"/>
  <c r="D100" i="3"/>
  <c r="E100" i="3"/>
  <c r="D102" i="3"/>
  <c r="E102" i="3"/>
  <c r="D104" i="3"/>
  <c r="E104" i="3"/>
  <c r="D106" i="3"/>
  <c r="E106" i="3"/>
  <c r="D108" i="3"/>
  <c r="E108" i="3"/>
  <c r="E110" i="3"/>
  <c r="D110" i="3"/>
  <c r="D112" i="3"/>
  <c r="E112" i="3"/>
  <c r="D114" i="3"/>
  <c r="E114" i="3"/>
  <c r="D116" i="3"/>
  <c r="E116" i="3"/>
  <c r="D118" i="3"/>
  <c r="E118" i="3"/>
  <c r="D120" i="3"/>
  <c r="E120" i="3"/>
  <c r="D122" i="3"/>
  <c r="E122" i="3"/>
  <c r="D124" i="3"/>
  <c r="E124" i="3"/>
  <c r="D126" i="3"/>
  <c r="E126" i="3"/>
  <c r="D128" i="3"/>
  <c r="E128" i="3"/>
  <c r="D130" i="3"/>
  <c r="E130" i="3"/>
  <c r="D132" i="3"/>
  <c r="E132" i="3"/>
  <c r="D134" i="3"/>
  <c r="E134" i="3"/>
  <c r="D136" i="3"/>
  <c r="E136" i="3"/>
  <c r="D138" i="3"/>
  <c r="E138" i="3"/>
  <c r="D140" i="3"/>
  <c r="E140" i="3"/>
  <c r="E142" i="3"/>
  <c r="D142" i="3"/>
  <c r="D144" i="3"/>
  <c r="E144" i="3"/>
  <c r="D146" i="3"/>
  <c r="E146" i="3"/>
  <c r="D148" i="3"/>
  <c r="E148" i="3"/>
  <c r="D150" i="3"/>
  <c r="E150" i="3"/>
  <c r="D152" i="3"/>
  <c r="E152" i="3"/>
  <c r="D154" i="3"/>
  <c r="E154" i="3"/>
  <c r="D156" i="3"/>
  <c r="E156" i="3"/>
  <c r="D158" i="3"/>
  <c r="E158" i="3"/>
  <c r="D160" i="3"/>
  <c r="E160" i="3"/>
  <c r="D162" i="3"/>
  <c r="E162" i="3"/>
  <c r="D164" i="3"/>
  <c r="E164" i="3"/>
  <c r="D166" i="3"/>
  <c r="E166" i="3"/>
  <c r="D168" i="3"/>
  <c r="E168" i="3"/>
  <c r="D170" i="3"/>
  <c r="E170" i="3"/>
  <c r="D172" i="3"/>
  <c r="E172" i="3"/>
  <c r="E174" i="3"/>
  <c r="D174" i="3"/>
  <c r="D176" i="3"/>
  <c r="E176" i="3"/>
  <c r="D178" i="3"/>
  <c r="E178" i="3"/>
  <c r="D180" i="3"/>
  <c r="E180" i="3"/>
  <c r="D182" i="3"/>
  <c r="E182" i="3"/>
  <c r="D184" i="3"/>
  <c r="E184" i="3"/>
  <c r="D186" i="3"/>
  <c r="E186" i="3"/>
  <c r="D188" i="3"/>
  <c r="E188" i="3"/>
  <c r="D190" i="3"/>
  <c r="E190" i="3"/>
  <c r="D192" i="3"/>
  <c r="E192" i="3"/>
  <c r="D194" i="3"/>
  <c r="E194" i="3"/>
  <c r="D196" i="3"/>
  <c r="E196" i="3"/>
  <c r="D198" i="3"/>
  <c r="E198" i="3"/>
  <c r="D200" i="3"/>
  <c r="E200" i="3"/>
  <c r="D202" i="3"/>
  <c r="E202" i="3"/>
  <c r="D204" i="3"/>
  <c r="E204" i="3"/>
  <c r="E206" i="3"/>
  <c r="D206" i="3"/>
  <c r="D208" i="3"/>
  <c r="E208" i="3"/>
  <c r="D210" i="3"/>
  <c r="E210" i="3"/>
  <c r="D212" i="3"/>
  <c r="E212" i="3"/>
  <c r="D214" i="3"/>
  <c r="E214" i="3"/>
  <c r="D216" i="3"/>
  <c r="E216" i="3"/>
  <c r="D218" i="3"/>
  <c r="E218" i="3"/>
  <c r="D220" i="3"/>
  <c r="E220" i="3"/>
  <c r="D222" i="3"/>
  <c r="E222" i="3"/>
  <c r="D224" i="3"/>
  <c r="E224" i="3"/>
  <c r="D226" i="3"/>
  <c r="E226" i="3"/>
  <c r="D228" i="3"/>
  <c r="E228" i="3"/>
  <c r="D230" i="3"/>
  <c r="E230" i="3"/>
  <c r="D232" i="3"/>
  <c r="E232" i="3"/>
  <c r="D234" i="3"/>
  <c r="E234" i="3"/>
  <c r="D236" i="3"/>
  <c r="E236" i="3"/>
  <c r="E238" i="3"/>
  <c r="D238" i="3"/>
  <c r="D240" i="3"/>
  <c r="E240" i="3"/>
  <c r="D242" i="3"/>
  <c r="E242" i="3"/>
  <c r="E9" i="3"/>
  <c r="D5" i="3"/>
  <c r="D4" i="3"/>
  <c r="D6" i="3"/>
  <c r="D3" i="3"/>
  <c r="D7" i="3"/>
  <c r="D9" i="3"/>
  <c r="D8" i="3"/>
  <c r="D2" i="3"/>
  <c r="E17" i="3"/>
  <c r="D17" i="3"/>
  <c r="E21" i="3"/>
  <c r="D21" i="3"/>
  <c r="E25" i="3"/>
  <c r="D25" i="3"/>
  <c r="D27" i="3"/>
  <c r="E27" i="3"/>
  <c r="E31" i="3"/>
  <c r="D31" i="3"/>
  <c r="E35" i="3"/>
  <c r="D35" i="3"/>
  <c r="D39" i="3"/>
  <c r="E39" i="3"/>
  <c r="E41" i="3"/>
  <c r="D41" i="3"/>
  <c r="E45" i="3"/>
  <c r="D45" i="3"/>
  <c r="E49" i="3"/>
  <c r="D49" i="3"/>
  <c r="E53" i="3"/>
  <c r="D53" i="3"/>
  <c r="E57" i="3"/>
  <c r="D57" i="3"/>
  <c r="E61" i="3"/>
  <c r="D61" i="3"/>
  <c r="E63" i="3"/>
  <c r="D63" i="3"/>
  <c r="E67" i="3"/>
  <c r="D67" i="3"/>
  <c r="E71" i="3"/>
  <c r="D71" i="3"/>
  <c r="D75" i="3"/>
  <c r="E75" i="3"/>
  <c r="D79" i="3"/>
  <c r="E79" i="3"/>
  <c r="E83" i="3"/>
  <c r="D83" i="3"/>
  <c r="E85" i="3"/>
  <c r="D85" i="3"/>
  <c r="E89" i="3"/>
  <c r="D89" i="3"/>
  <c r="E93" i="3"/>
  <c r="D93" i="3"/>
  <c r="E97" i="3"/>
  <c r="D97" i="3"/>
  <c r="E101" i="3"/>
  <c r="D101" i="3"/>
  <c r="E103" i="3"/>
  <c r="D103" i="3"/>
  <c r="D107" i="3"/>
  <c r="E107" i="3"/>
  <c r="D111" i="3"/>
  <c r="E111" i="3"/>
  <c r="D115" i="3"/>
  <c r="E115" i="3"/>
  <c r="D119" i="3"/>
  <c r="E119" i="3"/>
  <c r="D123" i="3"/>
  <c r="E123" i="3"/>
  <c r="D127" i="3"/>
  <c r="E127" i="3"/>
  <c r="E131" i="3"/>
  <c r="D131" i="3"/>
  <c r="E135" i="3"/>
  <c r="D135" i="3"/>
  <c r="D139" i="3"/>
  <c r="E139" i="3"/>
  <c r="D143" i="3"/>
  <c r="E143" i="3"/>
  <c r="D147" i="3"/>
  <c r="E147" i="3"/>
  <c r="D149" i="3"/>
  <c r="E149" i="3"/>
  <c r="E153" i="3"/>
  <c r="D153" i="3"/>
  <c r="E157" i="3"/>
  <c r="D157" i="3"/>
  <c r="D161" i="3"/>
  <c r="E161" i="3"/>
  <c r="D165" i="3"/>
  <c r="E165" i="3"/>
  <c r="E169" i="3"/>
  <c r="D169" i="3"/>
  <c r="D177" i="3"/>
  <c r="E177" i="3"/>
  <c r="D183" i="3"/>
  <c r="E183" i="3"/>
  <c r="E185" i="3"/>
  <c r="D185" i="3"/>
  <c r="E189" i="3"/>
  <c r="D189" i="3"/>
  <c r="D193" i="3"/>
  <c r="E193" i="3"/>
  <c r="D197" i="3"/>
  <c r="E197" i="3"/>
  <c r="E201" i="3"/>
  <c r="D201" i="3"/>
  <c r="E205" i="3"/>
  <c r="D205" i="3"/>
  <c r="D207" i="3"/>
  <c r="E207" i="3"/>
  <c r="D211" i="3"/>
  <c r="E211" i="3"/>
  <c r="D215" i="3"/>
  <c r="E215" i="3"/>
  <c r="D219" i="3"/>
  <c r="E219" i="3"/>
  <c r="D223" i="3"/>
  <c r="E223" i="3"/>
  <c r="E227" i="3"/>
  <c r="D227" i="3"/>
  <c r="D231" i="3"/>
  <c r="E231" i="3"/>
  <c r="E237" i="3"/>
  <c r="D237" i="3"/>
  <c r="D239" i="3"/>
  <c r="E239" i="3"/>
  <c r="D241" i="3"/>
  <c r="E241" i="3"/>
  <c r="D243" i="3"/>
  <c r="E243" i="3"/>
  <c r="D12" i="3"/>
  <c r="E12" i="3"/>
  <c r="E13" i="3"/>
  <c r="D13" i="3"/>
  <c r="D11" i="3"/>
  <c r="E11" i="3"/>
  <c r="D255" i="3"/>
  <c r="E255" i="3"/>
  <c r="D259" i="3"/>
  <c r="E259" i="3"/>
  <c r="D263" i="3"/>
  <c r="E263" i="3"/>
  <c r="E265" i="3"/>
  <c r="D265" i="3"/>
  <c r="E269" i="3"/>
  <c r="D269" i="3"/>
  <c r="D271" i="3"/>
  <c r="E271" i="3"/>
  <c r="D277" i="3"/>
  <c r="E277" i="3"/>
  <c r="E281" i="3"/>
  <c r="D281" i="3"/>
  <c r="E285" i="3"/>
  <c r="D285" i="3"/>
  <c r="D289" i="3"/>
  <c r="E289" i="3"/>
  <c r="E293" i="3"/>
  <c r="D293" i="3"/>
  <c r="E297" i="3"/>
  <c r="D297" i="3"/>
  <c r="E301" i="3"/>
  <c r="D301" i="3"/>
  <c r="D305" i="3"/>
  <c r="E305" i="3"/>
  <c r="D315" i="3"/>
  <c r="E315" i="3"/>
  <c r="D319" i="3"/>
  <c r="E319" i="3"/>
  <c r="D321" i="3"/>
  <c r="E321" i="3"/>
  <c r="E325" i="3"/>
  <c r="D325" i="3"/>
  <c r="E329" i="3"/>
  <c r="D329" i="3"/>
  <c r="E333" i="3"/>
  <c r="D333" i="3"/>
  <c r="D335" i="3"/>
  <c r="E335" i="3"/>
  <c r="E341" i="3"/>
  <c r="D341" i="3"/>
  <c r="E349" i="3"/>
  <c r="D349" i="3"/>
  <c r="D351" i="3"/>
  <c r="E351" i="3"/>
  <c r="E357" i="3"/>
  <c r="D357" i="3"/>
  <c r="D367" i="3"/>
  <c r="E367" i="3"/>
  <c r="D257" i="3"/>
  <c r="E257" i="3"/>
  <c r="D261" i="3"/>
  <c r="E261" i="3"/>
  <c r="D267" i="3"/>
  <c r="E267" i="3"/>
  <c r="D273" i="3"/>
  <c r="E273" i="3"/>
  <c r="D275" i="3"/>
  <c r="E275" i="3"/>
  <c r="D279" i="3"/>
  <c r="E279" i="3"/>
  <c r="D283" i="3"/>
  <c r="E283" i="3"/>
  <c r="D287" i="3"/>
  <c r="E287" i="3"/>
  <c r="D291" i="3"/>
  <c r="E291" i="3"/>
  <c r="D295" i="3"/>
  <c r="E295" i="3"/>
  <c r="D299" i="3"/>
  <c r="E299" i="3"/>
  <c r="D303" i="3"/>
  <c r="E303" i="3"/>
  <c r="D307" i="3"/>
  <c r="E307" i="3"/>
  <c r="E309" i="3"/>
  <c r="D309" i="3"/>
  <c r="D311" i="3"/>
  <c r="E311" i="3"/>
  <c r="E313" i="3"/>
  <c r="D313" i="3"/>
  <c r="E317" i="3"/>
  <c r="D317" i="3"/>
  <c r="D323" i="3"/>
  <c r="E323" i="3"/>
  <c r="D327" i="3"/>
  <c r="E327" i="3"/>
  <c r="D331" i="3"/>
  <c r="E331" i="3"/>
  <c r="D337" i="3"/>
  <c r="E337" i="3"/>
  <c r="D339" i="3"/>
  <c r="E339" i="3"/>
  <c r="D343" i="3"/>
  <c r="E343" i="3"/>
  <c r="E345" i="3"/>
  <c r="D345" i="3"/>
  <c r="D347" i="3"/>
  <c r="E347" i="3"/>
  <c r="D353" i="3"/>
  <c r="E353" i="3"/>
  <c r="D355" i="3"/>
  <c r="E355" i="3"/>
  <c r="D359" i="3"/>
  <c r="E359" i="3"/>
  <c r="E361" i="3"/>
  <c r="D361" i="3"/>
  <c r="D363" i="3"/>
  <c r="E363" i="3"/>
  <c r="E365" i="3"/>
  <c r="D365" i="3"/>
  <c r="D247" i="3"/>
  <c r="D251" i="3"/>
  <c r="E247" i="3"/>
  <c r="E251" i="3"/>
  <c r="D244" i="3"/>
  <c r="D248" i="3"/>
  <c r="D252" i="3"/>
  <c r="D250" i="3"/>
  <c r="E248" i="3"/>
  <c r="E253" i="3"/>
  <c r="D245" i="3"/>
  <c r="D253" i="3"/>
  <c r="E244" i="3"/>
  <c r="E249" i="3"/>
  <c r="E254" i="3"/>
  <c r="D246" i="3"/>
  <c r="D254" i="3"/>
  <c r="E245" i="3"/>
  <c r="E250" i="3"/>
  <c r="D249" i="3"/>
  <c r="E246" i="3"/>
  <c r="E252" i="3"/>
  <c r="D256" i="3"/>
  <c r="E256" i="3"/>
  <c r="D258" i="3"/>
  <c r="E258" i="3"/>
  <c r="D260" i="3"/>
  <c r="E260" i="3"/>
  <c r="D262" i="3"/>
  <c r="E262" i="3"/>
  <c r="D264" i="3"/>
  <c r="E264" i="3"/>
  <c r="D266" i="3"/>
  <c r="E266" i="3"/>
  <c r="D268" i="3"/>
  <c r="E268" i="3"/>
  <c r="E270" i="3"/>
  <c r="D270" i="3"/>
  <c r="D272" i="3"/>
  <c r="E272" i="3"/>
  <c r="D274" i="3"/>
  <c r="E274" i="3"/>
  <c r="D276" i="3"/>
  <c r="E276" i="3"/>
  <c r="D278" i="3"/>
  <c r="E278" i="3"/>
  <c r="D280" i="3"/>
  <c r="E280" i="3"/>
  <c r="D282" i="3"/>
  <c r="E282" i="3"/>
  <c r="D284" i="3"/>
  <c r="E284" i="3"/>
  <c r="E286" i="3"/>
  <c r="D286" i="3"/>
  <c r="E288" i="3"/>
  <c r="D288" i="3"/>
  <c r="E290" i="3"/>
  <c r="D290" i="3"/>
  <c r="E292" i="3"/>
  <c r="D292" i="3"/>
  <c r="D294" i="3"/>
  <c r="E294" i="3"/>
  <c r="E296" i="3"/>
  <c r="D296" i="3"/>
  <c r="E298" i="3"/>
  <c r="D298" i="3"/>
  <c r="D300" i="3"/>
  <c r="E300" i="3"/>
  <c r="E302" i="3"/>
  <c r="D302" i="3"/>
  <c r="E304" i="3"/>
  <c r="D304" i="3"/>
  <c r="E306" i="3"/>
  <c r="D306" i="3"/>
  <c r="E308" i="3"/>
  <c r="D308" i="3"/>
  <c r="D310" i="3"/>
  <c r="E310" i="3"/>
  <c r="E312" i="3"/>
  <c r="D312" i="3"/>
  <c r="E314" i="3"/>
  <c r="D314" i="3"/>
  <c r="D316" i="3"/>
  <c r="E316" i="3"/>
  <c r="E318" i="3"/>
  <c r="D318" i="3"/>
  <c r="E320" i="3"/>
  <c r="D320" i="3"/>
  <c r="E322" i="3"/>
  <c r="D322" i="3"/>
  <c r="E324" i="3"/>
  <c r="D324" i="3"/>
  <c r="D326" i="3"/>
  <c r="E326" i="3"/>
  <c r="E328" i="3"/>
  <c r="D328" i="3"/>
  <c r="E330" i="3"/>
  <c r="D330" i="3"/>
  <c r="D332" i="3"/>
  <c r="E332" i="3"/>
  <c r="E334" i="3"/>
  <c r="D334" i="3"/>
  <c r="E336" i="3"/>
  <c r="D336" i="3"/>
  <c r="E338" i="3"/>
  <c r="D338" i="3"/>
  <c r="E340" i="3"/>
  <c r="D340" i="3"/>
  <c r="D342" i="3"/>
  <c r="E342" i="3"/>
  <c r="E344" i="3"/>
  <c r="D344" i="3"/>
  <c r="E346" i="3"/>
  <c r="D346" i="3"/>
  <c r="D348" i="3"/>
  <c r="E348" i="3"/>
  <c r="E350" i="3"/>
  <c r="D350" i="3"/>
  <c r="E352" i="3"/>
  <c r="D352" i="3"/>
  <c r="E354" i="3"/>
  <c r="D354" i="3"/>
  <c r="E356" i="3"/>
  <c r="D356" i="3"/>
  <c r="D358" i="3"/>
  <c r="E358" i="3"/>
  <c r="E360" i="3"/>
  <c r="D360" i="3"/>
  <c r="E362" i="3"/>
  <c r="D362" i="3"/>
  <c r="D364" i="3"/>
  <c r="E364" i="3"/>
  <c r="E366" i="3"/>
  <c r="D366" i="3"/>
  <c r="E368" i="3"/>
  <c r="D368" i="3"/>
  <c r="I2" i="9"/>
  <c r="I22" i="9"/>
  <c r="H3" i="10"/>
  <c r="G4" i="10"/>
  <c r="F4" i="10" s="1"/>
  <c r="R22" i="9"/>
  <c r="A23" i="9"/>
  <c r="A3" i="9"/>
  <c r="C26" i="8" l="1"/>
  <c r="C14" i="8"/>
  <c r="H4" i="10"/>
  <c r="G5" i="10"/>
  <c r="F5" i="10" s="1"/>
  <c r="R3" i="9"/>
  <c r="A4" i="9"/>
  <c r="A24" i="9"/>
  <c r="R24" i="9" s="1"/>
  <c r="R23" i="9"/>
  <c r="C27" i="8" l="1"/>
  <c r="C28" i="8"/>
  <c r="G6" i="10"/>
  <c r="F6" i="10" s="1"/>
  <c r="H5" i="10"/>
  <c r="R4" i="9"/>
  <c r="A5" i="9"/>
  <c r="H6" i="10" l="1"/>
  <c r="G7" i="10"/>
  <c r="F7" i="10" s="1"/>
  <c r="R5" i="9"/>
  <c r="A6" i="9"/>
  <c r="G8" i="10" l="1"/>
  <c r="F8" i="10" s="1"/>
  <c r="H7" i="10"/>
  <c r="A7" i="9"/>
  <c r="R6" i="9"/>
  <c r="P6" i="9"/>
  <c r="G9" i="10" l="1"/>
  <c r="F9" i="10" s="1"/>
  <c r="H8" i="10"/>
  <c r="R7" i="9"/>
  <c r="A8" i="9"/>
  <c r="G10" i="10" l="1"/>
  <c r="F10" i="10" s="1"/>
  <c r="H9" i="10"/>
  <c r="R8" i="9"/>
  <c r="A9" i="9"/>
  <c r="G11" i="10" l="1"/>
  <c r="F11" i="10" s="1"/>
  <c r="H10" i="10"/>
  <c r="R9" i="9"/>
  <c r="A10" i="9"/>
  <c r="G12" i="10" l="1"/>
  <c r="F12" i="10" s="1"/>
  <c r="H11" i="10"/>
  <c r="A11" i="9"/>
  <c r="R10" i="9"/>
  <c r="G13" i="10" l="1"/>
  <c r="F13" i="10" s="1"/>
  <c r="H12" i="10"/>
  <c r="P11" i="9"/>
  <c r="A12" i="9"/>
  <c r="R11" i="9"/>
  <c r="G14" i="10" l="1"/>
  <c r="F14" i="10" s="1"/>
  <c r="H13" i="10"/>
  <c r="R12" i="9"/>
  <c r="A13" i="9"/>
  <c r="G15" i="10" l="1"/>
  <c r="F15" i="10" s="1"/>
  <c r="H14" i="10"/>
  <c r="R13" i="9"/>
  <c r="A14" i="9"/>
  <c r="G16" i="10" l="1"/>
  <c r="F16" i="10" s="1"/>
  <c r="H15" i="10"/>
  <c r="R14" i="9"/>
  <c r="A15" i="9"/>
  <c r="G11" i="5"/>
  <c r="G16" i="5"/>
  <c r="G17" i="10" l="1"/>
  <c r="F17" i="10" s="1"/>
  <c r="H16" i="10"/>
  <c r="R15" i="9"/>
  <c r="A16" i="9"/>
  <c r="G18" i="10" l="1"/>
  <c r="F18" i="10" s="1"/>
  <c r="H17" i="10"/>
  <c r="P16" i="9"/>
  <c r="R16" i="9"/>
  <c r="A17" i="9"/>
  <c r="G19" i="10" l="1"/>
  <c r="F19" i="10" s="1"/>
  <c r="H18" i="10"/>
  <c r="A18" i="9"/>
  <c r="R17" i="9"/>
  <c r="M10" i="5"/>
  <c r="G18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19" i="5"/>
  <c r="Q11" i="5"/>
  <c r="M11" i="5"/>
  <c r="M9" i="5"/>
  <c r="M2" i="5"/>
  <c r="N2" i="5" s="1"/>
  <c r="E14" i="5" l="1"/>
  <c r="G13" i="5"/>
  <c r="M12" i="5"/>
  <c r="G12" i="5"/>
  <c r="G20" i="10"/>
  <c r="F20" i="10" s="1"/>
  <c r="H19" i="10"/>
  <c r="A19" i="9"/>
  <c r="R18" i="9"/>
  <c r="G21" i="10" l="1"/>
  <c r="F21" i="10" s="1"/>
  <c r="H20" i="10"/>
  <c r="A20" i="9"/>
  <c r="R19" i="9"/>
  <c r="G22" i="10" l="1"/>
  <c r="F22" i="10" s="1"/>
  <c r="H21" i="10"/>
  <c r="R20" i="9"/>
  <c r="A21" i="9"/>
  <c r="G23" i="10" l="1"/>
  <c r="F23" i="10" s="1"/>
  <c r="H22" i="10"/>
  <c r="A25" i="9"/>
  <c r="R21" i="9"/>
  <c r="P21" i="9"/>
  <c r="G24" i="10" l="1"/>
  <c r="F24" i="10" s="1"/>
  <c r="H23" i="10"/>
  <c r="R25" i="9"/>
  <c r="A26" i="9"/>
  <c r="G25" i="10" l="1"/>
  <c r="F25" i="10" s="1"/>
  <c r="H24" i="10"/>
  <c r="A27" i="9"/>
  <c r="R26" i="9"/>
  <c r="P26" i="9"/>
  <c r="G26" i="10" l="1"/>
  <c r="F26" i="10" s="1"/>
  <c r="H25" i="10"/>
  <c r="R27" i="9"/>
  <c r="A28" i="9"/>
  <c r="F233" i="3"/>
  <c r="F234" i="3"/>
  <c r="F235" i="3"/>
  <c r="F223" i="3"/>
  <c r="F222" i="3"/>
  <c r="F219" i="3"/>
  <c r="G27" i="10" l="1"/>
  <c r="H26" i="10"/>
  <c r="R28" i="9"/>
  <c r="A29" i="9"/>
  <c r="F221" i="3"/>
  <c r="F230" i="3"/>
  <c r="F231" i="3"/>
  <c r="F241" i="3"/>
  <c r="F227" i="3"/>
  <c r="F239" i="3"/>
  <c r="F217" i="3"/>
  <c r="F228" i="3"/>
  <c r="F236" i="3"/>
  <c r="F226" i="3"/>
  <c r="F229" i="3"/>
  <c r="F215" i="3"/>
  <c r="F237" i="3"/>
  <c r="F218" i="3"/>
  <c r="F225" i="3"/>
  <c r="F232" i="3"/>
  <c r="F240" i="3"/>
  <c r="F224" i="3"/>
  <c r="F238" i="3"/>
  <c r="F216" i="3"/>
  <c r="F220" i="3"/>
  <c r="F214" i="3"/>
  <c r="D177" i="2"/>
  <c r="D180" i="2"/>
  <c r="D182" i="2"/>
  <c r="D185" i="2"/>
  <c r="D125" i="2"/>
  <c r="D127" i="2"/>
  <c r="D130" i="2"/>
  <c r="D133" i="2"/>
  <c r="D135" i="2"/>
  <c r="D138" i="2"/>
  <c r="D141" i="2"/>
  <c r="D143" i="2"/>
  <c r="D146" i="2"/>
  <c r="D149" i="2"/>
  <c r="D151" i="2"/>
  <c r="D154" i="2"/>
  <c r="D157" i="2"/>
  <c r="D159" i="2"/>
  <c r="D162" i="2"/>
  <c r="D165" i="2"/>
  <c r="D167" i="2"/>
  <c r="D170" i="2"/>
  <c r="D173" i="2"/>
  <c r="D115" i="2"/>
  <c r="D118" i="2"/>
  <c r="D121" i="2"/>
  <c r="D114" i="2"/>
  <c r="I18" i="2"/>
  <c r="D175" i="2" s="1"/>
  <c r="J18" i="2"/>
  <c r="D122" i="2" l="1"/>
  <c r="D117" i="2"/>
  <c r="F127" i="2" s="1"/>
  <c r="G127" i="2" s="1"/>
  <c r="D171" i="2"/>
  <c r="D166" i="2"/>
  <c r="F177" i="2" s="1"/>
  <c r="G177" i="2" s="1"/>
  <c r="D161" i="2"/>
  <c r="D155" i="2"/>
  <c r="F166" i="2" s="1"/>
  <c r="G166" i="2" s="1"/>
  <c r="D150" i="2"/>
  <c r="D145" i="2"/>
  <c r="D139" i="2"/>
  <c r="D134" i="2"/>
  <c r="D129" i="2"/>
  <c r="D123" i="2"/>
  <c r="D181" i="2"/>
  <c r="D176" i="2"/>
  <c r="D119" i="2"/>
  <c r="D174" i="2"/>
  <c r="F185" i="2" s="1"/>
  <c r="G185" i="2" s="1"/>
  <c r="D169" i="2"/>
  <c r="D163" i="2"/>
  <c r="F174" i="2" s="1"/>
  <c r="G174" i="2" s="1"/>
  <c r="D158" i="2"/>
  <c r="D153" i="2"/>
  <c r="F161" i="2" s="1"/>
  <c r="G161" i="2" s="1"/>
  <c r="D147" i="2"/>
  <c r="D142" i="2"/>
  <c r="F153" i="2" s="1"/>
  <c r="G153" i="2" s="1"/>
  <c r="D137" i="2"/>
  <c r="D131" i="2"/>
  <c r="F142" i="2" s="1"/>
  <c r="G142" i="2" s="1"/>
  <c r="D126" i="2"/>
  <c r="D184" i="2"/>
  <c r="D178" i="2"/>
  <c r="G28" i="10"/>
  <c r="H27" i="10"/>
  <c r="R29" i="9"/>
  <c r="A30" i="9"/>
  <c r="F213" i="3"/>
  <c r="F195" i="3"/>
  <c r="F203" i="3"/>
  <c r="F201" i="3"/>
  <c r="F206" i="3"/>
  <c r="F198" i="3"/>
  <c r="F199" i="3"/>
  <c r="F207" i="3"/>
  <c r="F212" i="3"/>
  <c r="F204" i="3"/>
  <c r="F196" i="3"/>
  <c r="F210" i="3"/>
  <c r="F202" i="3"/>
  <c r="F194" i="3"/>
  <c r="F211" i="3"/>
  <c r="F208" i="3"/>
  <c r="F200" i="3"/>
  <c r="F205" i="3"/>
  <c r="F209" i="3"/>
  <c r="F197" i="3"/>
  <c r="D120" i="2"/>
  <c r="D116" i="2"/>
  <c r="D172" i="2"/>
  <c r="D168" i="2"/>
  <c r="D164" i="2"/>
  <c r="D160" i="2"/>
  <c r="D156" i="2"/>
  <c r="F164" i="2" s="1"/>
  <c r="G164" i="2" s="1"/>
  <c r="D152" i="2"/>
  <c r="D148" i="2"/>
  <c r="D144" i="2"/>
  <c r="D140" i="2"/>
  <c r="F148" i="2" s="1"/>
  <c r="G148" i="2" s="1"/>
  <c r="D136" i="2"/>
  <c r="D132" i="2"/>
  <c r="D128" i="2"/>
  <c r="D124" i="2"/>
  <c r="F132" i="2" s="1"/>
  <c r="G132" i="2" s="1"/>
  <c r="D183" i="2"/>
  <c r="D179" i="2"/>
  <c r="F184" i="2" s="1"/>
  <c r="G184" i="2" s="1"/>
  <c r="F181" i="2"/>
  <c r="G181" i="2" s="1"/>
  <c r="F169" i="2"/>
  <c r="G169" i="2" s="1"/>
  <c r="F158" i="2"/>
  <c r="G158" i="2" s="1"/>
  <c r="F150" i="2"/>
  <c r="G150" i="2" s="1"/>
  <c r="F136" i="2"/>
  <c r="G136" i="2" s="1"/>
  <c r="F131" i="2"/>
  <c r="G131" i="2" s="1"/>
  <c r="F171" i="2"/>
  <c r="G171" i="2" s="1"/>
  <c r="F155" i="2"/>
  <c r="G155" i="2" s="1"/>
  <c r="F145" i="2"/>
  <c r="G145" i="2" s="1"/>
  <c r="F137" i="2"/>
  <c r="G137" i="2" s="1"/>
  <c r="F140" i="2" l="1"/>
  <c r="G140" i="2" s="1"/>
  <c r="F156" i="2"/>
  <c r="G156" i="2" s="1"/>
  <c r="F175" i="2"/>
  <c r="G175" i="2" s="1"/>
  <c r="F128" i="2"/>
  <c r="G128" i="2" s="1"/>
  <c r="F139" i="2"/>
  <c r="G139" i="2" s="1"/>
  <c r="F152" i="2"/>
  <c r="G152" i="2" s="1"/>
  <c r="F180" i="2"/>
  <c r="G180" i="2" s="1"/>
  <c r="F168" i="2"/>
  <c r="G168" i="2" s="1"/>
  <c r="F138" i="2"/>
  <c r="G138" i="2" s="1"/>
  <c r="F154" i="2"/>
  <c r="G154" i="2" s="1"/>
  <c r="F170" i="2"/>
  <c r="G170" i="2" s="1"/>
  <c r="F125" i="2"/>
  <c r="G125" i="2" s="1"/>
  <c r="G29" i="10"/>
  <c r="H28" i="10"/>
  <c r="A31" i="9"/>
  <c r="R30" i="9"/>
  <c r="F187" i="3"/>
  <c r="F147" i="2"/>
  <c r="G147" i="2" s="1"/>
  <c r="F163" i="2"/>
  <c r="G163" i="2" s="1"/>
  <c r="F134" i="2"/>
  <c r="G134" i="2" s="1"/>
  <c r="F130" i="2"/>
  <c r="G130" i="2" s="1"/>
  <c r="F126" i="2"/>
  <c r="G126" i="2" s="1"/>
  <c r="F144" i="2"/>
  <c r="G144" i="2" s="1"/>
  <c r="F160" i="2"/>
  <c r="G160" i="2" s="1"/>
  <c r="F178" i="2"/>
  <c r="G178" i="2" s="1"/>
  <c r="F182" i="2"/>
  <c r="G182" i="2" s="1"/>
  <c r="F172" i="2"/>
  <c r="G172" i="2" s="1"/>
  <c r="F141" i="2"/>
  <c r="G141" i="2" s="1"/>
  <c r="F149" i="2"/>
  <c r="G149" i="2" s="1"/>
  <c r="F157" i="2"/>
  <c r="G157" i="2" s="1"/>
  <c r="F165" i="2"/>
  <c r="G165" i="2" s="1"/>
  <c r="F133" i="2"/>
  <c r="G133" i="2" s="1"/>
  <c r="F129" i="2"/>
  <c r="G129" i="2" s="1"/>
  <c r="F146" i="2"/>
  <c r="G146" i="2" s="1"/>
  <c r="F162" i="2"/>
  <c r="G162" i="2" s="1"/>
  <c r="F173" i="2"/>
  <c r="G173" i="2" s="1"/>
  <c r="F179" i="2"/>
  <c r="G179" i="2" s="1"/>
  <c r="F183" i="2"/>
  <c r="G183" i="2" s="1"/>
  <c r="F135" i="2"/>
  <c r="G135" i="2" s="1"/>
  <c r="F143" i="2"/>
  <c r="G143" i="2" s="1"/>
  <c r="F151" i="2"/>
  <c r="G151" i="2" s="1"/>
  <c r="F159" i="2"/>
  <c r="G159" i="2" s="1"/>
  <c r="F167" i="2"/>
  <c r="G167" i="2" s="1"/>
  <c r="F176" i="2"/>
  <c r="G176" i="2" s="1"/>
  <c r="N12" i="5"/>
  <c r="E4" i="5"/>
  <c r="S3" i="5"/>
  <c r="S6" i="5" s="1"/>
  <c r="S7" i="5" s="1"/>
  <c r="S9" i="5" s="1"/>
  <c r="S10" i="5" s="1"/>
  <c r="N10" i="5"/>
  <c r="G14" i="5"/>
  <c r="E15" i="5"/>
  <c r="G15" i="5" s="1"/>
  <c r="N9" i="5"/>
  <c r="G2" i="5"/>
  <c r="N18" i="5"/>
  <c r="N17" i="5"/>
  <c r="R3" i="5"/>
  <c r="R6" i="5" s="1"/>
  <c r="R7" i="5" s="1"/>
  <c r="R9" i="5" s="1"/>
  <c r="R10" i="5" s="1"/>
  <c r="Q3" i="5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G8" i="5" l="1"/>
  <c r="I8" i="5" s="1"/>
  <c r="M8" i="5"/>
  <c r="N8" i="5" s="1"/>
  <c r="Q6" i="5"/>
  <c r="Q7" i="5" s="1"/>
  <c r="Q9" i="5" s="1"/>
  <c r="Q10" i="5" s="1"/>
  <c r="G7" i="5"/>
  <c r="I7" i="5" s="1"/>
  <c r="M7" i="5"/>
  <c r="N7" i="5" s="1"/>
  <c r="G4" i="5"/>
  <c r="I4" i="5" s="1"/>
  <c r="M4" i="5"/>
  <c r="N4" i="5" s="1"/>
  <c r="G6" i="5"/>
  <c r="I6" i="5" s="1"/>
  <c r="M6" i="5"/>
  <c r="N6" i="5" s="1"/>
  <c r="G5" i="5"/>
  <c r="I5" i="5" s="1"/>
  <c r="M5" i="5"/>
  <c r="N5" i="5" s="1"/>
  <c r="G30" i="10"/>
  <c r="H29" i="10"/>
  <c r="A32" i="9"/>
  <c r="R31" i="9"/>
  <c r="P31" i="9"/>
  <c r="F184" i="3"/>
  <c r="F190" i="3"/>
  <c r="F189" i="3"/>
  <c r="F188" i="3"/>
  <c r="F191" i="3"/>
  <c r="F185" i="3"/>
  <c r="F186" i="3"/>
  <c r="F193" i="3"/>
  <c r="F192" i="3"/>
  <c r="M15" i="5"/>
  <c r="N15" i="5" s="1"/>
  <c r="I14" i="5"/>
  <c r="M14" i="5"/>
  <c r="N14" i="5" s="1"/>
  <c r="I15" i="5"/>
  <c r="I11" i="5"/>
  <c r="I9" i="5"/>
  <c r="I12" i="5"/>
  <c r="I10" i="5"/>
  <c r="I13" i="5"/>
  <c r="I2" i="5"/>
  <c r="J2" i="5" s="1"/>
  <c r="N13" i="5"/>
  <c r="N11" i="5"/>
  <c r="O2" i="5"/>
  <c r="O3" i="5" s="1"/>
  <c r="AB63" i="2"/>
  <c r="Z63" i="2"/>
  <c r="Y63" i="2"/>
  <c r="AA63" i="2" s="1"/>
  <c r="W63" i="2"/>
  <c r="T63" i="2"/>
  <c r="X63" i="2" s="1"/>
  <c r="AB64" i="2"/>
  <c r="Z64" i="2"/>
  <c r="Y64" i="2"/>
  <c r="V64" i="2"/>
  <c r="W64" i="2" s="1"/>
  <c r="S64" i="2"/>
  <c r="T64" i="2" s="1"/>
  <c r="Z71" i="2"/>
  <c r="Z72" i="2"/>
  <c r="AA72" i="2" s="1"/>
  <c r="AH72" i="2" s="1"/>
  <c r="Z73" i="2"/>
  <c r="AA73" i="2" s="1"/>
  <c r="AH73" i="2" s="1"/>
  <c r="Y65" i="2"/>
  <c r="Z65" i="2"/>
  <c r="Y66" i="2"/>
  <c r="Z66" i="2"/>
  <c r="Y67" i="2"/>
  <c r="Z67" i="2"/>
  <c r="Y68" i="2"/>
  <c r="Z68" i="2"/>
  <c r="Y69" i="2"/>
  <c r="Z69" i="2"/>
  <c r="Y70" i="2"/>
  <c r="Z70" i="2"/>
  <c r="Y71" i="2"/>
  <c r="Y57" i="2"/>
  <c r="Z57" i="2"/>
  <c r="Y58" i="2"/>
  <c r="Z58" i="2"/>
  <c r="Y59" i="2"/>
  <c r="Z59" i="2"/>
  <c r="Y60" i="2"/>
  <c r="Z60" i="2"/>
  <c r="Y61" i="2"/>
  <c r="Z61" i="2"/>
  <c r="Y62" i="2"/>
  <c r="Z62" i="2"/>
  <c r="AB62" i="2"/>
  <c r="W62" i="2"/>
  <c r="T62" i="2"/>
  <c r="AB61" i="2"/>
  <c r="W61" i="2"/>
  <c r="T61" i="2"/>
  <c r="Z56" i="2"/>
  <c r="Y56" i="2"/>
  <c r="N77" i="2"/>
  <c r="M77" i="2"/>
  <c r="N76" i="2"/>
  <c r="M76" i="2"/>
  <c r="N75" i="2"/>
  <c r="M75" i="2"/>
  <c r="N74" i="2"/>
  <c r="M74" i="2"/>
  <c r="W73" i="2"/>
  <c r="T73" i="2"/>
  <c r="N73" i="2"/>
  <c r="M73" i="2"/>
  <c r="W72" i="2"/>
  <c r="T72" i="2"/>
  <c r="N72" i="2"/>
  <c r="M72" i="2"/>
  <c r="W71" i="2"/>
  <c r="T71" i="2"/>
  <c r="N71" i="2"/>
  <c r="M71" i="2"/>
  <c r="W70" i="2"/>
  <c r="T70" i="2"/>
  <c r="N70" i="2"/>
  <c r="M70" i="2"/>
  <c r="W69" i="2"/>
  <c r="T69" i="2"/>
  <c r="N69" i="2"/>
  <c r="M69" i="2"/>
  <c r="W68" i="2"/>
  <c r="T68" i="2"/>
  <c r="N68" i="2"/>
  <c r="M68" i="2"/>
  <c r="W67" i="2"/>
  <c r="T67" i="2"/>
  <c r="N67" i="2"/>
  <c r="M67" i="2"/>
  <c r="W66" i="2"/>
  <c r="T66" i="2"/>
  <c r="N66" i="2"/>
  <c r="M66" i="2"/>
  <c r="W65" i="2"/>
  <c r="T65" i="2"/>
  <c r="N65" i="2"/>
  <c r="M65" i="2"/>
  <c r="N64" i="2"/>
  <c r="M64" i="2"/>
  <c r="N63" i="2"/>
  <c r="M63" i="2"/>
  <c r="N62" i="2"/>
  <c r="M62" i="2"/>
  <c r="N61" i="2"/>
  <c r="M61" i="2"/>
  <c r="AB60" i="2"/>
  <c r="W60" i="2"/>
  <c r="T60" i="2"/>
  <c r="N60" i="2"/>
  <c r="M60" i="2"/>
  <c r="AB59" i="2"/>
  <c r="W59" i="2"/>
  <c r="T59" i="2"/>
  <c r="N59" i="2"/>
  <c r="M59" i="2"/>
  <c r="AB58" i="2"/>
  <c r="W58" i="2"/>
  <c r="T58" i="2"/>
  <c r="N58" i="2"/>
  <c r="M58" i="2"/>
  <c r="AB57" i="2"/>
  <c r="W57" i="2"/>
  <c r="T57" i="2"/>
  <c r="N57" i="2"/>
  <c r="M57" i="2"/>
  <c r="V56" i="2"/>
  <c r="W56" i="2" s="1"/>
  <c r="S56" i="2"/>
  <c r="T56" i="2" s="1"/>
  <c r="N56" i="2"/>
  <c r="M56" i="2"/>
  <c r="N55" i="2"/>
  <c r="M55" i="2"/>
  <c r="Y46" i="2"/>
  <c r="Z37" i="2"/>
  <c r="Y37" i="2"/>
  <c r="W37" i="2"/>
  <c r="T37" i="2"/>
  <c r="AB36" i="2"/>
  <c r="Z36" i="2"/>
  <c r="Y36" i="2"/>
  <c r="V36" i="2"/>
  <c r="W36" i="2" s="1"/>
  <c r="S36" i="2"/>
  <c r="T36" i="2" s="1"/>
  <c r="S31" i="2"/>
  <c r="T31" i="2" s="1"/>
  <c r="V31" i="2"/>
  <c r="Y31" i="2"/>
  <c r="Z31" i="2"/>
  <c r="W31" i="2"/>
  <c r="Z38" i="2"/>
  <c r="Y38" i="2"/>
  <c r="W38" i="2"/>
  <c r="T38" i="2"/>
  <c r="Z39" i="2"/>
  <c r="Y39" i="2"/>
  <c r="W39" i="2"/>
  <c r="T39" i="2"/>
  <c r="Z40" i="2"/>
  <c r="Y40" i="2"/>
  <c r="W40" i="2"/>
  <c r="T40" i="2"/>
  <c r="W33" i="2"/>
  <c r="W34" i="2"/>
  <c r="W35" i="2"/>
  <c r="W32" i="2"/>
  <c r="T33" i="2"/>
  <c r="T34" i="2"/>
  <c r="T35" i="2"/>
  <c r="T32" i="2"/>
  <c r="Y41" i="2"/>
  <c r="Y42" i="2"/>
  <c r="Y43" i="2"/>
  <c r="Y44" i="2"/>
  <c r="Y45" i="2"/>
  <c r="Z41" i="2"/>
  <c r="Z42" i="2"/>
  <c r="Z43" i="2"/>
  <c r="Z44" i="2"/>
  <c r="Z45" i="2"/>
  <c r="Z46" i="2"/>
  <c r="Z47" i="2"/>
  <c r="AA47" i="2" s="1"/>
  <c r="AH47" i="2" s="1"/>
  <c r="Z48" i="2"/>
  <c r="AA48" i="2" s="1"/>
  <c r="AH48" i="2" s="1"/>
  <c r="Z33" i="2"/>
  <c r="Z34" i="2"/>
  <c r="Z35" i="2"/>
  <c r="Z32" i="2"/>
  <c r="Y33" i="2"/>
  <c r="Y34" i="2"/>
  <c r="Y35" i="2"/>
  <c r="Y32" i="2"/>
  <c r="AA32" i="2" s="1"/>
  <c r="T41" i="2"/>
  <c r="W41" i="2"/>
  <c r="T42" i="2"/>
  <c r="W42" i="2"/>
  <c r="T43" i="2"/>
  <c r="W43" i="2"/>
  <c r="AB33" i="2"/>
  <c r="AB34" i="2"/>
  <c r="AB35" i="2"/>
  <c r="AB32" i="2"/>
  <c r="AA35" i="2"/>
  <c r="T44" i="2"/>
  <c r="W44" i="2"/>
  <c r="T45" i="2"/>
  <c r="W45" i="2"/>
  <c r="T46" i="2"/>
  <c r="W46" i="2"/>
  <c r="T47" i="2"/>
  <c r="W47" i="2"/>
  <c r="T48" i="2"/>
  <c r="W48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X36" i="2" l="1"/>
  <c r="X66" i="2"/>
  <c r="X67" i="2"/>
  <c r="X68" i="2"/>
  <c r="AC68" i="2" s="1"/>
  <c r="AD68" i="2" s="1"/>
  <c r="AE68" i="2" s="1"/>
  <c r="X69" i="2"/>
  <c r="X70" i="2"/>
  <c r="X71" i="2"/>
  <c r="AA61" i="2"/>
  <c r="AA59" i="2"/>
  <c r="G31" i="10"/>
  <c r="H30" i="10"/>
  <c r="R32" i="9"/>
  <c r="A33" i="9"/>
  <c r="F144" i="3"/>
  <c r="F154" i="3"/>
  <c r="F156" i="3"/>
  <c r="F158" i="3"/>
  <c r="J3" i="5"/>
  <c r="J4" i="5" s="1"/>
  <c r="J5" i="5" s="1"/>
  <c r="J6" i="5" s="1"/>
  <c r="J7" i="5" s="1"/>
  <c r="J8" i="5" s="1"/>
  <c r="J9" i="5" s="1"/>
  <c r="J10" i="5" s="1"/>
  <c r="J11" i="5" s="1"/>
  <c r="J12" i="5" s="1"/>
  <c r="J13" i="5" s="1"/>
  <c r="J14" i="5" s="1"/>
  <c r="J15" i="5" s="1"/>
  <c r="AA62" i="2"/>
  <c r="AA31" i="2"/>
  <c r="X61" i="2"/>
  <c r="X37" i="2"/>
  <c r="AA57" i="2"/>
  <c r="AC63" i="2"/>
  <c r="AD63" i="2" s="1"/>
  <c r="AF63" i="2" s="1"/>
  <c r="X57" i="2"/>
  <c r="O4" i="5"/>
  <c r="O5" i="5" s="1"/>
  <c r="O6" i="5" s="1"/>
  <c r="O7" i="5" s="1"/>
  <c r="O8" i="5" s="1"/>
  <c r="O9" i="5" s="1"/>
  <c r="O10" i="5" s="1"/>
  <c r="O11" i="5" s="1"/>
  <c r="O12" i="5" s="1"/>
  <c r="I16" i="5"/>
  <c r="AA36" i="2"/>
  <c r="AC36" i="2" s="1"/>
  <c r="AD36" i="2" s="1"/>
  <c r="AA58" i="2"/>
  <c r="AA34" i="2"/>
  <c r="X65" i="2"/>
  <c r="X72" i="2"/>
  <c r="AC72" i="2" s="1"/>
  <c r="AD72" i="2" s="1"/>
  <c r="AE72" i="2" s="1"/>
  <c r="X73" i="2"/>
  <c r="AC73" i="2" s="1"/>
  <c r="AD73" i="2" s="1"/>
  <c r="AE73" i="2" s="1"/>
  <c r="AA64" i="2"/>
  <c r="X59" i="2"/>
  <c r="AC59" i="2" s="1"/>
  <c r="AD59" i="2" s="1"/>
  <c r="AF59" i="2" s="1"/>
  <c r="AA60" i="2"/>
  <c r="AA70" i="2"/>
  <c r="AH70" i="2" s="1"/>
  <c r="AA68" i="2"/>
  <c r="AH68" i="2" s="1"/>
  <c r="AA66" i="2"/>
  <c r="AH66" i="2" s="1"/>
  <c r="X64" i="2"/>
  <c r="AA71" i="2"/>
  <c r="AH71" i="2" s="1"/>
  <c r="AA69" i="2"/>
  <c r="AH69" i="2" s="1"/>
  <c r="AA67" i="2"/>
  <c r="AH67" i="2" s="1"/>
  <c r="AA65" i="2"/>
  <c r="AH65" i="2" s="1"/>
  <c r="X58" i="2"/>
  <c r="X62" i="2"/>
  <c r="AC62" i="2" s="1"/>
  <c r="AD62" i="2" s="1"/>
  <c r="AF62" i="2" s="1"/>
  <c r="X60" i="2"/>
  <c r="AC60" i="2" s="1"/>
  <c r="AD60" i="2" s="1"/>
  <c r="AF60" i="2" s="1"/>
  <c r="AA56" i="2"/>
  <c r="AC57" i="2"/>
  <c r="AC70" i="2"/>
  <c r="X56" i="2"/>
  <c r="AA46" i="2"/>
  <c r="X40" i="2"/>
  <c r="X39" i="2"/>
  <c r="X38" i="2"/>
  <c r="AH46" i="2"/>
  <c r="AA37" i="2"/>
  <c r="AH37" i="2" s="1"/>
  <c r="X41" i="2"/>
  <c r="X42" i="2"/>
  <c r="AA33" i="2"/>
  <c r="AA44" i="2"/>
  <c r="AH44" i="2" s="1"/>
  <c r="X31" i="2"/>
  <c r="AA38" i="2"/>
  <c r="AH38" i="2" s="1"/>
  <c r="AA40" i="2"/>
  <c r="AA39" i="2"/>
  <c r="X47" i="2"/>
  <c r="AC47" i="2" s="1"/>
  <c r="X35" i="2"/>
  <c r="AA45" i="2"/>
  <c r="AA41" i="2"/>
  <c r="AA43" i="2"/>
  <c r="AA42" i="2"/>
  <c r="X43" i="2"/>
  <c r="X44" i="2"/>
  <c r="X48" i="2"/>
  <c r="AC48" i="2" s="1"/>
  <c r="X32" i="2"/>
  <c r="X45" i="2"/>
  <c r="X33" i="2"/>
  <c r="X46" i="2"/>
  <c r="X34" i="2"/>
  <c r="A123" i="3"/>
  <c r="A128" i="3" s="1"/>
  <c r="A133" i="3" s="1"/>
  <c r="A138" i="3" s="1"/>
  <c r="A143" i="3" s="1"/>
  <c r="A148" i="3" s="1"/>
  <c r="A153" i="3" s="1"/>
  <c r="A158" i="3" s="1"/>
  <c r="A163" i="3" s="1"/>
  <c r="A168" i="3" s="1"/>
  <c r="A173" i="3" s="1"/>
  <c r="A178" i="3" s="1"/>
  <c r="A183" i="3" s="1"/>
  <c r="A188" i="3" s="1"/>
  <c r="A193" i="3" s="1"/>
  <c r="A198" i="3" s="1"/>
  <c r="A203" i="3" s="1"/>
  <c r="A208" i="3" s="1"/>
  <c r="A213" i="3" s="1"/>
  <c r="A218" i="3" s="1"/>
  <c r="A223" i="3" s="1"/>
  <c r="A228" i="3" s="1"/>
  <c r="A233" i="3" s="1"/>
  <c r="A238" i="3" s="1"/>
  <c r="A243" i="3" s="1"/>
  <c r="A248" i="3" s="1"/>
  <c r="A253" i="3" s="1"/>
  <c r="A258" i="3" s="1"/>
  <c r="A263" i="3" s="1"/>
  <c r="A268" i="3" s="1"/>
  <c r="A273" i="3" s="1"/>
  <c r="A278" i="3" s="1"/>
  <c r="A283" i="3" s="1"/>
  <c r="A288" i="3" s="1"/>
  <c r="A293" i="3" s="1"/>
  <c r="A298" i="3" s="1"/>
  <c r="A303" i="3" s="1"/>
  <c r="A308" i="3" s="1"/>
  <c r="A313" i="3" s="1"/>
  <c r="A318" i="3" s="1"/>
  <c r="A323" i="3" s="1"/>
  <c r="A328" i="3" s="1"/>
  <c r="A333" i="3" s="1"/>
  <c r="A338" i="3" s="1"/>
  <c r="A343" i="3" s="1"/>
  <c r="A348" i="3" s="1"/>
  <c r="A353" i="3" s="1"/>
  <c r="A358" i="3" s="1"/>
  <c r="A363" i="3" s="1"/>
  <c r="A368" i="3" s="1"/>
  <c r="A373" i="3" s="1"/>
  <c r="A378" i="3" s="1"/>
  <c r="A383" i="3" s="1"/>
  <c r="A388" i="3" s="1"/>
  <c r="A393" i="3" s="1"/>
  <c r="A398" i="3" s="1"/>
  <c r="A403" i="3" s="1"/>
  <c r="A408" i="3" s="1"/>
  <c r="A413" i="3" s="1"/>
  <c r="A418" i="3" s="1"/>
  <c r="A423" i="3" s="1"/>
  <c r="A428" i="3" s="1"/>
  <c r="A433" i="3" s="1"/>
  <c r="A438" i="3" s="1"/>
  <c r="A443" i="3" s="1"/>
  <c r="A448" i="3" s="1"/>
  <c r="A453" i="3" s="1"/>
  <c r="A458" i="3" s="1"/>
  <c r="A463" i="3" s="1"/>
  <c r="A468" i="3" s="1"/>
  <c r="A473" i="3" s="1"/>
  <c r="A478" i="3" s="1"/>
  <c r="A483" i="3" s="1"/>
  <c r="A488" i="3" s="1"/>
  <c r="A493" i="3" s="1"/>
  <c r="A498" i="3" s="1"/>
  <c r="A503" i="3" s="1"/>
  <c r="A508" i="3" s="1"/>
  <c r="A124" i="3"/>
  <c r="A129" i="3" s="1"/>
  <c r="A134" i="3" s="1"/>
  <c r="A139" i="3" s="1"/>
  <c r="A144" i="3" s="1"/>
  <c r="A149" i="3" s="1"/>
  <c r="A154" i="3" s="1"/>
  <c r="A159" i="3" s="1"/>
  <c r="A164" i="3" s="1"/>
  <c r="A169" i="3" s="1"/>
  <c r="A174" i="3" s="1"/>
  <c r="A179" i="3" s="1"/>
  <c r="A184" i="3" s="1"/>
  <c r="A189" i="3" s="1"/>
  <c r="A194" i="3" s="1"/>
  <c r="A199" i="3" s="1"/>
  <c r="A204" i="3" s="1"/>
  <c r="A209" i="3" s="1"/>
  <c r="A214" i="3" s="1"/>
  <c r="A219" i="3" s="1"/>
  <c r="A224" i="3" s="1"/>
  <c r="A229" i="3" s="1"/>
  <c r="A234" i="3" s="1"/>
  <c r="A239" i="3" s="1"/>
  <c r="A244" i="3" s="1"/>
  <c r="A249" i="3" s="1"/>
  <c r="A254" i="3" s="1"/>
  <c r="A259" i="3" s="1"/>
  <c r="A264" i="3" s="1"/>
  <c r="A269" i="3" s="1"/>
  <c r="A274" i="3" s="1"/>
  <c r="A279" i="3" s="1"/>
  <c r="A284" i="3" s="1"/>
  <c r="A289" i="3" s="1"/>
  <c r="A294" i="3" s="1"/>
  <c r="A299" i="3" s="1"/>
  <c r="A304" i="3" s="1"/>
  <c r="A309" i="3" s="1"/>
  <c r="A314" i="3" s="1"/>
  <c r="A319" i="3" s="1"/>
  <c r="A324" i="3" s="1"/>
  <c r="A329" i="3" s="1"/>
  <c r="A334" i="3" s="1"/>
  <c r="A339" i="3" s="1"/>
  <c r="A344" i="3" s="1"/>
  <c r="A349" i="3" s="1"/>
  <c r="A354" i="3" s="1"/>
  <c r="A359" i="3" s="1"/>
  <c r="A364" i="3" s="1"/>
  <c r="A369" i="3" s="1"/>
  <c r="A374" i="3" s="1"/>
  <c r="A379" i="3" s="1"/>
  <c r="A384" i="3" s="1"/>
  <c r="A389" i="3" s="1"/>
  <c r="A394" i="3" s="1"/>
  <c r="A399" i="3" s="1"/>
  <c r="A404" i="3" s="1"/>
  <c r="A409" i="3" s="1"/>
  <c r="A414" i="3" s="1"/>
  <c r="A419" i="3" s="1"/>
  <c r="A424" i="3" s="1"/>
  <c r="A429" i="3" s="1"/>
  <c r="A434" i="3" s="1"/>
  <c r="A439" i="3" s="1"/>
  <c r="A444" i="3" s="1"/>
  <c r="A449" i="3" s="1"/>
  <c r="A454" i="3" s="1"/>
  <c r="A459" i="3" s="1"/>
  <c r="A464" i="3" s="1"/>
  <c r="A469" i="3" s="1"/>
  <c r="A474" i="3" s="1"/>
  <c r="A479" i="3" s="1"/>
  <c r="A484" i="3" s="1"/>
  <c r="A489" i="3" s="1"/>
  <c r="A494" i="3" s="1"/>
  <c r="A499" i="3" s="1"/>
  <c r="A504" i="3" s="1"/>
  <c r="A509" i="3" s="1"/>
  <c r="A125" i="3"/>
  <c r="A130" i="3" s="1"/>
  <c r="A135" i="3" s="1"/>
  <c r="A140" i="3" s="1"/>
  <c r="A145" i="3" s="1"/>
  <c r="A150" i="3" s="1"/>
  <c r="A155" i="3" s="1"/>
  <c r="A160" i="3" s="1"/>
  <c r="A165" i="3" s="1"/>
  <c r="A170" i="3" s="1"/>
  <c r="A175" i="3" s="1"/>
  <c r="A180" i="3" s="1"/>
  <c r="A185" i="3" s="1"/>
  <c r="A190" i="3" s="1"/>
  <c r="A195" i="3" s="1"/>
  <c r="A200" i="3" s="1"/>
  <c r="A205" i="3" s="1"/>
  <c r="A210" i="3" s="1"/>
  <c r="A215" i="3" s="1"/>
  <c r="A220" i="3" s="1"/>
  <c r="A225" i="3" s="1"/>
  <c r="A230" i="3" s="1"/>
  <c r="A235" i="3" s="1"/>
  <c r="A240" i="3" s="1"/>
  <c r="A245" i="3" s="1"/>
  <c r="A250" i="3" s="1"/>
  <c r="A255" i="3" s="1"/>
  <c r="A260" i="3" s="1"/>
  <c r="A265" i="3" s="1"/>
  <c r="A270" i="3" s="1"/>
  <c r="A275" i="3" s="1"/>
  <c r="A280" i="3" s="1"/>
  <c r="A285" i="3" s="1"/>
  <c r="A290" i="3" s="1"/>
  <c r="A295" i="3" s="1"/>
  <c r="A300" i="3" s="1"/>
  <c r="A305" i="3" s="1"/>
  <c r="A310" i="3" s="1"/>
  <c r="A315" i="3" s="1"/>
  <c r="A320" i="3" s="1"/>
  <c r="A325" i="3" s="1"/>
  <c r="A330" i="3" s="1"/>
  <c r="A335" i="3" s="1"/>
  <c r="A340" i="3" s="1"/>
  <c r="A345" i="3" s="1"/>
  <c r="A350" i="3" s="1"/>
  <c r="A355" i="3" s="1"/>
  <c r="A360" i="3" s="1"/>
  <c r="A365" i="3" s="1"/>
  <c r="A370" i="3" s="1"/>
  <c r="A375" i="3" s="1"/>
  <c r="A380" i="3" s="1"/>
  <c r="A385" i="3" s="1"/>
  <c r="A390" i="3" s="1"/>
  <c r="A395" i="3" s="1"/>
  <c r="A400" i="3" s="1"/>
  <c r="A405" i="3" s="1"/>
  <c r="A410" i="3" s="1"/>
  <c r="A415" i="3" s="1"/>
  <c r="A420" i="3" s="1"/>
  <c r="A425" i="3" s="1"/>
  <c r="A430" i="3" s="1"/>
  <c r="A435" i="3" s="1"/>
  <c r="A440" i="3" s="1"/>
  <c r="A445" i="3" s="1"/>
  <c r="A450" i="3" s="1"/>
  <c r="A455" i="3" s="1"/>
  <c r="A460" i="3" s="1"/>
  <c r="A465" i="3" s="1"/>
  <c r="A470" i="3" s="1"/>
  <c r="A475" i="3" s="1"/>
  <c r="A480" i="3" s="1"/>
  <c r="A485" i="3" s="1"/>
  <c r="A490" i="3" s="1"/>
  <c r="A495" i="3" s="1"/>
  <c r="A500" i="3" s="1"/>
  <c r="A505" i="3" s="1"/>
  <c r="A510" i="3" s="1"/>
  <c r="A126" i="3"/>
  <c r="A131" i="3" s="1"/>
  <c r="A136" i="3" s="1"/>
  <c r="A141" i="3" s="1"/>
  <c r="A146" i="3" s="1"/>
  <c r="A151" i="3" s="1"/>
  <c r="A156" i="3" s="1"/>
  <c r="A161" i="3" s="1"/>
  <c r="A166" i="3" s="1"/>
  <c r="A171" i="3" s="1"/>
  <c r="A176" i="3" s="1"/>
  <c r="A181" i="3" s="1"/>
  <c r="A186" i="3" s="1"/>
  <c r="A191" i="3" s="1"/>
  <c r="A196" i="3" s="1"/>
  <c r="A201" i="3" s="1"/>
  <c r="A206" i="3" s="1"/>
  <c r="A211" i="3" s="1"/>
  <c r="A216" i="3" s="1"/>
  <c r="A221" i="3" s="1"/>
  <c r="A226" i="3" s="1"/>
  <c r="A231" i="3" s="1"/>
  <c r="A236" i="3" s="1"/>
  <c r="A241" i="3" s="1"/>
  <c r="A246" i="3" s="1"/>
  <c r="A251" i="3" s="1"/>
  <c r="A256" i="3" s="1"/>
  <c r="A261" i="3" s="1"/>
  <c r="A266" i="3" s="1"/>
  <c r="A271" i="3" s="1"/>
  <c r="A276" i="3" s="1"/>
  <c r="A281" i="3" s="1"/>
  <c r="A286" i="3" s="1"/>
  <c r="A291" i="3" s="1"/>
  <c r="A296" i="3" s="1"/>
  <c r="A301" i="3" s="1"/>
  <c r="A306" i="3" s="1"/>
  <c r="A311" i="3" s="1"/>
  <c r="A316" i="3" s="1"/>
  <c r="A321" i="3" s="1"/>
  <c r="A326" i="3" s="1"/>
  <c r="A331" i="3" s="1"/>
  <c r="A336" i="3" s="1"/>
  <c r="A341" i="3" s="1"/>
  <c r="A346" i="3" s="1"/>
  <c r="A351" i="3" s="1"/>
  <c r="A356" i="3" s="1"/>
  <c r="A361" i="3" s="1"/>
  <c r="A366" i="3" s="1"/>
  <c r="A371" i="3" s="1"/>
  <c r="A376" i="3" s="1"/>
  <c r="A381" i="3" s="1"/>
  <c r="A386" i="3" s="1"/>
  <c r="A391" i="3" s="1"/>
  <c r="A396" i="3" s="1"/>
  <c r="A401" i="3" s="1"/>
  <c r="A406" i="3" s="1"/>
  <c r="A411" i="3" s="1"/>
  <c r="A416" i="3" s="1"/>
  <c r="A421" i="3" s="1"/>
  <c r="A426" i="3" s="1"/>
  <c r="A431" i="3" s="1"/>
  <c r="A436" i="3" s="1"/>
  <c r="A441" i="3" s="1"/>
  <c r="A446" i="3" s="1"/>
  <c r="A451" i="3" s="1"/>
  <c r="A456" i="3" s="1"/>
  <c r="A461" i="3" s="1"/>
  <c r="A466" i="3" s="1"/>
  <c r="A471" i="3" s="1"/>
  <c r="A476" i="3" s="1"/>
  <c r="A481" i="3" s="1"/>
  <c r="A486" i="3" s="1"/>
  <c r="A491" i="3" s="1"/>
  <c r="A496" i="3" s="1"/>
  <c r="A501" i="3" s="1"/>
  <c r="A506" i="3" s="1"/>
  <c r="A511" i="3" s="1"/>
  <c r="A122" i="3"/>
  <c r="A127" i="3" s="1"/>
  <c r="A132" i="3" s="1"/>
  <c r="A137" i="3" s="1"/>
  <c r="A142" i="3" s="1"/>
  <c r="A147" i="3" s="1"/>
  <c r="A152" i="3" s="1"/>
  <c r="A157" i="3" s="1"/>
  <c r="A162" i="3" s="1"/>
  <c r="A167" i="3" s="1"/>
  <c r="A172" i="3" s="1"/>
  <c r="A177" i="3" s="1"/>
  <c r="A182" i="3" s="1"/>
  <c r="A187" i="3" s="1"/>
  <c r="A192" i="3" s="1"/>
  <c r="A197" i="3" s="1"/>
  <c r="A202" i="3" s="1"/>
  <c r="A207" i="3" s="1"/>
  <c r="A212" i="3" s="1"/>
  <c r="A217" i="3" s="1"/>
  <c r="A222" i="3" s="1"/>
  <c r="A227" i="3" s="1"/>
  <c r="A232" i="3" s="1"/>
  <c r="A237" i="3" s="1"/>
  <c r="A242" i="3" s="1"/>
  <c r="A247" i="3" s="1"/>
  <c r="A252" i="3" s="1"/>
  <c r="A257" i="3" s="1"/>
  <c r="A262" i="3" s="1"/>
  <c r="A267" i="3" s="1"/>
  <c r="A272" i="3" s="1"/>
  <c r="A277" i="3" s="1"/>
  <c r="A282" i="3" s="1"/>
  <c r="A287" i="3" s="1"/>
  <c r="A292" i="3" s="1"/>
  <c r="A297" i="3" s="1"/>
  <c r="A302" i="3" s="1"/>
  <c r="A307" i="3" s="1"/>
  <c r="A312" i="3" s="1"/>
  <c r="A317" i="3" s="1"/>
  <c r="A322" i="3" s="1"/>
  <c r="A327" i="3" s="1"/>
  <c r="A332" i="3" s="1"/>
  <c r="A337" i="3" s="1"/>
  <c r="A342" i="3" s="1"/>
  <c r="A347" i="3" s="1"/>
  <c r="A352" i="3" s="1"/>
  <c r="A357" i="3" s="1"/>
  <c r="A362" i="3" s="1"/>
  <c r="A367" i="3" s="1"/>
  <c r="A372" i="3" s="1"/>
  <c r="A377" i="3" s="1"/>
  <c r="A382" i="3" s="1"/>
  <c r="A387" i="3" s="1"/>
  <c r="A392" i="3" s="1"/>
  <c r="A397" i="3" s="1"/>
  <c r="A402" i="3" s="1"/>
  <c r="A407" i="3" s="1"/>
  <c r="A412" i="3" s="1"/>
  <c r="A417" i="3" s="1"/>
  <c r="A422" i="3" s="1"/>
  <c r="A427" i="3" s="1"/>
  <c r="A432" i="3" s="1"/>
  <c r="A437" i="3" s="1"/>
  <c r="A442" i="3" s="1"/>
  <c r="A447" i="3" s="1"/>
  <c r="A452" i="3" s="1"/>
  <c r="A457" i="3" s="1"/>
  <c r="A462" i="3" s="1"/>
  <c r="A467" i="3" s="1"/>
  <c r="A472" i="3" s="1"/>
  <c r="A477" i="3" s="1"/>
  <c r="A482" i="3" s="1"/>
  <c r="A487" i="3" s="1"/>
  <c r="A492" i="3" s="1"/>
  <c r="A497" i="3" s="1"/>
  <c r="A502" i="3" s="1"/>
  <c r="A507" i="3" s="1"/>
  <c r="D1" i="2"/>
  <c r="C1" i="2" s="1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8" i="2"/>
  <c r="D19" i="2"/>
  <c r="D20" i="2"/>
  <c r="D21" i="2"/>
  <c r="D22" i="2"/>
  <c r="D23" i="2"/>
  <c r="D24" i="2"/>
  <c r="D17" i="2"/>
  <c r="I17" i="2"/>
  <c r="J17" i="2"/>
  <c r="I16" i="2"/>
  <c r="J16" i="2"/>
  <c r="J15" i="2"/>
  <c r="I15" i="2"/>
  <c r="J14" i="2"/>
  <c r="I14" i="2"/>
  <c r="D41" i="2" s="1"/>
  <c r="I13" i="2"/>
  <c r="O13" i="5" l="1"/>
  <c r="O14" i="5" s="1"/>
  <c r="O15" i="5" s="1"/>
  <c r="AC31" i="2"/>
  <c r="AD31" i="2" s="1"/>
  <c r="AF31" i="2" s="1"/>
  <c r="AC66" i="2"/>
  <c r="AD66" i="2" s="1"/>
  <c r="AE66" i="2" s="1"/>
  <c r="AC61" i="2"/>
  <c r="G32" i="10"/>
  <c r="H31" i="10"/>
  <c r="R33" i="9"/>
  <c r="A34" i="9"/>
  <c r="F136" i="3"/>
  <c r="F178" i="3"/>
  <c r="F170" i="3"/>
  <c r="F162" i="3"/>
  <c r="F146" i="3"/>
  <c r="F138" i="3"/>
  <c r="F160" i="3"/>
  <c r="F176" i="3"/>
  <c r="F168" i="3"/>
  <c r="F152" i="3"/>
  <c r="F179" i="3"/>
  <c r="F171" i="3"/>
  <c r="F163" i="3"/>
  <c r="F155" i="3"/>
  <c r="F147" i="3"/>
  <c r="F139" i="3"/>
  <c r="F131" i="3"/>
  <c r="F130" i="3"/>
  <c r="F142" i="3"/>
  <c r="F134" i="3"/>
  <c r="E5" i="3"/>
  <c r="E7" i="3"/>
  <c r="E2" i="3"/>
  <c r="E6" i="3"/>
  <c r="E3" i="3"/>
  <c r="E8" i="3"/>
  <c r="E4" i="3"/>
  <c r="F177" i="3"/>
  <c r="F169" i="3"/>
  <c r="F161" i="3"/>
  <c r="F153" i="3"/>
  <c r="F145" i="3"/>
  <c r="F137" i="3"/>
  <c r="F129" i="3"/>
  <c r="F183" i="3"/>
  <c r="F175" i="3"/>
  <c r="F167" i="3"/>
  <c r="F159" i="3"/>
  <c r="F151" i="3"/>
  <c r="F143" i="3"/>
  <c r="F135" i="3"/>
  <c r="F182" i="3"/>
  <c r="F174" i="3"/>
  <c r="F166" i="3"/>
  <c r="F150" i="3"/>
  <c r="F181" i="3"/>
  <c r="F173" i="3"/>
  <c r="F165" i="3"/>
  <c r="F157" i="3"/>
  <c r="F149" i="3"/>
  <c r="F141" i="3"/>
  <c r="F133" i="3"/>
  <c r="F180" i="3"/>
  <c r="F172" i="3"/>
  <c r="F164" i="3"/>
  <c r="F148" i="3"/>
  <c r="F140" i="3"/>
  <c r="F132" i="3"/>
  <c r="F32" i="3"/>
  <c r="F16" i="3"/>
  <c r="F119" i="3"/>
  <c r="F103" i="3"/>
  <c r="F85" i="3"/>
  <c r="F69" i="3"/>
  <c r="F30" i="3"/>
  <c r="F14" i="3"/>
  <c r="F117" i="3"/>
  <c r="F101" i="3"/>
  <c r="F87" i="3"/>
  <c r="F71" i="3"/>
  <c r="F37" i="3"/>
  <c r="D52" i="2"/>
  <c r="D56" i="2"/>
  <c r="D60" i="2"/>
  <c r="D64" i="2"/>
  <c r="D68" i="2"/>
  <c r="D72" i="2"/>
  <c r="D76" i="2"/>
  <c r="D46" i="2"/>
  <c r="D50" i="2"/>
  <c r="D53" i="2"/>
  <c r="D57" i="2"/>
  <c r="D61" i="2"/>
  <c r="D65" i="2"/>
  <c r="D69" i="2"/>
  <c r="D73" i="2"/>
  <c r="D77" i="2"/>
  <c r="D47" i="2"/>
  <c r="D43" i="2"/>
  <c r="D54" i="2"/>
  <c r="D58" i="2"/>
  <c r="D62" i="2"/>
  <c r="D66" i="2"/>
  <c r="D70" i="2"/>
  <c r="D74" i="2"/>
  <c r="D44" i="2"/>
  <c r="D48" i="2"/>
  <c r="D42" i="2"/>
  <c r="D51" i="2"/>
  <c r="D55" i="2"/>
  <c r="D59" i="2"/>
  <c r="D75" i="2"/>
  <c r="D63" i="2"/>
  <c r="D45" i="2"/>
  <c r="D67" i="2"/>
  <c r="D49" i="2"/>
  <c r="D71" i="2"/>
  <c r="AC65" i="2"/>
  <c r="AD65" i="2" s="1"/>
  <c r="AE65" i="2" s="1"/>
  <c r="D112" i="2"/>
  <c r="D94" i="2"/>
  <c r="D98" i="2"/>
  <c r="D102" i="2"/>
  <c r="D106" i="2"/>
  <c r="D79" i="2"/>
  <c r="D83" i="2"/>
  <c r="D87" i="2"/>
  <c r="D91" i="2"/>
  <c r="D113" i="2"/>
  <c r="F124" i="2" s="1"/>
  <c r="G124" i="2" s="1"/>
  <c r="D95" i="2"/>
  <c r="D99" i="2"/>
  <c r="D103" i="2"/>
  <c r="D107" i="2"/>
  <c r="D80" i="2"/>
  <c r="D84" i="2"/>
  <c r="D88" i="2"/>
  <c r="D78" i="2"/>
  <c r="D110" i="2"/>
  <c r="D92" i="2"/>
  <c r="D96" i="2"/>
  <c r="D100" i="2"/>
  <c r="D104" i="2"/>
  <c r="D108" i="2"/>
  <c r="D81" i="2"/>
  <c r="D85" i="2"/>
  <c r="D89" i="2"/>
  <c r="D111" i="2"/>
  <c r="D93" i="2"/>
  <c r="D97" i="2"/>
  <c r="D101" i="2"/>
  <c r="D105" i="2"/>
  <c r="D109" i="2"/>
  <c r="D82" i="2"/>
  <c r="D86" i="2"/>
  <c r="D90" i="2"/>
  <c r="C2" i="2"/>
  <c r="C3" i="2" s="1"/>
  <c r="C4" i="2" s="1"/>
  <c r="C5" i="2" s="1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AC64" i="2"/>
  <c r="F23" i="2"/>
  <c r="G23" i="2" s="1"/>
  <c r="I17" i="5"/>
  <c r="J16" i="5"/>
  <c r="D40" i="2"/>
  <c r="F14" i="2"/>
  <c r="G14" i="2" s="1"/>
  <c r="AC58" i="2"/>
  <c r="AD58" i="2" s="1"/>
  <c r="AF58" i="2" s="1"/>
  <c r="D38" i="2"/>
  <c r="D34" i="2"/>
  <c r="D30" i="2"/>
  <c r="D26" i="2"/>
  <c r="D36" i="2"/>
  <c r="D32" i="2"/>
  <c r="D37" i="2"/>
  <c r="D29" i="2"/>
  <c r="D39" i="2"/>
  <c r="D35" i="2"/>
  <c r="D31" i="2"/>
  <c r="D27" i="2"/>
  <c r="D28" i="2"/>
  <c r="D33" i="2"/>
  <c r="D25" i="2"/>
  <c r="F25" i="2" s="1"/>
  <c r="G25" i="2" s="1"/>
  <c r="AE63" i="2"/>
  <c r="AG63" i="2" s="1"/>
  <c r="AH63" i="2" s="1"/>
  <c r="F24" i="2"/>
  <c r="G24" i="2" s="1"/>
  <c r="AC71" i="2"/>
  <c r="AD71" i="2" s="1"/>
  <c r="AE71" i="2" s="1"/>
  <c r="AC67" i="2"/>
  <c r="AD67" i="2" s="1"/>
  <c r="AE67" i="2" s="1"/>
  <c r="AD64" i="2"/>
  <c r="AF64" i="2" s="1"/>
  <c r="AC69" i="2"/>
  <c r="AD69" i="2" s="1"/>
  <c r="AE69" i="2" s="1"/>
  <c r="AD61" i="2"/>
  <c r="AF61" i="2" s="1"/>
  <c r="AE62" i="2"/>
  <c r="AG62" i="2" s="1"/>
  <c r="AH62" i="2" s="1"/>
  <c r="AC56" i="2"/>
  <c r="AD56" i="2" s="1"/>
  <c r="AF56" i="2" s="1"/>
  <c r="AE59" i="2"/>
  <c r="AG59" i="2" s="1"/>
  <c r="AH59" i="2" s="1"/>
  <c r="AD57" i="2"/>
  <c r="AF57" i="2" s="1"/>
  <c r="AD70" i="2"/>
  <c r="AE70" i="2" s="1"/>
  <c r="AE60" i="2"/>
  <c r="AG60" i="2" s="1"/>
  <c r="AH60" i="2" s="1"/>
  <c r="AE58" i="2"/>
  <c r="AG58" i="2" s="1"/>
  <c r="AH58" i="2" s="1"/>
  <c r="AC46" i="2"/>
  <c r="AD46" i="2" s="1"/>
  <c r="AE46" i="2" s="1"/>
  <c r="AC37" i="2"/>
  <c r="AD37" i="2" s="1"/>
  <c r="AE37" i="2" s="1"/>
  <c r="AF36" i="2"/>
  <c r="AE36" i="2"/>
  <c r="AG36" i="2" s="1"/>
  <c r="F15" i="2"/>
  <c r="G15" i="2" s="1"/>
  <c r="F18" i="2"/>
  <c r="G18" i="2" s="1"/>
  <c r="F19" i="2"/>
  <c r="G19" i="2" s="1"/>
  <c r="AC32" i="2"/>
  <c r="AD32" i="2" s="1"/>
  <c r="AE32" i="2" s="1"/>
  <c r="AG32" i="2" s="1"/>
  <c r="F22" i="2"/>
  <c r="G22" i="2" s="1"/>
  <c r="AC35" i="2"/>
  <c r="AC34" i="2"/>
  <c r="AC44" i="2"/>
  <c r="AD44" i="2" s="1"/>
  <c r="AE44" i="2" s="1"/>
  <c r="AC33" i="2"/>
  <c r="AE31" i="2"/>
  <c r="AG31" i="2" s="1"/>
  <c r="AH31" i="2" s="1"/>
  <c r="Q32" i="2" s="1"/>
  <c r="AC38" i="2"/>
  <c r="AD38" i="2" s="1"/>
  <c r="AE38" i="2" s="1"/>
  <c r="AH41" i="2"/>
  <c r="AC41" i="2"/>
  <c r="AH43" i="2"/>
  <c r="AC43" i="2"/>
  <c r="AD47" i="2"/>
  <c r="AE47" i="2" s="1"/>
  <c r="AH45" i="2"/>
  <c r="AC45" i="2"/>
  <c r="AH39" i="2"/>
  <c r="AC39" i="2"/>
  <c r="AH42" i="2"/>
  <c r="AC42" i="2"/>
  <c r="AH40" i="2"/>
  <c r="AC40" i="2"/>
  <c r="AD48" i="2"/>
  <c r="AE48" i="2" s="1"/>
  <c r="F20" i="2"/>
  <c r="G20" i="2" s="1"/>
  <c r="F16" i="2"/>
  <c r="G16" i="2" s="1"/>
  <c r="F13" i="2"/>
  <c r="G13" i="2" s="1"/>
  <c r="F21" i="2"/>
  <c r="G21" i="2" s="1"/>
  <c r="F17" i="2"/>
  <c r="G17" i="2" s="1"/>
  <c r="O16" i="5" l="1"/>
  <c r="O17" i="5" s="1"/>
  <c r="O18" i="5" s="1"/>
  <c r="F93" i="2"/>
  <c r="G93" i="2" s="1"/>
  <c r="F108" i="2"/>
  <c r="G108" i="2" s="1"/>
  <c r="F96" i="2"/>
  <c r="G96" i="2" s="1"/>
  <c r="F111" i="2"/>
  <c r="G111" i="2" s="1"/>
  <c r="F118" i="2"/>
  <c r="G118" i="2" s="1"/>
  <c r="G33" i="10"/>
  <c r="H32" i="10"/>
  <c r="R34" i="9"/>
  <c r="A35" i="9"/>
  <c r="F44" i="3"/>
  <c r="F52" i="3"/>
  <c r="F60" i="3"/>
  <c r="F68" i="3"/>
  <c r="F76" i="3"/>
  <c r="F84" i="3"/>
  <c r="F92" i="3"/>
  <c r="F100" i="3"/>
  <c r="F108" i="3"/>
  <c r="F116" i="3"/>
  <c r="F124" i="3"/>
  <c r="F15" i="3"/>
  <c r="F23" i="3"/>
  <c r="F31" i="3"/>
  <c r="F8" i="3"/>
  <c r="F40" i="3"/>
  <c r="F48" i="3"/>
  <c r="F56" i="3"/>
  <c r="F64" i="3"/>
  <c r="F72" i="3"/>
  <c r="F80" i="3"/>
  <c r="F88" i="3"/>
  <c r="F96" i="3"/>
  <c r="F104" i="3"/>
  <c r="F112" i="3"/>
  <c r="F120" i="3"/>
  <c r="F11" i="3"/>
  <c r="F19" i="3"/>
  <c r="F27" i="3"/>
  <c r="F35" i="3"/>
  <c r="F75" i="3"/>
  <c r="F91" i="3"/>
  <c r="F107" i="3"/>
  <c r="F123" i="3"/>
  <c r="F20" i="3"/>
  <c r="F36" i="3"/>
  <c r="F3" i="3"/>
  <c r="F57" i="3"/>
  <c r="F97" i="3"/>
  <c r="F10" i="3"/>
  <c r="F81" i="3"/>
  <c r="F128" i="3"/>
  <c r="F6" i="3"/>
  <c r="F67" i="3"/>
  <c r="F83" i="3"/>
  <c r="F41" i="3"/>
  <c r="F49" i="3"/>
  <c r="F59" i="3"/>
  <c r="F99" i="3"/>
  <c r="F115" i="3"/>
  <c r="F12" i="3"/>
  <c r="F28" i="3"/>
  <c r="F113" i="3"/>
  <c r="F26" i="3"/>
  <c r="F65" i="3"/>
  <c r="F5" i="3"/>
  <c r="F46" i="3"/>
  <c r="F54" i="3"/>
  <c r="F62" i="3"/>
  <c r="F70" i="3"/>
  <c r="F78" i="3"/>
  <c r="F86" i="3"/>
  <c r="F94" i="3"/>
  <c r="F102" i="3"/>
  <c r="F110" i="3"/>
  <c r="F118" i="3"/>
  <c r="F126" i="3"/>
  <c r="F17" i="3"/>
  <c r="F25" i="3"/>
  <c r="F33" i="3"/>
  <c r="F9" i="3"/>
  <c r="F105" i="3"/>
  <c r="F121" i="3"/>
  <c r="F18" i="3"/>
  <c r="F34" i="3"/>
  <c r="F43" i="3"/>
  <c r="F51" i="3"/>
  <c r="F73" i="3"/>
  <c r="F89" i="3"/>
  <c r="F4" i="3"/>
  <c r="F7" i="3"/>
  <c r="F93" i="3"/>
  <c r="F109" i="3"/>
  <c r="F125" i="3"/>
  <c r="F22" i="3"/>
  <c r="F38" i="3"/>
  <c r="F45" i="3"/>
  <c r="F53" i="3"/>
  <c r="F63" i="3"/>
  <c r="F77" i="3"/>
  <c r="F61" i="3"/>
  <c r="F2" i="3"/>
  <c r="F42" i="3"/>
  <c r="F50" i="3"/>
  <c r="F58" i="3"/>
  <c r="F66" i="3"/>
  <c r="F74" i="3"/>
  <c r="F82" i="3"/>
  <c r="F90" i="3"/>
  <c r="F98" i="3"/>
  <c r="F106" i="3"/>
  <c r="F114" i="3"/>
  <c r="F122" i="3"/>
  <c r="F13" i="3"/>
  <c r="F21" i="3"/>
  <c r="F29" i="3"/>
  <c r="F79" i="3"/>
  <c r="F39" i="3"/>
  <c r="F47" i="3"/>
  <c r="F55" i="3"/>
  <c r="F95" i="3"/>
  <c r="F111" i="3"/>
  <c r="F127" i="3"/>
  <c r="F24" i="3"/>
  <c r="F89" i="2"/>
  <c r="G89" i="2" s="1"/>
  <c r="F90" i="2"/>
  <c r="G90" i="2" s="1"/>
  <c r="F105" i="2"/>
  <c r="G105" i="2" s="1"/>
  <c r="F86" i="2"/>
  <c r="G86" i="2" s="1"/>
  <c r="F81" i="2"/>
  <c r="G81" i="2" s="1"/>
  <c r="F84" i="2"/>
  <c r="G84" i="2" s="1"/>
  <c r="F87" i="2"/>
  <c r="G87" i="2" s="1"/>
  <c r="C25" i="2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103" i="2" s="1"/>
  <c r="C104" i="2" s="1"/>
  <c r="C105" i="2" s="1"/>
  <c r="C106" i="2" s="1"/>
  <c r="C107" i="2" s="1"/>
  <c r="C108" i="2" s="1"/>
  <c r="C109" i="2" s="1"/>
  <c r="C110" i="2" s="1"/>
  <c r="C111" i="2" s="1"/>
  <c r="C112" i="2" s="1"/>
  <c r="C113" i="2" s="1"/>
  <c r="C114" i="2" s="1"/>
  <c r="C115" i="2" s="1"/>
  <c r="C116" i="2" s="1"/>
  <c r="C117" i="2" s="1"/>
  <c r="C118" i="2" s="1"/>
  <c r="C119" i="2" s="1"/>
  <c r="C120" i="2" s="1"/>
  <c r="C121" i="2" s="1"/>
  <c r="C122" i="2" s="1"/>
  <c r="C123" i="2" s="1"/>
  <c r="C124" i="2" s="1"/>
  <c r="C125" i="2" s="1"/>
  <c r="C126" i="2" s="1"/>
  <c r="C127" i="2" s="1"/>
  <c r="C128" i="2" s="1"/>
  <c r="C129" i="2" s="1"/>
  <c r="C130" i="2" s="1"/>
  <c r="C131" i="2" s="1"/>
  <c r="C132" i="2" s="1"/>
  <c r="C133" i="2" s="1"/>
  <c r="C134" i="2" s="1"/>
  <c r="C135" i="2" s="1"/>
  <c r="C136" i="2" s="1"/>
  <c r="C137" i="2" s="1"/>
  <c r="C138" i="2" s="1"/>
  <c r="C139" i="2" s="1"/>
  <c r="C140" i="2" s="1"/>
  <c r="C141" i="2" s="1"/>
  <c r="C142" i="2" s="1"/>
  <c r="C143" i="2" s="1"/>
  <c r="C144" i="2" s="1"/>
  <c r="C145" i="2" s="1"/>
  <c r="C146" i="2" s="1"/>
  <c r="C147" i="2" s="1"/>
  <c r="C148" i="2" s="1"/>
  <c r="C149" i="2" s="1"/>
  <c r="C150" i="2" s="1"/>
  <c r="C151" i="2" s="1"/>
  <c r="C152" i="2" s="1"/>
  <c r="C153" i="2" s="1"/>
  <c r="C154" i="2" s="1"/>
  <c r="C155" i="2" s="1"/>
  <c r="C156" i="2" s="1"/>
  <c r="C157" i="2" s="1"/>
  <c r="C158" i="2" s="1"/>
  <c r="C159" i="2" s="1"/>
  <c r="C160" i="2" s="1"/>
  <c r="C161" i="2" s="1"/>
  <c r="C162" i="2" s="1"/>
  <c r="C163" i="2" s="1"/>
  <c r="C164" i="2" s="1"/>
  <c r="C165" i="2" s="1"/>
  <c r="C166" i="2" s="1"/>
  <c r="C167" i="2" s="1"/>
  <c r="C168" i="2" s="1"/>
  <c r="C169" i="2" s="1"/>
  <c r="C170" i="2" s="1"/>
  <c r="C171" i="2" s="1"/>
  <c r="C172" i="2" s="1"/>
  <c r="C173" i="2" s="1"/>
  <c r="C174" i="2" s="1"/>
  <c r="C175" i="2" s="1"/>
  <c r="C176" i="2" s="1"/>
  <c r="C177" i="2" s="1"/>
  <c r="C178" i="2" s="1"/>
  <c r="C179" i="2" s="1"/>
  <c r="C180" i="2" s="1"/>
  <c r="C181" i="2" s="1"/>
  <c r="C182" i="2" s="1"/>
  <c r="C183" i="2" s="1"/>
  <c r="C184" i="2" s="1"/>
  <c r="C185" i="2" s="1"/>
  <c r="F120" i="2"/>
  <c r="G120" i="2" s="1"/>
  <c r="F104" i="2"/>
  <c r="G104" i="2" s="1"/>
  <c r="F107" i="2"/>
  <c r="G107" i="2" s="1"/>
  <c r="F99" i="2"/>
  <c r="G99" i="2" s="1"/>
  <c r="F114" i="2"/>
  <c r="G114" i="2" s="1"/>
  <c r="F102" i="2"/>
  <c r="G102" i="2" s="1"/>
  <c r="F117" i="2"/>
  <c r="G117" i="2" s="1"/>
  <c r="F123" i="2"/>
  <c r="G123" i="2" s="1"/>
  <c r="F78" i="2"/>
  <c r="G78" i="2" s="1"/>
  <c r="F80" i="2"/>
  <c r="G80" i="2" s="1"/>
  <c r="F83" i="2"/>
  <c r="G83" i="2" s="1"/>
  <c r="AE61" i="2"/>
  <c r="AG61" i="2" s="1"/>
  <c r="AH61" i="2" s="1"/>
  <c r="F101" i="2"/>
  <c r="G101" i="2" s="1"/>
  <c r="F116" i="2"/>
  <c r="G116" i="2" s="1"/>
  <c r="F122" i="2"/>
  <c r="G122" i="2" s="1"/>
  <c r="F119" i="2"/>
  <c r="G119" i="2" s="1"/>
  <c r="F92" i="2"/>
  <c r="G92" i="2" s="1"/>
  <c r="F103" i="2"/>
  <c r="G103" i="2" s="1"/>
  <c r="F95" i="2"/>
  <c r="G95" i="2" s="1"/>
  <c r="F98" i="2"/>
  <c r="G98" i="2" s="1"/>
  <c r="F113" i="2"/>
  <c r="G113" i="2" s="1"/>
  <c r="F79" i="2"/>
  <c r="G79" i="2" s="1"/>
  <c r="F97" i="2"/>
  <c r="G97" i="2" s="1"/>
  <c r="F112" i="2"/>
  <c r="G112" i="2" s="1"/>
  <c r="F100" i="2"/>
  <c r="G100" i="2" s="1"/>
  <c r="F115" i="2"/>
  <c r="G115" i="2" s="1"/>
  <c r="F110" i="2"/>
  <c r="G110" i="2" s="1"/>
  <c r="F121" i="2"/>
  <c r="G121" i="2" s="1"/>
  <c r="F91" i="2"/>
  <c r="G91" i="2" s="1"/>
  <c r="F106" i="2"/>
  <c r="G106" i="2" s="1"/>
  <c r="F94" i="2"/>
  <c r="G94" i="2" s="1"/>
  <c r="F109" i="2"/>
  <c r="G109" i="2" s="1"/>
  <c r="F82" i="2"/>
  <c r="G82" i="2" s="1"/>
  <c r="F85" i="2"/>
  <c r="G85" i="2" s="1"/>
  <c r="F88" i="2"/>
  <c r="G88" i="2" s="1"/>
  <c r="F77" i="2"/>
  <c r="G77" i="2" s="1"/>
  <c r="I18" i="5"/>
  <c r="J17" i="5"/>
  <c r="AE64" i="2"/>
  <c r="AG64" i="2" s="1"/>
  <c r="AH64" i="2" s="1"/>
  <c r="AE57" i="2"/>
  <c r="AG57" i="2" s="1"/>
  <c r="AH57" i="2" s="1"/>
  <c r="AE56" i="2"/>
  <c r="AG56" i="2" s="1"/>
  <c r="AH56" i="2" s="1"/>
  <c r="Q57" i="2" s="1"/>
  <c r="AH36" i="2"/>
  <c r="F27" i="2"/>
  <c r="G27" i="2" s="1"/>
  <c r="AF32" i="2"/>
  <c r="AH32" i="2" s="1"/>
  <c r="Q33" i="2" s="1"/>
  <c r="AD34" i="2"/>
  <c r="AF34" i="2" s="1"/>
  <c r="AD35" i="2"/>
  <c r="AF35" i="2" s="1"/>
  <c r="AD33" i="2"/>
  <c r="AF33" i="2" s="1"/>
  <c r="AD40" i="2"/>
  <c r="AE40" i="2" s="1"/>
  <c r="AD39" i="2"/>
  <c r="AE39" i="2" s="1"/>
  <c r="AD41" i="2"/>
  <c r="AE41" i="2" s="1"/>
  <c r="AD42" i="2"/>
  <c r="AE42" i="2" s="1"/>
  <c r="AD45" i="2"/>
  <c r="AE45" i="2" s="1"/>
  <c r="AD43" i="2"/>
  <c r="AE43" i="2" s="1"/>
  <c r="F26" i="2"/>
  <c r="G26" i="2" s="1"/>
  <c r="F33" i="2"/>
  <c r="G33" i="2" s="1"/>
  <c r="F28" i="2"/>
  <c r="G28" i="2" s="1"/>
  <c r="F29" i="2"/>
  <c r="G29" i="2" s="1"/>
  <c r="F68" i="2"/>
  <c r="G68" i="2" s="1"/>
  <c r="F48" i="2"/>
  <c r="G48" i="2" s="1"/>
  <c r="F30" i="2"/>
  <c r="G30" i="2" s="1"/>
  <c r="F57" i="2"/>
  <c r="G57" i="2" s="1"/>
  <c r="F74" i="2"/>
  <c r="G74" i="2" s="1"/>
  <c r="F63" i="2"/>
  <c r="G63" i="2" s="1"/>
  <c r="F59" i="2"/>
  <c r="G59" i="2" s="1"/>
  <c r="F54" i="2"/>
  <c r="G54" i="2" s="1"/>
  <c r="F47" i="2"/>
  <c r="G47" i="2" s="1"/>
  <c r="F50" i="2"/>
  <c r="G50" i="2" s="1"/>
  <c r="F44" i="2"/>
  <c r="G44" i="2" s="1"/>
  <c r="F75" i="2"/>
  <c r="G75" i="2" s="1"/>
  <c r="F60" i="2"/>
  <c r="G60" i="2" s="1"/>
  <c r="F70" i="2"/>
  <c r="G70" i="2" s="1"/>
  <c r="F55" i="2"/>
  <c r="G55" i="2" s="1"/>
  <c r="F64" i="2"/>
  <c r="G64" i="2" s="1"/>
  <c r="F49" i="2"/>
  <c r="G49" i="2" s="1"/>
  <c r="F42" i="2"/>
  <c r="G42" i="2" s="1"/>
  <c r="F46" i="2"/>
  <c r="G46" i="2" s="1"/>
  <c r="F32" i="2"/>
  <c r="G32" i="2" s="1"/>
  <c r="F39" i="2"/>
  <c r="G39" i="2" s="1"/>
  <c r="F65" i="2"/>
  <c r="G65" i="2" s="1"/>
  <c r="F76" i="2"/>
  <c r="G76" i="2" s="1"/>
  <c r="F58" i="2"/>
  <c r="G58" i="2" s="1"/>
  <c r="F71" i="2"/>
  <c r="G71" i="2" s="1"/>
  <c r="F66" i="2"/>
  <c r="G66" i="2" s="1"/>
  <c r="F53" i="2"/>
  <c r="G53" i="2" s="1"/>
  <c r="F43" i="2"/>
  <c r="G43" i="2" s="1"/>
  <c r="F37" i="2"/>
  <c r="G37" i="2" s="1"/>
  <c r="F62" i="2"/>
  <c r="G62" i="2" s="1"/>
  <c r="F45" i="2"/>
  <c r="G45" i="2" s="1"/>
  <c r="F36" i="2"/>
  <c r="G36" i="2" s="1"/>
  <c r="F51" i="2"/>
  <c r="G51" i="2" s="1"/>
  <c r="F35" i="2"/>
  <c r="G35" i="2" s="1"/>
  <c r="F72" i="2"/>
  <c r="G72" i="2" s="1"/>
  <c r="F61" i="2"/>
  <c r="G61" i="2" s="1"/>
  <c r="F67" i="2"/>
  <c r="G67" i="2" s="1"/>
  <c r="F52" i="2"/>
  <c r="G52" i="2" s="1"/>
  <c r="F56" i="2"/>
  <c r="G56" i="2" s="1"/>
  <c r="F69" i="2"/>
  <c r="G69" i="2" s="1"/>
  <c r="F38" i="2"/>
  <c r="G38" i="2" s="1"/>
  <c r="F40" i="2"/>
  <c r="G40" i="2" s="1"/>
  <c r="F34" i="2"/>
  <c r="G34" i="2" s="1"/>
  <c r="F41" i="2"/>
  <c r="G41" i="2" s="1"/>
  <c r="F73" i="2"/>
  <c r="G73" i="2" s="1"/>
  <c r="F31" i="2"/>
  <c r="G31" i="2" s="1"/>
  <c r="G34" i="10" l="1"/>
  <c r="H33" i="10"/>
  <c r="R35" i="9"/>
  <c r="A36" i="9"/>
  <c r="J18" i="5"/>
  <c r="I19" i="5"/>
  <c r="Q58" i="2"/>
  <c r="Q59" i="2" s="1"/>
  <c r="Q60" i="2" s="1"/>
  <c r="Q61" i="2" s="1"/>
  <c r="Q62" i="2" s="1"/>
  <c r="Q63" i="2" s="1"/>
  <c r="Q64" i="2" s="1"/>
  <c r="Q65" i="2" s="1"/>
  <c r="Q66" i="2" s="1"/>
  <c r="Q67" i="2" s="1"/>
  <c r="Q68" i="2" s="1"/>
  <c r="Q69" i="2" s="1"/>
  <c r="Q70" i="2" s="1"/>
  <c r="Q71" i="2" s="1"/>
  <c r="Q72" i="2" s="1"/>
  <c r="Q73" i="2" s="1"/>
  <c r="Q74" i="2" s="1"/>
  <c r="Q75" i="2" s="1"/>
  <c r="Q76" i="2" s="1"/>
  <c r="Q77" i="2" s="1"/>
  <c r="AE33" i="2"/>
  <c r="AG33" i="2" s="1"/>
  <c r="AH33" i="2" s="1"/>
  <c r="Q34" i="2" s="1"/>
  <c r="AE34" i="2"/>
  <c r="AG34" i="2" s="1"/>
  <c r="AH34" i="2" s="1"/>
  <c r="AE35" i="2"/>
  <c r="AG35" i="2" s="1"/>
  <c r="AH35" i="2" s="1"/>
  <c r="G35" i="10" l="1"/>
  <c r="H34" i="10"/>
  <c r="P36" i="9"/>
  <c r="R36" i="9"/>
  <c r="A37" i="9"/>
  <c r="J19" i="5"/>
  <c r="I20" i="5"/>
  <c r="Q35" i="2"/>
  <c r="Q36" i="2" s="1"/>
  <c r="Q37" i="2" s="1"/>
  <c r="Q38" i="2" s="1"/>
  <c r="Q39" i="2" s="1"/>
  <c r="Q40" i="2" s="1"/>
  <c r="Q41" i="2" s="1"/>
  <c r="Q42" i="2" s="1"/>
  <c r="Q43" i="2" s="1"/>
  <c r="Q44" i="2" s="1"/>
  <c r="Q45" i="2" s="1"/>
  <c r="Q46" i="2" s="1"/>
  <c r="Q47" i="2" s="1"/>
  <c r="Q48" i="2" s="1"/>
  <c r="Q49" i="2" s="1"/>
  <c r="Q50" i="2" s="1"/>
  <c r="Q51" i="2" s="1"/>
  <c r="Q52" i="2" s="1"/>
  <c r="G36" i="10" l="1"/>
  <c r="H35" i="10"/>
  <c r="R37" i="9"/>
  <c r="A38" i="9"/>
  <c r="J20" i="5"/>
  <c r="I21" i="5"/>
  <c r="G37" i="10" l="1"/>
  <c r="H36" i="10"/>
  <c r="R38" i="9"/>
  <c r="A39" i="9"/>
  <c r="I22" i="5"/>
  <c r="J21" i="5"/>
  <c r="G38" i="10" l="1"/>
  <c r="H37" i="10"/>
  <c r="R39" i="9"/>
  <c r="A40" i="9"/>
  <c r="I23" i="5"/>
  <c r="J22" i="5"/>
  <c r="G39" i="10" l="1"/>
  <c r="H38" i="10"/>
  <c r="R40" i="9"/>
  <c r="A41" i="9"/>
  <c r="I24" i="5"/>
  <c r="J23" i="5"/>
  <c r="G40" i="10" l="1"/>
  <c r="H39" i="10"/>
  <c r="A42" i="9"/>
  <c r="R41" i="9"/>
  <c r="P41" i="9"/>
  <c r="I25" i="5"/>
  <c r="J24" i="5"/>
  <c r="G41" i="10" l="1"/>
  <c r="H40" i="10"/>
  <c r="A43" i="9"/>
  <c r="R42" i="9"/>
  <c r="J25" i="5"/>
  <c r="I26" i="5"/>
  <c r="G42" i="10" l="1"/>
  <c r="H41" i="10"/>
  <c r="A44" i="9"/>
  <c r="R43" i="9"/>
  <c r="J26" i="5"/>
  <c r="I27" i="5"/>
  <c r="G43" i="10" l="1"/>
  <c r="H42" i="10"/>
  <c r="A45" i="9"/>
  <c r="R44" i="9"/>
  <c r="J27" i="5"/>
  <c r="I28" i="5"/>
  <c r="G44" i="10" l="1"/>
  <c r="H43" i="10"/>
  <c r="R45" i="9"/>
  <c r="A46" i="9"/>
  <c r="J28" i="5"/>
  <c r="I29" i="5"/>
  <c r="G45" i="10" l="1"/>
  <c r="H44" i="10"/>
  <c r="A47" i="9"/>
  <c r="R46" i="9"/>
  <c r="P46" i="9"/>
  <c r="J29" i="5"/>
  <c r="I30" i="5"/>
  <c r="G46" i="10" l="1"/>
  <c r="H45" i="10"/>
  <c r="A48" i="9"/>
  <c r="R47" i="9"/>
  <c r="J30" i="5"/>
  <c r="I31" i="5"/>
  <c r="G47" i="10" l="1"/>
  <c r="H46" i="10"/>
  <c r="A49" i="9"/>
  <c r="R48" i="9"/>
  <c r="J31" i="5"/>
  <c r="I32" i="5"/>
  <c r="G48" i="10" l="1"/>
  <c r="H47" i="10"/>
  <c r="A50" i="9"/>
  <c r="R49" i="9"/>
  <c r="J32" i="5"/>
  <c r="I33" i="5"/>
  <c r="G49" i="10" l="1"/>
  <c r="H48" i="10"/>
  <c r="A51" i="9"/>
  <c r="R50" i="9"/>
  <c r="J33" i="5"/>
  <c r="I34" i="5"/>
  <c r="G50" i="10" l="1"/>
  <c r="H49" i="10"/>
  <c r="P51" i="9"/>
  <c r="R51" i="9"/>
  <c r="A52" i="9"/>
  <c r="J34" i="5"/>
  <c r="I35" i="5"/>
  <c r="G51" i="10" l="1"/>
  <c r="H50" i="10"/>
  <c r="A53" i="9"/>
  <c r="R52" i="9"/>
  <c r="J35" i="5"/>
  <c r="I36" i="5"/>
  <c r="G52" i="10" l="1"/>
  <c r="H51" i="10"/>
  <c r="R53" i="9"/>
  <c r="A54" i="9"/>
  <c r="J36" i="5"/>
  <c r="I37" i="5"/>
  <c r="G53" i="10" l="1"/>
  <c r="H52" i="10"/>
  <c r="R54" i="9"/>
  <c r="A55" i="9"/>
  <c r="J37" i="5"/>
  <c r="I38" i="5"/>
  <c r="G54" i="10" l="1"/>
  <c r="H53" i="10"/>
  <c r="A56" i="9"/>
  <c r="R55" i="9"/>
  <c r="J38" i="5"/>
  <c r="I39" i="5"/>
  <c r="H54" i="10" l="1"/>
  <c r="G55" i="10"/>
  <c r="P56" i="9"/>
  <c r="R56" i="9"/>
  <c r="A57" i="9"/>
  <c r="J39" i="5"/>
  <c r="I40" i="5"/>
  <c r="H55" i="10" l="1"/>
  <c r="G56" i="10"/>
  <c r="A58" i="9"/>
  <c r="R57" i="9"/>
  <c r="J40" i="5"/>
  <c r="I41" i="5"/>
  <c r="H56" i="10" l="1"/>
  <c r="G57" i="10"/>
  <c r="R58" i="9"/>
  <c r="A59" i="9"/>
  <c r="J41" i="5"/>
  <c r="I42" i="5"/>
  <c r="H57" i="10" l="1"/>
  <c r="G58" i="10"/>
  <c r="R59" i="9"/>
  <c r="A60" i="9"/>
  <c r="J42" i="5"/>
  <c r="I43" i="5"/>
  <c r="H58" i="10" l="1"/>
  <c r="G59" i="10"/>
  <c r="R60" i="9"/>
  <c r="A61" i="9"/>
  <c r="J43" i="5"/>
  <c r="I44" i="5"/>
  <c r="H59" i="10" l="1"/>
  <c r="G60" i="10"/>
  <c r="P61" i="9"/>
  <c r="A62" i="9"/>
  <c r="R61" i="9"/>
  <c r="J44" i="5"/>
  <c r="I45" i="5"/>
  <c r="H60" i="10" l="1"/>
  <c r="G61" i="10"/>
  <c r="A63" i="9"/>
  <c r="R62" i="9"/>
  <c r="J45" i="5"/>
  <c r="I46" i="5"/>
  <c r="G62" i="10" l="1"/>
  <c r="H61" i="10"/>
  <c r="A64" i="9"/>
  <c r="R63" i="9"/>
  <c r="J46" i="5"/>
  <c r="I47" i="5"/>
  <c r="H62" i="10" l="1"/>
  <c r="G63" i="10"/>
  <c r="A65" i="9"/>
  <c r="R64" i="9"/>
  <c r="J47" i="5"/>
  <c r="I48" i="5"/>
  <c r="H63" i="10" l="1"/>
  <c r="G64" i="10"/>
  <c r="A66" i="9"/>
  <c r="R65" i="9"/>
  <c r="J48" i="5"/>
  <c r="I49" i="5"/>
  <c r="H64" i="10" l="1"/>
  <c r="G65" i="10"/>
  <c r="A67" i="9"/>
  <c r="R66" i="9"/>
  <c r="P66" i="9"/>
  <c r="J49" i="5"/>
  <c r="I50" i="5"/>
  <c r="H65" i="10" l="1"/>
  <c r="G66" i="10"/>
  <c r="R67" i="9"/>
  <c r="A68" i="9"/>
  <c r="J50" i="5"/>
  <c r="I51" i="5"/>
  <c r="H66" i="10" l="1"/>
  <c r="G67" i="10"/>
  <c r="R68" i="9"/>
  <c r="A69" i="9"/>
  <c r="J51" i="5"/>
  <c r="I52" i="5"/>
  <c r="H67" i="10" l="1"/>
  <c r="G68" i="10"/>
  <c r="R69" i="9"/>
  <c r="A70" i="9"/>
  <c r="J52" i="5"/>
  <c r="I53" i="5"/>
  <c r="H68" i="10" l="1"/>
  <c r="G69" i="10"/>
  <c r="R70" i="9"/>
  <c r="A71" i="9"/>
  <c r="J53" i="5"/>
  <c r="J54" i="5" s="1"/>
  <c r="J55" i="5" s="1"/>
  <c r="J56" i="5" s="1"/>
  <c r="J57" i="5" s="1"/>
  <c r="J58" i="5" s="1"/>
  <c r="J59" i="5" s="1"/>
  <c r="J60" i="5" s="1"/>
  <c r="J61" i="5" s="1"/>
  <c r="J62" i="5" s="1"/>
  <c r="J63" i="5" s="1"/>
  <c r="J64" i="5" s="1"/>
  <c r="J65" i="5" s="1"/>
  <c r="H69" i="10" l="1"/>
  <c r="G70" i="10"/>
  <c r="P71" i="9"/>
  <c r="A72" i="9"/>
  <c r="R71" i="9"/>
  <c r="H70" i="10" l="1"/>
  <c r="G71" i="10"/>
  <c r="A73" i="9"/>
  <c r="R72" i="9"/>
  <c r="H71" i="10" l="1"/>
  <c r="G72" i="10"/>
  <c r="A74" i="9"/>
  <c r="R73" i="9"/>
  <c r="H72" i="10" l="1"/>
  <c r="G73" i="10"/>
  <c r="A75" i="9"/>
  <c r="R74" i="9"/>
  <c r="H73" i="10" l="1"/>
  <c r="G74" i="10"/>
  <c r="A76" i="9"/>
  <c r="R75" i="9"/>
  <c r="G75" i="10" l="1"/>
  <c r="H74" i="10"/>
  <c r="P76" i="9"/>
  <c r="A77" i="9"/>
  <c r="R76" i="9"/>
  <c r="G76" i="10" l="1"/>
  <c r="H75" i="10"/>
  <c r="R77" i="9"/>
  <c r="A78" i="9"/>
  <c r="G77" i="10" l="1"/>
  <c r="H76" i="10"/>
  <c r="R78" i="9"/>
  <c r="A79" i="9"/>
  <c r="G78" i="10" l="1"/>
  <c r="H77" i="10"/>
  <c r="R79" i="9"/>
  <c r="A80" i="9"/>
  <c r="G79" i="10" l="1"/>
  <c r="H78" i="10"/>
  <c r="R80" i="9"/>
  <c r="A81" i="9"/>
  <c r="H79" i="10" l="1"/>
  <c r="G80" i="10"/>
  <c r="A82" i="9"/>
  <c r="R81" i="9"/>
  <c r="P81" i="9"/>
  <c r="H80" i="10" l="1"/>
  <c r="G81" i="10"/>
  <c r="A83" i="9"/>
  <c r="R82" i="9"/>
  <c r="G82" i="10" l="1"/>
  <c r="H81" i="10"/>
  <c r="A84" i="9"/>
  <c r="R83" i="9"/>
  <c r="G83" i="10" l="1"/>
  <c r="H82" i="10"/>
  <c r="A85" i="9"/>
  <c r="R84" i="9"/>
  <c r="G84" i="10" l="1"/>
  <c r="H83" i="10"/>
  <c r="R85" i="9"/>
  <c r="A86" i="9"/>
  <c r="G85" i="10" l="1"/>
  <c r="H84" i="10"/>
  <c r="P86" i="9"/>
  <c r="A87" i="9"/>
  <c r="R86" i="9"/>
  <c r="G86" i="10" l="1"/>
  <c r="H85" i="10"/>
  <c r="A88" i="9"/>
  <c r="R87" i="9"/>
  <c r="G87" i="10" l="1"/>
  <c r="H86" i="10"/>
  <c r="A89" i="9"/>
  <c r="R88" i="9"/>
  <c r="H87" i="10" l="1"/>
  <c r="G88" i="10"/>
  <c r="A90" i="9"/>
  <c r="R89" i="9"/>
  <c r="G89" i="10" l="1"/>
  <c r="H88" i="10"/>
  <c r="R90" i="9"/>
  <c r="A91" i="9"/>
  <c r="G90" i="10" l="1"/>
  <c r="H89" i="10"/>
  <c r="P91" i="9"/>
  <c r="R91" i="9"/>
  <c r="A92" i="9"/>
  <c r="G91" i="10" l="1"/>
  <c r="H90" i="10"/>
  <c r="A93" i="9"/>
  <c r="R92" i="9"/>
  <c r="H91" i="10" l="1"/>
  <c r="G92" i="10"/>
  <c r="A94" i="9"/>
  <c r="R93" i="9"/>
  <c r="G93" i="10" l="1"/>
  <c r="H92" i="10"/>
  <c r="A95" i="9"/>
  <c r="R94" i="9"/>
  <c r="G94" i="10" l="1"/>
  <c r="H93" i="10"/>
  <c r="A96" i="9"/>
  <c r="R95" i="9"/>
  <c r="G95" i="10" l="1"/>
  <c r="H94" i="10"/>
  <c r="A97" i="9"/>
  <c r="R96" i="9"/>
  <c r="P96" i="9"/>
  <c r="H95" i="10" l="1"/>
  <c r="G96" i="10"/>
  <c r="R97" i="9"/>
  <c r="A98" i="9"/>
  <c r="G97" i="10" l="1"/>
  <c r="H96" i="10"/>
  <c r="R98" i="9"/>
  <c r="A99" i="9"/>
  <c r="G98" i="10" l="1"/>
  <c r="H97" i="10"/>
  <c r="R99" i="9"/>
  <c r="A100" i="9"/>
  <c r="G99" i="10" l="1"/>
  <c r="H98" i="10"/>
  <c r="R100" i="9"/>
  <c r="A101" i="9"/>
  <c r="G100" i="10" l="1"/>
  <c r="H99" i="10"/>
  <c r="A102" i="9"/>
  <c r="R101" i="9"/>
  <c r="P101" i="9"/>
  <c r="G101" i="10" l="1"/>
  <c r="H100" i="10"/>
  <c r="A103" i="9"/>
  <c r="R102" i="9"/>
  <c r="G102" i="10" l="1"/>
  <c r="H101" i="10"/>
  <c r="A104" i="9"/>
  <c r="R103" i="9"/>
  <c r="G103" i="10" l="1"/>
  <c r="H102" i="10"/>
  <c r="R104" i="9"/>
  <c r="A105" i="9"/>
  <c r="H103" i="10" l="1"/>
  <c r="G104" i="10"/>
  <c r="R105" i="9"/>
  <c r="A106" i="9"/>
  <c r="G105" i="10" l="1"/>
  <c r="H104" i="10"/>
  <c r="A107" i="9"/>
  <c r="R106" i="9"/>
  <c r="P106" i="9"/>
  <c r="H105" i="10" l="1"/>
  <c r="G106" i="10"/>
  <c r="R107" i="9"/>
  <c r="A108" i="9"/>
  <c r="G107" i="10" l="1"/>
  <c r="H106" i="10"/>
  <c r="R108" i="9"/>
  <c r="A109" i="9"/>
  <c r="G108" i="10" l="1"/>
  <c r="H107" i="10"/>
  <c r="A110" i="9"/>
  <c r="R109" i="9"/>
  <c r="G109" i="10" l="1"/>
  <c r="H108" i="10"/>
  <c r="A111" i="9"/>
  <c r="R110" i="9"/>
  <c r="G110" i="10" l="1"/>
  <c r="H109" i="10"/>
  <c r="A112" i="9"/>
  <c r="R111" i="9"/>
  <c r="P111" i="9"/>
  <c r="G111" i="10" l="1"/>
  <c r="H110" i="10"/>
  <c r="R112" i="9"/>
  <c r="A113" i="9"/>
  <c r="H111" i="10" l="1"/>
  <c r="G112" i="10"/>
  <c r="R113" i="9"/>
  <c r="A114" i="9"/>
  <c r="G113" i="10" l="1"/>
  <c r="H112" i="10"/>
  <c r="R114" i="9"/>
  <c r="A115" i="9"/>
  <c r="G114" i="10" l="1"/>
  <c r="H113" i="10"/>
  <c r="R115" i="9"/>
  <c r="A116" i="9"/>
  <c r="H114" i="10" l="1"/>
  <c r="G115" i="10"/>
  <c r="P116" i="9"/>
  <c r="R116" i="9"/>
  <c r="A117" i="9"/>
  <c r="G116" i="10" l="1"/>
  <c r="H115" i="10"/>
  <c r="R117" i="9"/>
  <c r="A118" i="9"/>
  <c r="H116" i="10" l="1"/>
  <c r="G117" i="10"/>
  <c r="R118" i="9"/>
  <c r="A119" i="9"/>
  <c r="H117" i="10" l="1"/>
  <c r="G118" i="10"/>
  <c r="R119" i="9"/>
  <c r="A120" i="9"/>
  <c r="H118" i="10" l="1"/>
  <c r="G119" i="10"/>
  <c r="R120" i="9"/>
  <c r="A121" i="9"/>
  <c r="G120" i="10" l="1"/>
  <c r="H119" i="10"/>
  <c r="A122" i="9"/>
  <c r="R121" i="9"/>
  <c r="P121" i="9"/>
  <c r="H120" i="10" l="1"/>
  <c r="G121" i="10"/>
  <c r="R122" i="9"/>
  <c r="A123" i="9"/>
  <c r="H121" i="10" l="1"/>
  <c r="G122" i="10"/>
  <c r="R123" i="9"/>
  <c r="A124" i="9"/>
  <c r="H122" i="10" l="1"/>
  <c r="G123" i="10"/>
  <c r="R124" i="9"/>
  <c r="A125" i="9"/>
  <c r="G124" i="10" l="1"/>
  <c r="H123" i="10"/>
  <c r="R125" i="9"/>
  <c r="A126" i="9"/>
  <c r="H124" i="10" l="1"/>
  <c r="G125" i="10"/>
  <c r="A127" i="9"/>
  <c r="R126" i="9"/>
  <c r="P126" i="9"/>
  <c r="H125" i="10" l="1"/>
  <c r="G126" i="10"/>
  <c r="A128" i="9"/>
  <c r="R127" i="9"/>
  <c r="H126" i="10" l="1"/>
  <c r="G127" i="10"/>
  <c r="A129" i="9"/>
  <c r="R128" i="9"/>
  <c r="H127" i="10" l="1"/>
  <c r="G128" i="10"/>
  <c r="A130" i="9"/>
  <c r="R129" i="9"/>
  <c r="H128" i="10" l="1"/>
  <c r="G129" i="10"/>
  <c r="A131" i="9"/>
  <c r="R130" i="9"/>
  <c r="G130" i="10" l="1"/>
  <c r="H129" i="10"/>
  <c r="A132" i="9"/>
  <c r="R131" i="9"/>
  <c r="P131" i="9"/>
  <c r="H130" i="10" l="1"/>
  <c r="G131" i="10"/>
  <c r="R132" i="9"/>
  <c r="A133" i="9"/>
  <c r="H131" i="10" l="1"/>
  <c r="G132" i="10"/>
  <c r="R133" i="9"/>
  <c r="A134" i="9"/>
  <c r="H132" i="10" l="1"/>
  <c r="G133" i="10"/>
  <c r="R134" i="9"/>
  <c r="A135" i="9"/>
  <c r="H133" i="10" l="1"/>
  <c r="G134" i="10"/>
  <c r="A136" i="9"/>
  <c r="R135" i="9"/>
  <c r="H134" i="10" l="1"/>
  <c r="G135" i="10"/>
  <c r="P136" i="9"/>
  <c r="A137" i="9"/>
  <c r="R136" i="9"/>
  <c r="G136" i="10" l="1"/>
  <c r="H135" i="10"/>
  <c r="A138" i="9"/>
  <c r="R137" i="9"/>
  <c r="H136" i="10" l="1"/>
  <c r="G137" i="10"/>
  <c r="R138" i="9"/>
  <c r="A139" i="9"/>
  <c r="G138" i="10" l="1"/>
  <c r="H137" i="10"/>
  <c r="R139" i="9"/>
  <c r="A140" i="9"/>
  <c r="H138" i="10" l="1"/>
  <c r="G139" i="10"/>
  <c r="R140" i="9"/>
  <c r="A141" i="9"/>
  <c r="H139" i="10" l="1"/>
  <c r="G140" i="10"/>
  <c r="A142" i="9"/>
  <c r="R141" i="9"/>
  <c r="P141" i="9"/>
  <c r="H140" i="10" l="1"/>
  <c r="G141" i="10"/>
  <c r="R142" i="9"/>
  <c r="A143" i="9"/>
  <c r="H141" i="10" l="1"/>
  <c r="G142" i="10"/>
  <c r="A144" i="9"/>
  <c r="R143" i="9"/>
  <c r="H142" i="10" l="1"/>
  <c r="G143" i="10"/>
  <c r="R144" i="9"/>
  <c r="A145" i="9"/>
  <c r="G144" i="10" l="1"/>
  <c r="H143" i="10"/>
  <c r="R145" i="9"/>
  <c r="A146" i="9"/>
  <c r="H144" i="10" l="1"/>
  <c r="G145" i="10"/>
  <c r="A147" i="9"/>
  <c r="R146" i="9"/>
  <c r="P146" i="9"/>
  <c r="H145" i="10" l="1"/>
  <c r="G146" i="10"/>
  <c r="R147" i="9"/>
  <c r="A148" i="9"/>
  <c r="H146" i="10" l="1"/>
  <c r="G147" i="10"/>
  <c r="R148" i="9"/>
  <c r="A149" i="9"/>
  <c r="H147" i="10" l="1"/>
  <c r="G148" i="10"/>
  <c r="R149" i="9"/>
  <c r="A150" i="9"/>
  <c r="H148" i="10" l="1"/>
  <c r="G149" i="10"/>
  <c r="R150" i="9"/>
  <c r="A151" i="9"/>
  <c r="H149" i="10" l="1"/>
  <c r="G150" i="10"/>
  <c r="A152" i="9"/>
  <c r="R151" i="9"/>
  <c r="P151" i="9"/>
  <c r="H150" i="10" l="1"/>
  <c r="G151" i="10"/>
  <c r="A153" i="9"/>
  <c r="R152" i="9"/>
  <c r="G152" i="10" l="1"/>
  <c r="H151" i="10"/>
  <c r="A154" i="9"/>
  <c r="R153" i="9"/>
  <c r="H152" i="10" l="1"/>
  <c r="G153" i="10"/>
  <c r="A155" i="9"/>
  <c r="R154" i="9"/>
  <c r="H153" i="10" l="1"/>
  <c r="G154" i="10"/>
  <c r="A156" i="9"/>
  <c r="R155" i="9"/>
  <c r="H154" i="10" l="1"/>
  <c r="G155" i="10"/>
  <c r="A157" i="9"/>
  <c r="R156" i="9"/>
  <c r="P156" i="9"/>
  <c r="G156" i="10" l="1"/>
  <c r="H155" i="10"/>
  <c r="R157" i="9"/>
  <c r="A158" i="9"/>
  <c r="H156" i="10" l="1"/>
  <c r="G157" i="10"/>
  <c r="A159" i="9"/>
  <c r="R158" i="9"/>
  <c r="H157" i="10" l="1"/>
  <c r="G158" i="10"/>
  <c r="R159" i="9"/>
  <c r="A160" i="9"/>
  <c r="H158" i="10" l="1"/>
  <c r="G159" i="10"/>
  <c r="R160" i="9"/>
  <c r="A161" i="9"/>
  <c r="G160" i="10" l="1"/>
  <c r="H159" i="10"/>
  <c r="P161" i="9"/>
  <c r="R161" i="9"/>
  <c r="A162" i="9"/>
  <c r="H160" i="10" l="1"/>
  <c r="G161" i="10"/>
  <c r="R162" i="9"/>
  <c r="A163" i="9"/>
  <c r="H161" i="10" l="1"/>
  <c r="G162" i="10"/>
  <c r="R163" i="9"/>
  <c r="A164" i="9"/>
  <c r="H162" i="10" l="1"/>
  <c r="G163" i="10"/>
  <c r="R164" i="9"/>
  <c r="A165" i="9"/>
  <c r="H163" i="10" l="1"/>
  <c r="G164" i="10"/>
  <c r="R165" i="9"/>
  <c r="A166" i="9"/>
  <c r="H164" i="10" l="1"/>
  <c r="G165" i="10"/>
  <c r="A167" i="9"/>
  <c r="R166" i="9"/>
  <c r="P166" i="9"/>
  <c r="H165" i="10" l="1"/>
  <c r="G166" i="10"/>
  <c r="R167" i="9"/>
  <c r="A168" i="9"/>
  <c r="H166" i="10" l="1"/>
  <c r="G167" i="10"/>
  <c r="R168" i="9"/>
  <c r="A169" i="9"/>
  <c r="G168" i="10" l="1"/>
  <c r="H167" i="10"/>
  <c r="R169" i="9"/>
  <c r="A170" i="9"/>
  <c r="H168" i="10" l="1"/>
  <c r="G169" i="10"/>
  <c r="R170" i="9"/>
  <c r="A171" i="9"/>
  <c r="G170" i="10" l="1"/>
  <c r="H169" i="10"/>
  <c r="A172" i="9"/>
  <c r="R171" i="9"/>
  <c r="P171" i="9"/>
  <c r="H170" i="10" l="1"/>
  <c r="G171" i="10"/>
  <c r="R172" i="9"/>
  <c r="A173" i="9"/>
  <c r="H171" i="10" l="1"/>
  <c r="G172" i="10"/>
  <c r="R173" i="9"/>
  <c r="A174" i="9"/>
  <c r="H172" i="10" l="1"/>
  <c r="G173" i="10"/>
  <c r="R174" i="9"/>
  <c r="A175" i="9"/>
  <c r="H173" i="10" l="1"/>
  <c r="G174" i="10"/>
  <c r="R175" i="9"/>
  <c r="A176" i="9"/>
  <c r="H174" i="10" l="1"/>
  <c r="G175" i="10"/>
  <c r="A177" i="9"/>
  <c r="R176" i="9"/>
  <c r="P176" i="9"/>
  <c r="G176" i="10" l="1"/>
  <c r="H175" i="10"/>
  <c r="R177" i="9"/>
  <c r="A178" i="9"/>
  <c r="H176" i="10" l="1"/>
  <c r="G177" i="10"/>
  <c r="R178" i="9"/>
  <c r="A179" i="9"/>
  <c r="H177" i="10" l="1"/>
  <c r="G178" i="10"/>
  <c r="R179" i="9"/>
  <c r="A180" i="9"/>
  <c r="H178" i="10" l="1"/>
  <c r="G179" i="10"/>
  <c r="R180" i="9"/>
  <c r="A181" i="9"/>
  <c r="G180" i="10" l="1"/>
  <c r="H179" i="10"/>
  <c r="A182" i="9"/>
  <c r="R181" i="9"/>
  <c r="P181" i="9"/>
  <c r="H180" i="10" l="1"/>
  <c r="G181" i="10"/>
  <c r="R182" i="9"/>
  <c r="A183" i="9"/>
  <c r="H181" i="10" l="1"/>
  <c r="G182" i="10"/>
  <c r="R183" i="9"/>
  <c r="A184" i="9"/>
  <c r="H182" i="10" l="1"/>
  <c r="G183" i="10"/>
  <c r="R184" i="9"/>
  <c r="A185" i="9"/>
  <c r="G184" i="10" l="1"/>
  <c r="H183" i="10"/>
  <c r="R185" i="9"/>
  <c r="A186" i="9"/>
  <c r="H184" i="10" l="1"/>
  <c r="G185" i="10"/>
  <c r="A187" i="9"/>
  <c r="R186" i="9"/>
  <c r="P186" i="9"/>
  <c r="H185" i="10" l="1"/>
  <c r="G186" i="10"/>
  <c r="R187" i="9"/>
  <c r="A188" i="9"/>
  <c r="H186" i="10" l="1"/>
  <c r="G187" i="10"/>
  <c r="R188" i="9"/>
  <c r="A189" i="9"/>
  <c r="G188" i="10" l="1"/>
  <c r="H187" i="10"/>
  <c r="R189" i="9"/>
  <c r="A190" i="9"/>
  <c r="H188" i="10" l="1"/>
  <c r="G189" i="10"/>
  <c r="R190" i="9"/>
  <c r="A191" i="9"/>
  <c r="H189" i="10" l="1"/>
  <c r="G190" i="10"/>
  <c r="A192" i="9"/>
  <c r="R191" i="9"/>
  <c r="P191" i="9"/>
  <c r="H190" i="10" l="1"/>
  <c r="G191" i="10"/>
  <c r="A193" i="9"/>
  <c r="R192" i="9"/>
  <c r="G192" i="10" l="1"/>
  <c r="H191" i="10"/>
  <c r="A194" i="9"/>
  <c r="R193" i="9"/>
  <c r="H192" i="10" l="1"/>
  <c r="G193" i="10"/>
  <c r="A195" i="9"/>
  <c r="R194" i="9"/>
  <c r="G194" i="10" l="1"/>
  <c r="H193" i="10"/>
  <c r="A196" i="9"/>
  <c r="R195" i="9"/>
  <c r="H194" i="10" l="1"/>
  <c r="G195" i="10"/>
  <c r="A197" i="9"/>
  <c r="R196" i="9"/>
  <c r="P196" i="9"/>
  <c r="G196" i="10" l="1"/>
  <c r="H195" i="10"/>
  <c r="R197" i="9"/>
  <c r="A198" i="9"/>
  <c r="H196" i="10" l="1"/>
  <c r="G197" i="10"/>
  <c r="R198" i="9"/>
  <c r="A199" i="9"/>
  <c r="H197" i="10" l="1"/>
  <c r="G198" i="10"/>
  <c r="R199" i="9"/>
  <c r="A200" i="9"/>
  <c r="H198" i="10" l="1"/>
  <c r="G199" i="10"/>
  <c r="R200" i="9"/>
  <c r="A201" i="9"/>
  <c r="H199" i="10" l="1"/>
  <c r="G200" i="10"/>
  <c r="A202" i="9"/>
  <c r="R201" i="9"/>
  <c r="P201" i="9"/>
  <c r="H200" i="10" l="1"/>
  <c r="G201" i="10"/>
  <c r="A203" i="9"/>
  <c r="R202" i="9"/>
  <c r="G202" i="10" l="1"/>
  <c r="H201" i="10"/>
  <c r="A204" i="9"/>
  <c r="R203" i="9"/>
  <c r="G203" i="10" l="1"/>
  <c r="H202" i="10"/>
  <c r="A205" i="9"/>
  <c r="R204" i="9"/>
  <c r="H203" i="10" l="1"/>
  <c r="G204" i="10"/>
  <c r="A206" i="9"/>
  <c r="R205" i="9"/>
  <c r="H204" i="10" l="1"/>
  <c r="G205" i="10"/>
  <c r="A207" i="9"/>
  <c r="P206" i="9"/>
  <c r="O206" i="9" s="1"/>
  <c r="R206" i="9"/>
  <c r="G206" i="10" l="1"/>
  <c r="H205" i="10"/>
  <c r="A208" i="9"/>
  <c r="R207" i="9"/>
  <c r="H206" i="10" l="1"/>
  <c r="G207" i="10"/>
  <c r="A209" i="9"/>
  <c r="R208" i="9"/>
  <c r="G208" i="10" l="1"/>
  <c r="H207" i="10"/>
  <c r="A210" i="9"/>
  <c r="R209" i="9"/>
  <c r="H208" i="10" l="1"/>
  <c r="G209" i="10"/>
  <c r="A211" i="9"/>
  <c r="R210" i="9"/>
  <c r="H209" i="10" l="1"/>
  <c r="G210" i="10"/>
  <c r="A212" i="9"/>
  <c r="P211" i="9"/>
  <c r="O211" i="9" s="1"/>
  <c r="R211" i="9"/>
  <c r="H210" i="10" l="1"/>
  <c r="G211" i="10"/>
  <c r="A213" i="9"/>
  <c r="R212" i="9"/>
  <c r="H211" i="10" l="1"/>
  <c r="G212" i="10"/>
  <c r="A214" i="9"/>
  <c r="R213" i="9"/>
  <c r="H212" i="10" l="1"/>
  <c r="G213" i="10"/>
  <c r="A215" i="9"/>
  <c r="R214" i="9"/>
  <c r="H213" i="10" l="1"/>
  <c r="G214" i="10"/>
  <c r="A216" i="9"/>
  <c r="R215" i="9"/>
  <c r="H214" i="10" l="1"/>
  <c r="G215" i="10"/>
  <c r="P216" i="9"/>
  <c r="O216" i="9" s="1"/>
  <c r="R216" i="9"/>
  <c r="A217" i="9"/>
  <c r="G216" i="10" l="1"/>
  <c r="H215" i="10"/>
  <c r="A218" i="9"/>
  <c r="R217" i="9"/>
  <c r="H216" i="10" l="1"/>
  <c r="G217" i="10"/>
  <c r="A219" i="9"/>
  <c r="R218" i="9"/>
  <c r="H217" i="10" l="1"/>
  <c r="G218" i="10"/>
  <c r="A220" i="9"/>
  <c r="R219" i="9"/>
  <c r="H218" i="10" l="1"/>
  <c r="G219" i="10"/>
  <c r="A221" i="9"/>
  <c r="R220" i="9"/>
  <c r="G220" i="10" l="1"/>
  <c r="H219" i="10"/>
  <c r="P221" i="9"/>
  <c r="O221" i="9" s="1"/>
  <c r="R221" i="9"/>
  <c r="A222" i="9"/>
  <c r="H220" i="10" l="1"/>
  <c r="G221" i="10"/>
  <c r="A223" i="9"/>
  <c r="R222" i="9"/>
  <c r="H221" i="10" l="1"/>
  <c r="G222" i="10"/>
  <c r="A224" i="9"/>
  <c r="R223" i="9"/>
  <c r="H222" i="10" l="1"/>
  <c r="G223" i="10"/>
  <c r="A225" i="9"/>
  <c r="R224" i="9"/>
  <c r="G224" i="10" l="1"/>
  <c r="H223" i="10"/>
  <c r="A226" i="9"/>
  <c r="R225" i="9"/>
  <c r="H224" i="10" l="1"/>
  <c r="G225" i="10"/>
  <c r="A227" i="9"/>
  <c r="P226" i="9"/>
  <c r="O226" i="9" s="1"/>
  <c r="R226" i="9"/>
  <c r="H225" i="10" l="1"/>
  <c r="G226" i="10"/>
  <c r="A228" i="9"/>
  <c r="R227" i="9"/>
  <c r="H226" i="10" l="1"/>
  <c r="G227" i="10"/>
  <c r="A229" i="9"/>
  <c r="R228" i="9"/>
  <c r="H227" i="10" l="1"/>
  <c r="G228" i="10"/>
  <c r="A230" i="9"/>
  <c r="R229" i="9"/>
  <c r="H228" i="10" l="1"/>
  <c r="G229" i="10"/>
  <c r="A231" i="9"/>
  <c r="R230" i="9"/>
  <c r="H229" i="10" l="1"/>
  <c r="G230" i="10"/>
  <c r="A232" i="9"/>
  <c r="P231" i="9"/>
  <c r="O231" i="9" s="1"/>
  <c r="R231" i="9"/>
  <c r="H230" i="10" l="1"/>
  <c r="G231" i="10"/>
  <c r="A233" i="9"/>
  <c r="R232" i="9"/>
  <c r="G232" i="10" l="1"/>
  <c r="H231" i="10"/>
  <c r="A234" i="9"/>
  <c r="R233" i="9"/>
  <c r="H232" i="10" l="1"/>
  <c r="G233" i="10"/>
  <c r="A235" i="9"/>
  <c r="R234" i="9"/>
  <c r="G234" i="10" l="1"/>
  <c r="H233" i="10"/>
  <c r="A236" i="9"/>
  <c r="R235" i="9"/>
  <c r="H234" i="10" l="1"/>
  <c r="G235" i="10"/>
  <c r="A237" i="9"/>
  <c r="R236" i="9"/>
  <c r="P236" i="9"/>
  <c r="O236" i="9" s="1"/>
  <c r="H235" i="10" l="1"/>
  <c r="G236" i="10"/>
  <c r="A238" i="9"/>
  <c r="R237" i="9"/>
  <c r="H236" i="10" l="1"/>
  <c r="G237" i="10"/>
  <c r="A239" i="9"/>
  <c r="R238" i="9"/>
  <c r="H237" i="10" l="1"/>
  <c r="G238" i="10"/>
  <c r="A240" i="9"/>
  <c r="R239" i="9"/>
  <c r="H238" i="10" l="1"/>
  <c r="G239" i="10"/>
  <c r="A241" i="9"/>
  <c r="R240" i="9"/>
  <c r="G240" i="10" l="1"/>
  <c r="H239" i="10"/>
  <c r="A242" i="9"/>
  <c r="R241" i="9"/>
  <c r="P241" i="9"/>
  <c r="O241" i="9" s="1"/>
  <c r="H240" i="10" l="1"/>
  <c r="G241" i="10"/>
  <c r="A243" i="9"/>
  <c r="R242" i="9"/>
  <c r="H241" i="10" l="1"/>
  <c r="G242" i="10"/>
  <c r="A244" i="9"/>
  <c r="R243" i="9"/>
  <c r="H242" i="10" l="1"/>
  <c r="G243" i="10"/>
  <c r="A245" i="9"/>
  <c r="R244" i="9"/>
  <c r="G244" i="10" l="1"/>
  <c r="H243" i="10"/>
  <c r="A246" i="9"/>
  <c r="R245" i="9"/>
  <c r="G245" i="10" l="1"/>
  <c r="H244" i="10"/>
  <c r="P246" i="9"/>
  <c r="O246" i="9" s="1"/>
  <c r="R246" i="9"/>
  <c r="A247" i="9"/>
  <c r="H245" i="10" l="1"/>
  <c r="G246" i="10"/>
  <c r="A248" i="9"/>
  <c r="R247" i="9"/>
  <c r="G247" i="10" l="1"/>
  <c r="H246" i="10"/>
  <c r="A249" i="9"/>
  <c r="R248" i="9"/>
  <c r="H247" i="10" l="1"/>
  <c r="G248" i="10"/>
  <c r="A250" i="9"/>
  <c r="R249" i="9"/>
  <c r="G249" i="10" l="1"/>
  <c r="H248" i="10"/>
  <c r="A251" i="9"/>
  <c r="R250" i="9"/>
  <c r="G250" i="10" l="1"/>
  <c r="H249" i="10"/>
  <c r="P251" i="9"/>
  <c r="O251" i="9" s="1"/>
  <c r="R251" i="9"/>
  <c r="A252" i="9"/>
  <c r="G251" i="10" l="1"/>
  <c r="H250" i="10"/>
  <c r="A253" i="9"/>
  <c r="R252" i="9"/>
  <c r="H251" i="10" l="1"/>
  <c r="G252" i="10"/>
  <c r="A254" i="9"/>
  <c r="R253" i="9"/>
  <c r="G253" i="10" l="1"/>
  <c r="H252" i="10"/>
  <c r="A255" i="9"/>
  <c r="R254" i="9"/>
  <c r="H253" i="10" l="1"/>
  <c r="G254" i="10"/>
  <c r="A256" i="9"/>
  <c r="R255" i="9"/>
  <c r="G255" i="10" l="1"/>
  <c r="H254" i="10"/>
  <c r="A257" i="9"/>
  <c r="P256" i="9"/>
  <c r="O256" i="9" s="1"/>
  <c r="R256" i="9"/>
  <c r="G256" i="10" l="1"/>
  <c r="H255" i="10"/>
  <c r="A258" i="9"/>
  <c r="R257" i="9"/>
  <c r="G257" i="10" l="1"/>
  <c r="H256" i="10"/>
  <c r="A259" i="9"/>
  <c r="R258" i="9"/>
  <c r="H257" i="10" l="1"/>
  <c r="G258" i="10"/>
  <c r="A260" i="9"/>
  <c r="R259" i="9"/>
  <c r="G259" i="10" l="1"/>
  <c r="H258" i="10"/>
  <c r="A261" i="9"/>
  <c r="R260" i="9"/>
  <c r="G260" i="10" l="1"/>
  <c r="H259" i="10"/>
  <c r="P261" i="9"/>
  <c r="O261" i="9" s="1"/>
  <c r="R261" i="9"/>
  <c r="A262" i="9"/>
  <c r="G261" i="10" l="1"/>
  <c r="H260" i="10"/>
  <c r="A263" i="9"/>
  <c r="R262" i="9"/>
  <c r="H261" i="10" l="1"/>
  <c r="G262" i="10"/>
  <c r="A264" i="9"/>
  <c r="R263" i="9"/>
  <c r="G263" i="10" l="1"/>
  <c r="H262" i="10"/>
  <c r="A265" i="9"/>
  <c r="R264" i="9"/>
  <c r="G264" i="10" l="1"/>
  <c r="H263" i="10"/>
  <c r="A266" i="9"/>
  <c r="R265" i="9"/>
  <c r="G265" i="10" l="1"/>
  <c r="H264" i="10"/>
  <c r="A267" i="9"/>
  <c r="R266" i="9"/>
  <c r="P266" i="9"/>
  <c r="O266" i="9" s="1"/>
  <c r="H265" i="10" l="1"/>
  <c r="G266" i="10"/>
  <c r="A268" i="9"/>
  <c r="R267" i="9"/>
  <c r="G267" i="10" l="1"/>
  <c r="H266" i="10"/>
  <c r="A269" i="9"/>
  <c r="R268" i="9"/>
  <c r="G268" i="10" l="1"/>
  <c r="H267" i="10"/>
  <c r="A270" i="9"/>
  <c r="R269" i="9"/>
  <c r="G269" i="10" l="1"/>
  <c r="H268" i="10"/>
  <c r="A271" i="9"/>
  <c r="R270" i="9"/>
  <c r="H269" i="10" l="1"/>
  <c r="G270" i="10"/>
  <c r="P271" i="9"/>
  <c r="O271" i="9" s="1"/>
  <c r="R271" i="9"/>
  <c r="A272" i="9"/>
  <c r="G271" i="10" l="1"/>
  <c r="H270" i="10"/>
  <c r="A273" i="9"/>
  <c r="R272" i="9"/>
  <c r="G272" i="10" l="1"/>
  <c r="H271" i="10"/>
  <c r="A274" i="9"/>
  <c r="R273" i="9"/>
  <c r="G273" i="10" l="1"/>
  <c r="H272" i="10"/>
  <c r="A275" i="9"/>
  <c r="R274" i="9"/>
  <c r="G274" i="10" l="1"/>
  <c r="H273" i="10"/>
  <c r="A276" i="9"/>
  <c r="R275" i="9"/>
  <c r="H274" i="10" l="1"/>
  <c r="G275" i="10"/>
  <c r="A277" i="9"/>
  <c r="R276" i="9"/>
  <c r="H275" i="10" l="1"/>
  <c r="G276" i="10"/>
  <c r="A278" i="9"/>
  <c r="R277" i="9"/>
  <c r="G277" i="10" l="1"/>
  <c r="H276" i="10"/>
  <c r="A279" i="9"/>
  <c r="R278" i="9"/>
  <c r="H277" i="10" l="1"/>
  <c r="G278" i="10"/>
  <c r="A280" i="9"/>
  <c r="R279" i="9"/>
  <c r="G279" i="10" l="1"/>
  <c r="H278" i="10"/>
  <c r="A281" i="9"/>
  <c r="R280" i="9"/>
  <c r="G280" i="10" l="1"/>
  <c r="H279" i="10"/>
  <c r="A282" i="9"/>
  <c r="R281" i="9"/>
  <c r="P281" i="9"/>
  <c r="O281" i="9" s="1"/>
  <c r="G281" i="10" l="1"/>
  <c r="H280" i="10"/>
  <c r="A283" i="9"/>
  <c r="R282" i="9"/>
  <c r="G282" i="10" l="1"/>
  <c r="H281" i="10"/>
  <c r="A284" i="9"/>
  <c r="R283" i="9"/>
  <c r="G283" i="10" l="1"/>
  <c r="H282" i="10"/>
  <c r="A285" i="9"/>
  <c r="R284" i="9"/>
  <c r="H283" i="10" l="1"/>
  <c r="G284" i="10"/>
  <c r="A286" i="9"/>
  <c r="R285" i="9"/>
  <c r="G285" i="10" l="1"/>
  <c r="H284" i="10"/>
  <c r="P286" i="9"/>
  <c r="O286" i="9" s="1"/>
  <c r="R286" i="9"/>
  <c r="A287" i="9"/>
  <c r="H285" i="10" l="1"/>
  <c r="G286" i="10"/>
  <c r="A288" i="9"/>
  <c r="R287" i="9"/>
  <c r="G287" i="10" l="1"/>
  <c r="H286" i="10"/>
  <c r="A289" i="9"/>
  <c r="R288" i="9"/>
  <c r="G288" i="10" l="1"/>
  <c r="H287" i="10"/>
  <c r="A290" i="9"/>
  <c r="R289" i="9"/>
  <c r="G289" i="10" l="1"/>
  <c r="H288" i="10"/>
  <c r="A291" i="9"/>
  <c r="R290" i="9"/>
  <c r="H289" i="10" l="1"/>
  <c r="G290" i="10"/>
  <c r="A292" i="9"/>
  <c r="P291" i="9"/>
  <c r="O291" i="9" s="1"/>
  <c r="R291" i="9"/>
  <c r="G291" i="10" l="1"/>
  <c r="H290" i="10"/>
  <c r="A293" i="9"/>
  <c r="R292" i="9"/>
  <c r="H291" i="10" l="1"/>
  <c r="G292" i="10"/>
  <c r="A294" i="9"/>
  <c r="R293" i="9"/>
  <c r="G293" i="10" l="1"/>
  <c r="H292" i="10"/>
  <c r="A295" i="9"/>
  <c r="R294" i="9"/>
  <c r="H293" i="10" l="1"/>
  <c r="G294" i="10"/>
  <c r="A296" i="9"/>
  <c r="R295" i="9"/>
  <c r="G295" i="10" l="1"/>
  <c r="H294" i="10"/>
  <c r="A297" i="9"/>
  <c r="P296" i="9"/>
  <c r="O296" i="9" s="1"/>
  <c r="R296" i="9"/>
  <c r="G296" i="10" l="1"/>
  <c r="H295" i="10"/>
  <c r="A298" i="9"/>
  <c r="R297" i="9"/>
  <c r="G297" i="10" l="1"/>
  <c r="H296" i="10"/>
  <c r="A299" i="9"/>
  <c r="R298" i="9"/>
  <c r="H297" i="10" l="1"/>
  <c r="G298" i="10"/>
  <c r="A300" i="9"/>
  <c r="R299" i="9"/>
  <c r="G299" i="10" l="1"/>
  <c r="H298" i="10"/>
  <c r="A301" i="9"/>
  <c r="R300" i="9"/>
  <c r="G300" i="10" l="1"/>
  <c r="H299" i="10"/>
  <c r="A302" i="9"/>
  <c r="R301" i="9"/>
  <c r="P301" i="9"/>
  <c r="O301" i="9" s="1"/>
  <c r="G301" i="10" l="1"/>
  <c r="H300" i="10"/>
  <c r="A303" i="9"/>
  <c r="R302" i="9"/>
  <c r="H301" i="10" l="1"/>
  <c r="G302" i="10"/>
  <c r="A304" i="9"/>
  <c r="R303" i="9"/>
  <c r="G303" i="10" l="1"/>
  <c r="H302" i="10"/>
  <c r="A305" i="9"/>
  <c r="R304" i="9"/>
  <c r="G304" i="10" l="1"/>
  <c r="H303" i="10"/>
  <c r="A306" i="9"/>
  <c r="R305" i="9"/>
  <c r="G305" i="10" l="1"/>
  <c r="H304" i="10"/>
  <c r="A307" i="9"/>
  <c r="P306" i="9"/>
  <c r="O306" i="9" s="1"/>
  <c r="R306" i="9"/>
  <c r="H305" i="10" l="1"/>
  <c r="G306" i="10"/>
  <c r="A308" i="9"/>
  <c r="R307" i="9"/>
  <c r="G307" i="10" l="1"/>
  <c r="H306" i="10"/>
  <c r="A309" i="9"/>
  <c r="R308" i="9"/>
  <c r="H307" i="10" l="1"/>
  <c r="G308" i="10"/>
  <c r="A310" i="9"/>
  <c r="R309" i="9"/>
  <c r="G309" i="10" l="1"/>
  <c r="H308" i="10"/>
  <c r="A311" i="9"/>
  <c r="R310" i="9"/>
  <c r="H309" i="10" l="1"/>
  <c r="G310" i="10"/>
  <c r="P311" i="9"/>
  <c r="O311" i="9" s="1"/>
  <c r="R311" i="9"/>
  <c r="A312" i="9"/>
  <c r="G311" i="10" l="1"/>
  <c r="H310" i="10"/>
  <c r="A313" i="9"/>
  <c r="R312" i="9"/>
  <c r="G312" i="10" l="1"/>
  <c r="H311" i="10"/>
  <c r="A314" i="9"/>
  <c r="R313" i="9"/>
  <c r="G313" i="10" l="1"/>
  <c r="H312" i="10"/>
  <c r="A315" i="9"/>
  <c r="R314" i="9"/>
  <c r="G314" i="10" l="1"/>
  <c r="H313" i="10"/>
  <c r="A316" i="9"/>
  <c r="R315" i="9"/>
  <c r="G315" i="10" l="1"/>
  <c r="H314" i="10"/>
  <c r="A317" i="9"/>
  <c r="A318" i="9" s="1"/>
  <c r="A319" i="9" s="1"/>
  <c r="A320" i="9" s="1"/>
  <c r="A321" i="9" s="1"/>
  <c r="A322" i="9" s="1"/>
  <c r="A323" i="9" s="1"/>
  <c r="A324" i="9" s="1"/>
  <c r="A325" i="9" s="1"/>
  <c r="A326" i="9" s="1"/>
  <c r="A327" i="9" s="1"/>
  <c r="A328" i="9" s="1"/>
  <c r="A329" i="9" s="1"/>
  <c r="A330" i="9" s="1"/>
  <c r="A331" i="9" s="1"/>
  <c r="A332" i="9" s="1"/>
  <c r="A333" i="9" s="1"/>
  <c r="A334" i="9" s="1"/>
  <c r="A335" i="9" s="1"/>
  <c r="A336" i="9" s="1"/>
  <c r="A337" i="9" s="1"/>
  <c r="A338" i="9" s="1"/>
  <c r="A339" i="9" s="1"/>
  <c r="A340" i="9" s="1"/>
  <c r="A341" i="9" s="1"/>
  <c r="A342" i="9" s="1"/>
  <c r="A343" i="9" s="1"/>
  <c r="A344" i="9" s="1"/>
  <c r="A345" i="9" s="1"/>
  <c r="A346" i="9" s="1"/>
  <c r="A347" i="9" s="1"/>
  <c r="A348" i="9" s="1"/>
  <c r="A349" i="9" s="1"/>
  <c r="A350" i="9" s="1"/>
  <c r="A351" i="9" s="1"/>
  <c r="A352" i="9" s="1"/>
  <c r="A353" i="9" s="1"/>
  <c r="A354" i="9" s="1"/>
  <c r="A355" i="9" s="1"/>
  <c r="A356" i="9" s="1"/>
  <c r="A357" i="9" s="1"/>
  <c r="A358" i="9" s="1"/>
  <c r="A359" i="9" s="1"/>
  <c r="A360" i="9" s="1"/>
  <c r="A361" i="9" s="1"/>
  <c r="A362" i="9" s="1"/>
  <c r="A363" i="9" s="1"/>
  <c r="A364" i="9" s="1"/>
  <c r="A365" i="9" s="1"/>
  <c r="A366" i="9" s="1"/>
  <c r="A367" i="9" s="1"/>
  <c r="A368" i="9" s="1"/>
  <c r="A369" i="9" s="1"/>
  <c r="A370" i="9" s="1"/>
  <c r="A371" i="9" s="1"/>
  <c r="A372" i="9" s="1"/>
  <c r="A373" i="9" s="1"/>
  <c r="A374" i="9" s="1"/>
  <c r="A375" i="9" s="1"/>
  <c r="A376" i="9" s="1"/>
  <c r="A377" i="9" s="1"/>
  <c r="A378" i="9" s="1"/>
  <c r="A379" i="9" s="1"/>
  <c r="A380" i="9" s="1"/>
  <c r="A381" i="9" s="1"/>
  <c r="A382" i="9" s="1"/>
  <c r="A383" i="9" s="1"/>
  <c r="A384" i="9" s="1"/>
  <c r="A385" i="9" s="1"/>
  <c r="A386" i="9" s="1"/>
  <c r="A387" i="9" s="1"/>
  <c r="A388" i="9" s="1"/>
  <c r="A389" i="9" s="1"/>
  <c r="A390" i="9" s="1"/>
  <c r="A391" i="9" s="1"/>
  <c r="A392" i="9" s="1"/>
  <c r="A393" i="9" s="1"/>
  <c r="A394" i="9" s="1"/>
  <c r="A395" i="9" s="1"/>
  <c r="A396" i="9" s="1"/>
  <c r="A397" i="9" s="1"/>
  <c r="A398" i="9" s="1"/>
  <c r="A399" i="9" s="1"/>
  <c r="A400" i="9" s="1"/>
  <c r="A401" i="9" s="1"/>
  <c r="A402" i="9" s="1"/>
  <c r="A403" i="9" s="1"/>
  <c r="A404" i="9" s="1"/>
  <c r="A405" i="9" s="1"/>
  <c r="A406" i="9" s="1"/>
  <c r="A407" i="9" s="1"/>
  <c r="A408" i="9" s="1"/>
  <c r="A409" i="9" s="1"/>
  <c r="A410" i="9" s="1"/>
  <c r="A411" i="9" s="1"/>
  <c r="A412" i="9" s="1"/>
  <c r="A413" i="9" s="1"/>
  <c r="A414" i="9" s="1"/>
  <c r="A415" i="9" s="1"/>
  <c r="A416" i="9" s="1"/>
  <c r="A417" i="9" s="1"/>
  <c r="A418" i="9" s="1"/>
  <c r="A419" i="9" s="1"/>
  <c r="A420" i="9" s="1"/>
  <c r="A421" i="9" s="1"/>
  <c r="A422" i="9" s="1"/>
  <c r="A423" i="9" s="1"/>
  <c r="A424" i="9" s="1"/>
  <c r="A425" i="9" s="1"/>
  <c r="A426" i="9" s="1"/>
  <c r="A427" i="9" s="1"/>
  <c r="A428" i="9" s="1"/>
  <c r="A429" i="9" s="1"/>
  <c r="A430" i="9" s="1"/>
  <c r="A431" i="9" s="1"/>
  <c r="A432" i="9" s="1"/>
  <c r="A433" i="9" s="1"/>
  <c r="A434" i="9" s="1"/>
  <c r="A435" i="9" s="1"/>
  <c r="A436" i="9" s="1"/>
  <c r="A437" i="9" s="1"/>
  <c r="A438" i="9" s="1"/>
  <c r="A439" i="9" s="1"/>
  <c r="A440" i="9" s="1"/>
  <c r="A441" i="9" s="1"/>
  <c r="A442" i="9" s="1"/>
  <c r="A443" i="9" s="1"/>
  <c r="A444" i="9" s="1"/>
  <c r="A445" i="9" s="1"/>
  <c r="A446" i="9" s="1"/>
  <c r="A447" i="9" s="1"/>
  <c r="A448" i="9" s="1"/>
  <c r="A449" i="9" s="1"/>
  <c r="A450" i="9" s="1"/>
  <c r="A451" i="9" s="1"/>
  <c r="A452" i="9" s="1"/>
  <c r="A453" i="9" s="1"/>
  <c r="A454" i="9" s="1"/>
  <c r="A455" i="9" s="1"/>
  <c r="A456" i="9" s="1"/>
  <c r="A457" i="9" s="1"/>
  <c r="A458" i="9" s="1"/>
  <c r="A459" i="9" s="1"/>
  <c r="P316" i="9"/>
  <c r="O316" i="9" s="1"/>
  <c r="R316" i="9"/>
  <c r="A460" i="9" l="1"/>
  <c r="A461" i="9" s="1"/>
  <c r="A462" i="9" s="1"/>
  <c r="A463" i="9" s="1"/>
  <c r="A464" i="9" s="1"/>
  <c r="A465" i="9" s="1"/>
  <c r="A466" i="9" s="1"/>
  <c r="A467" i="9" s="1"/>
  <c r="A468" i="9" s="1"/>
  <c r="A469" i="9" s="1"/>
  <c r="A470" i="9" s="1"/>
  <c r="A471" i="9" s="1"/>
  <c r="A472" i="9" s="1"/>
  <c r="A473" i="9" s="1"/>
  <c r="A474" i="9" s="1"/>
  <c r="A475" i="9" s="1"/>
  <c r="A476" i="9" s="1"/>
  <c r="A477" i="9" s="1"/>
  <c r="A478" i="9" s="1"/>
  <c r="H315" i="10"/>
  <c r="G316" i="10"/>
  <c r="R317" i="9"/>
  <c r="A479" i="9" l="1"/>
  <c r="A480" i="9" s="1"/>
  <c r="A481" i="9" s="1"/>
  <c r="A482" i="9" s="1"/>
  <c r="A483" i="9" s="1"/>
  <c r="A484" i="9" s="1"/>
  <c r="A485" i="9" s="1"/>
  <c r="A486" i="9" s="1"/>
  <c r="A487" i="9" s="1"/>
  <c r="A488" i="9" s="1"/>
  <c r="A489" i="9" s="1"/>
  <c r="A490" i="9" s="1"/>
  <c r="A491" i="9" s="1"/>
  <c r="A492" i="9" s="1"/>
  <c r="A493" i="9" s="1"/>
  <c r="A494" i="9" s="1"/>
  <c r="A495" i="9" s="1"/>
  <c r="A496" i="9" s="1"/>
  <c r="A497" i="9" s="1"/>
  <c r="A498" i="9" s="1"/>
  <c r="A499" i="9" s="1"/>
  <c r="A500" i="9" s="1"/>
  <c r="A501" i="9" s="1"/>
  <c r="A502" i="9" s="1"/>
  <c r="A503" i="9" s="1"/>
  <c r="A504" i="9" s="1"/>
  <c r="A505" i="9" s="1"/>
  <c r="A506" i="9" s="1"/>
  <c r="A507" i="9" s="1"/>
  <c r="A508" i="9" s="1"/>
  <c r="A509" i="9" s="1"/>
  <c r="A510" i="9" s="1"/>
  <c r="A511" i="9" s="1"/>
  <c r="A512" i="9" s="1"/>
  <c r="A513" i="9" s="1"/>
  <c r="A514" i="9" s="1"/>
  <c r="A515" i="9" s="1"/>
  <c r="A516" i="9" s="1"/>
  <c r="A517" i="9" s="1"/>
  <c r="A518" i="9" s="1"/>
  <c r="A519" i="9" s="1"/>
  <c r="A520" i="9" s="1"/>
  <c r="A521" i="9" s="1"/>
  <c r="A522" i="9" s="1"/>
  <c r="A523" i="9" s="1"/>
  <c r="A524" i="9" s="1"/>
  <c r="A525" i="9" s="1"/>
  <c r="A526" i="9" s="1"/>
  <c r="A527" i="9" s="1"/>
  <c r="A528" i="9" s="1"/>
  <c r="A529" i="9" s="1"/>
  <c r="A530" i="9" s="1"/>
  <c r="A531" i="9" s="1"/>
  <c r="A532" i="9" s="1"/>
  <c r="A533" i="9" s="1"/>
  <c r="A534" i="9" s="1"/>
  <c r="A535" i="9" s="1"/>
  <c r="A536" i="9" s="1"/>
  <c r="A537" i="9" s="1"/>
  <c r="A538" i="9" s="1"/>
  <c r="A539" i="9" s="1"/>
  <c r="A540" i="9" s="1"/>
  <c r="A541" i="9" s="1"/>
  <c r="G317" i="10"/>
  <c r="H316" i="10"/>
  <c r="R318" i="9"/>
  <c r="A542" i="9" l="1"/>
  <c r="A543" i="9" s="1"/>
  <c r="A544" i="9" s="1"/>
  <c r="A545" i="9" s="1"/>
  <c r="A546" i="9" s="1"/>
  <c r="A547" i="9" s="1"/>
  <c r="A548" i="9" s="1"/>
  <c r="A549" i="9" s="1"/>
  <c r="A550" i="9" s="1"/>
  <c r="A551" i="9" s="1"/>
  <c r="A552" i="9" s="1"/>
  <c r="A553" i="9" s="1"/>
  <c r="A554" i="9" s="1"/>
  <c r="A555" i="9" s="1"/>
  <c r="A556" i="9" s="1"/>
  <c r="A557" i="9" s="1"/>
  <c r="A558" i="9" s="1"/>
  <c r="A559" i="9" s="1"/>
  <c r="A560" i="9" s="1"/>
  <c r="A561" i="9" s="1"/>
  <c r="A562" i="9" s="1"/>
  <c r="A563" i="9" s="1"/>
  <c r="A564" i="9" s="1"/>
  <c r="A565" i="9" s="1"/>
  <c r="A566" i="9" s="1"/>
  <c r="A567" i="9" s="1"/>
  <c r="A568" i="9" s="1"/>
  <c r="A569" i="9" s="1"/>
  <c r="A570" i="9" s="1"/>
  <c r="A571" i="9" s="1"/>
  <c r="A572" i="9" s="1"/>
  <c r="A573" i="9" s="1"/>
  <c r="A574" i="9" s="1"/>
  <c r="A575" i="9" s="1"/>
  <c r="A576" i="9" s="1"/>
  <c r="A577" i="9" s="1"/>
  <c r="A578" i="9" s="1"/>
  <c r="A579" i="9" s="1"/>
  <c r="A580" i="9" s="1"/>
  <c r="A581" i="9" s="1"/>
  <c r="A582" i="9" s="1"/>
  <c r="A583" i="9" s="1"/>
  <c r="A584" i="9" s="1"/>
  <c r="A585" i="9" s="1"/>
  <c r="A586" i="9" s="1"/>
  <c r="A587" i="9" s="1"/>
  <c r="A588" i="9" s="1"/>
  <c r="A589" i="9" s="1"/>
  <c r="A590" i="9" s="1"/>
  <c r="A591" i="9" s="1"/>
  <c r="A592" i="9" s="1"/>
  <c r="A593" i="9" s="1"/>
  <c r="A594" i="9" s="1"/>
  <c r="A595" i="9" s="1"/>
  <c r="A596" i="9" s="1"/>
  <c r="A597" i="9" s="1"/>
  <c r="A598" i="9" s="1"/>
  <c r="A599" i="9" s="1"/>
  <c r="A600" i="9" s="1"/>
  <c r="A601" i="9" s="1"/>
  <c r="A602" i="9" s="1"/>
  <c r="A603" i="9" s="1"/>
  <c r="A604" i="9" s="1"/>
  <c r="A605" i="9" s="1"/>
  <c r="A606" i="9" s="1"/>
  <c r="A607" i="9" s="1"/>
  <c r="A608" i="9" s="1"/>
  <c r="A609" i="9" s="1"/>
  <c r="A610" i="9" s="1"/>
  <c r="A611" i="9" s="1"/>
  <c r="A612" i="9" s="1"/>
  <c r="A613" i="9" s="1"/>
  <c r="A614" i="9" s="1"/>
  <c r="A615" i="9" s="1"/>
  <c r="A616" i="9" s="1"/>
  <c r="A617" i="9" s="1"/>
  <c r="A618" i="9" s="1"/>
  <c r="A619" i="9" s="1"/>
  <c r="A620" i="9" s="1"/>
  <c r="A621" i="9" s="1"/>
  <c r="A622" i="9" s="1"/>
  <c r="A623" i="9" s="1"/>
  <c r="A624" i="9" s="1"/>
  <c r="A625" i="9" s="1"/>
  <c r="A626" i="9" s="1"/>
  <c r="A627" i="9" s="1"/>
  <c r="A628" i="9" s="1"/>
  <c r="A629" i="9" s="1"/>
  <c r="A630" i="9" s="1"/>
  <c r="A631" i="9" s="1"/>
  <c r="A632" i="9" s="1"/>
  <c r="A633" i="9" s="1"/>
  <c r="A634" i="9" s="1"/>
  <c r="A635" i="9" s="1"/>
  <c r="A636" i="9" s="1"/>
  <c r="A637" i="9" s="1"/>
  <c r="A638" i="9" s="1"/>
  <c r="A639" i="9" s="1"/>
  <c r="A640" i="9" s="1"/>
  <c r="A641" i="9" s="1"/>
  <c r="A642" i="9" s="1"/>
  <c r="A643" i="9" s="1"/>
  <c r="A644" i="9" s="1"/>
  <c r="A645" i="9" s="1"/>
  <c r="A646" i="9" s="1"/>
  <c r="A647" i="9" s="1"/>
  <c r="A648" i="9" s="1"/>
  <c r="A649" i="9" s="1"/>
  <c r="A650" i="9" s="1"/>
  <c r="A651" i="9" s="1"/>
  <c r="A652" i="9" s="1"/>
  <c r="A653" i="9" s="1"/>
  <c r="A654" i="9" s="1"/>
  <c r="A655" i="9" s="1"/>
  <c r="A656" i="9" s="1"/>
  <c r="A657" i="9" s="1"/>
  <c r="A658" i="9" s="1"/>
  <c r="A659" i="9" s="1"/>
  <c r="A660" i="9" s="1"/>
  <c r="A661" i="9" s="1"/>
  <c r="A662" i="9" s="1"/>
  <c r="A663" i="9" s="1"/>
  <c r="A664" i="9" s="1"/>
  <c r="A665" i="9" s="1"/>
  <c r="A666" i="9" s="1"/>
  <c r="A667" i="9" s="1"/>
  <c r="A668" i="9" s="1"/>
  <c r="A669" i="9" s="1"/>
  <c r="A670" i="9" s="1"/>
  <c r="A671" i="9" s="1"/>
  <c r="A672" i="9" s="1"/>
  <c r="A673" i="9" s="1"/>
  <c r="A674" i="9" s="1"/>
  <c r="A675" i="9" s="1"/>
  <c r="A676" i="9" s="1"/>
  <c r="A677" i="9" s="1"/>
  <c r="A678" i="9" s="1"/>
  <c r="A679" i="9" s="1"/>
  <c r="A680" i="9" s="1"/>
  <c r="A681" i="9" s="1"/>
  <c r="A682" i="9" s="1"/>
  <c r="A683" i="9" s="1"/>
  <c r="A684" i="9" s="1"/>
  <c r="A685" i="9" s="1"/>
  <c r="A686" i="9" s="1"/>
  <c r="A687" i="9" s="1"/>
  <c r="A688" i="9" s="1"/>
  <c r="A689" i="9" s="1"/>
  <c r="A690" i="9" s="1"/>
  <c r="A691" i="9" s="1"/>
  <c r="A692" i="9" s="1"/>
  <c r="A693" i="9" s="1"/>
  <c r="A694" i="9" s="1"/>
  <c r="A695" i="9" s="1"/>
  <c r="A696" i="9" s="1"/>
  <c r="A697" i="9" s="1"/>
  <c r="A698" i="9" s="1"/>
  <c r="A699" i="9" s="1"/>
  <c r="A700" i="9" s="1"/>
  <c r="A701" i="9" s="1"/>
  <c r="A702" i="9" s="1"/>
  <c r="A703" i="9" s="1"/>
  <c r="A704" i="9" s="1"/>
  <c r="A705" i="9" s="1"/>
  <c r="A706" i="9" s="1"/>
  <c r="A707" i="9" s="1"/>
  <c r="A708" i="9" s="1"/>
  <c r="A709" i="9" s="1"/>
  <c r="A710" i="9" s="1"/>
  <c r="A711" i="9" s="1"/>
  <c r="A712" i="9" s="1"/>
  <c r="A713" i="9" s="1"/>
  <c r="A714" i="9" s="1"/>
  <c r="A715" i="9" s="1"/>
  <c r="A716" i="9" s="1"/>
  <c r="A717" i="9" s="1"/>
  <c r="A718" i="9" s="1"/>
  <c r="A719" i="9" s="1"/>
  <c r="A720" i="9" s="1"/>
  <c r="A721" i="9" s="1"/>
  <c r="A722" i="9" s="1"/>
  <c r="A723" i="9" s="1"/>
  <c r="A724" i="9" s="1"/>
  <c r="A725" i="9" s="1"/>
  <c r="A726" i="9" s="1"/>
  <c r="A727" i="9" s="1"/>
  <c r="A728" i="9" s="1"/>
  <c r="A729" i="9" s="1"/>
  <c r="A730" i="9" s="1"/>
  <c r="A731" i="9" s="1"/>
  <c r="A732" i="9" s="1"/>
  <c r="A733" i="9" s="1"/>
  <c r="A734" i="9" s="1"/>
  <c r="A735" i="9" s="1"/>
  <c r="A736" i="9" s="1"/>
  <c r="A737" i="9" s="1"/>
  <c r="A738" i="9" s="1"/>
  <c r="A739" i="9" s="1"/>
  <c r="A740" i="9" s="1"/>
  <c r="A741" i="9" s="1"/>
  <c r="A742" i="9" s="1"/>
  <c r="A743" i="9" s="1"/>
  <c r="A744" i="9" s="1"/>
  <c r="A745" i="9" s="1"/>
  <c r="A746" i="9" s="1"/>
  <c r="A747" i="9" s="1"/>
  <c r="A748" i="9" s="1"/>
  <c r="A749" i="9" s="1"/>
  <c r="A750" i="9" s="1"/>
  <c r="A751" i="9" s="1"/>
  <c r="A752" i="9" s="1"/>
  <c r="A753" i="9" s="1"/>
  <c r="A754" i="9" s="1"/>
  <c r="A755" i="9" s="1"/>
  <c r="A756" i="9" s="1"/>
  <c r="A757" i="9" s="1"/>
  <c r="A758" i="9" s="1"/>
  <c r="A759" i="9" s="1"/>
  <c r="A760" i="9" s="1"/>
  <c r="A761" i="9" s="1"/>
  <c r="A762" i="9" s="1"/>
  <c r="A763" i="9" s="1"/>
  <c r="A764" i="9" s="1"/>
  <c r="A765" i="9" s="1"/>
  <c r="A766" i="9" s="1"/>
  <c r="A767" i="9" s="1"/>
  <c r="A768" i="9" s="1"/>
  <c r="A769" i="9" s="1"/>
  <c r="A770" i="9" s="1"/>
  <c r="A771" i="9" s="1"/>
  <c r="A772" i="9" s="1"/>
  <c r="A773" i="9" s="1"/>
  <c r="A774" i="9" s="1"/>
  <c r="A775" i="9" s="1"/>
  <c r="A776" i="9" s="1"/>
  <c r="A777" i="9" s="1"/>
  <c r="A778" i="9" s="1"/>
  <c r="A779" i="9" s="1"/>
  <c r="A780" i="9" s="1"/>
  <c r="A781" i="9" s="1"/>
  <c r="A782" i="9" s="1"/>
  <c r="A783" i="9" s="1"/>
  <c r="A784" i="9" s="1"/>
  <c r="A785" i="9" s="1"/>
  <c r="A786" i="9" s="1"/>
  <c r="D1" i="9"/>
  <c r="H317" i="10"/>
  <c r="G318" i="10"/>
  <c r="R319" i="9"/>
  <c r="G319" i="10" l="1"/>
  <c r="H318" i="10"/>
  <c r="R320" i="9"/>
  <c r="G320" i="10" l="1"/>
  <c r="H319" i="10"/>
  <c r="P321" i="9"/>
  <c r="O321" i="9" s="1"/>
  <c r="R321" i="9"/>
  <c r="G321" i="10" l="1"/>
  <c r="H320" i="10"/>
  <c r="R322" i="9"/>
  <c r="H321" i="10" l="1"/>
  <c r="G322" i="10"/>
  <c r="R323" i="9"/>
  <c r="G323" i="10" l="1"/>
  <c r="H322" i="10"/>
  <c r="R324" i="9"/>
  <c r="G324" i="10" l="1"/>
  <c r="H323" i="10"/>
  <c r="R325" i="9"/>
  <c r="G325" i="10" l="1"/>
  <c r="H324" i="10"/>
  <c r="P326" i="9"/>
  <c r="O326" i="9" s="1"/>
  <c r="R326" i="9"/>
  <c r="H325" i="10" l="1"/>
  <c r="G326" i="10"/>
  <c r="R327" i="9"/>
  <c r="G327" i="10" l="1"/>
  <c r="H326" i="10"/>
  <c r="R328" i="9"/>
  <c r="G328" i="10" l="1"/>
  <c r="H327" i="10"/>
  <c r="R329" i="9"/>
  <c r="G329" i="10" l="1"/>
  <c r="H328" i="10"/>
  <c r="R330" i="9"/>
  <c r="H329" i="10" l="1"/>
  <c r="G330" i="10"/>
  <c r="R331" i="9"/>
  <c r="P331" i="9"/>
  <c r="O331" i="9" s="1"/>
  <c r="G331" i="10" l="1"/>
  <c r="H330" i="10"/>
  <c r="R332" i="9"/>
  <c r="G332" i="10" l="1"/>
  <c r="H331" i="10"/>
  <c r="R333" i="9"/>
  <c r="H332" i="10" l="1"/>
  <c r="G333" i="10"/>
  <c r="R334" i="9"/>
  <c r="H333" i="10" l="1"/>
  <c r="G334" i="10"/>
  <c r="R335" i="9"/>
  <c r="G335" i="10" l="1"/>
  <c r="H334" i="10"/>
  <c r="P336" i="9"/>
  <c r="O336" i="9" s="1"/>
  <c r="R336" i="9"/>
  <c r="G336" i="10" l="1"/>
  <c r="H335" i="10"/>
  <c r="R337" i="9"/>
  <c r="G337" i="10" l="1"/>
  <c r="H336" i="10"/>
  <c r="R338" i="9"/>
  <c r="G338" i="10" l="1"/>
  <c r="H337" i="10"/>
  <c r="R339" i="9"/>
  <c r="G339" i="10" l="1"/>
  <c r="H338" i="10"/>
  <c r="R340" i="9"/>
  <c r="H339" i="10" l="1"/>
  <c r="G340" i="10"/>
  <c r="P341" i="9"/>
  <c r="O341" i="9" s="1"/>
  <c r="R341" i="9"/>
  <c r="G341" i="10" l="1"/>
  <c r="H340" i="10"/>
  <c r="R342" i="9"/>
  <c r="H341" i="10" l="1"/>
  <c r="G342" i="10"/>
  <c r="R343" i="9"/>
  <c r="G343" i="10" l="1"/>
  <c r="H342" i="10"/>
  <c r="R344" i="9"/>
  <c r="G344" i="10" l="1"/>
  <c r="H343" i="10"/>
  <c r="R345" i="9"/>
  <c r="G345" i="10" l="1"/>
  <c r="H344" i="10"/>
  <c r="R346" i="9"/>
  <c r="P346" i="9"/>
  <c r="O346" i="9" s="1"/>
  <c r="G346" i="10" l="1"/>
  <c r="H345" i="10"/>
  <c r="R347" i="9"/>
  <c r="G347" i="10" l="1"/>
  <c r="H346" i="10"/>
  <c r="R348" i="9"/>
  <c r="H347" i="10" l="1"/>
  <c r="G348" i="10"/>
  <c r="R349" i="9"/>
  <c r="G349" i="10" l="1"/>
  <c r="H348" i="10"/>
  <c r="R350" i="9"/>
  <c r="H349" i="10" l="1"/>
  <c r="G350" i="10"/>
  <c r="R351" i="9"/>
  <c r="P351" i="9"/>
  <c r="O351" i="9" s="1"/>
  <c r="G351" i="10" l="1"/>
  <c r="H350" i="10"/>
  <c r="R352" i="9"/>
  <c r="G352" i="10" l="1"/>
  <c r="H351" i="10"/>
  <c r="R353" i="9"/>
  <c r="G353" i="10" l="1"/>
  <c r="H352" i="10"/>
  <c r="R354" i="9"/>
  <c r="H353" i="10" l="1"/>
  <c r="G354" i="10"/>
  <c r="R355" i="9"/>
  <c r="G355" i="10" l="1"/>
  <c r="H354" i="10"/>
  <c r="P356" i="9"/>
  <c r="O356" i="9" s="1"/>
  <c r="R356" i="9"/>
  <c r="H355" i="10" l="1"/>
  <c r="G356" i="10"/>
  <c r="R357" i="9"/>
  <c r="G357" i="10" l="1"/>
  <c r="H356" i="10"/>
  <c r="R358" i="9"/>
  <c r="H357" i="10" l="1"/>
  <c r="G358" i="10"/>
  <c r="R359" i="9"/>
  <c r="G359" i="10" l="1"/>
  <c r="H358" i="10"/>
  <c r="R360" i="9"/>
  <c r="G360" i="10" l="1"/>
  <c r="H359" i="10"/>
  <c r="R361" i="9"/>
  <c r="P361" i="9"/>
  <c r="O361" i="9" s="1"/>
  <c r="G361" i="10" l="1"/>
  <c r="H360" i="10"/>
  <c r="R362" i="9"/>
  <c r="H361" i="10" l="1"/>
  <c r="G362" i="10"/>
  <c r="R363" i="9"/>
  <c r="G363" i="10" l="1"/>
  <c r="H362" i="10"/>
  <c r="R364" i="9"/>
  <c r="G364" i="10" l="1"/>
  <c r="H363" i="10"/>
  <c r="R365" i="9"/>
  <c r="G365" i="10" l="1"/>
  <c r="H364" i="10"/>
  <c r="P366" i="9"/>
  <c r="O366" i="9" s="1"/>
  <c r="R366" i="9"/>
  <c r="H365" i="10" l="1"/>
  <c r="G366" i="10"/>
  <c r="R367" i="9"/>
  <c r="G367" i="10" l="1"/>
  <c r="H366" i="10"/>
  <c r="R368" i="9"/>
  <c r="G368" i="10" l="1"/>
  <c r="H367" i="10"/>
  <c r="R369" i="9"/>
  <c r="G369" i="10" l="1"/>
  <c r="H368" i="10"/>
  <c r="R370" i="9"/>
  <c r="H369" i="10" l="1"/>
  <c r="G370" i="10"/>
  <c r="P371" i="9"/>
  <c r="O371" i="9" s="1"/>
  <c r="R371" i="9"/>
  <c r="G371" i="10" l="1"/>
  <c r="H370" i="10"/>
  <c r="R372" i="9"/>
  <c r="G372" i="10" l="1"/>
  <c r="H371" i="10"/>
  <c r="R373" i="9"/>
  <c r="G373" i="10" l="1"/>
  <c r="H372" i="10"/>
  <c r="R374" i="9"/>
  <c r="H373" i="10" l="1"/>
  <c r="G374" i="10"/>
  <c r="R375" i="9"/>
  <c r="G375" i="10" l="1"/>
  <c r="H374" i="10"/>
  <c r="P376" i="9"/>
  <c r="O376" i="9" s="1"/>
  <c r="R376" i="9"/>
  <c r="G376" i="10" l="1"/>
  <c r="H375" i="10"/>
  <c r="R377" i="9"/>
  <c r="G377" i="10" l="1"/>
  <c r="H376" i="10"/>
  <c r="R378" i="9"/>
  <c r="G378" i="10" l="1"/>
  <c r="H377" i="10"/>
  <c r="R379" i="9"/>
  <c r="G379" i="10" l="1"/>
  <c r="H378" i="10"/>
  <c r="R380" i="9"/>
  <c r="H379" i="10" l="1"/>
  <c r="G380" i="10"/>
  <c r="P381" i="9"/>
  <c r="O381" i="9" s="1"/>
  <c r="R381" i="9"/>
  <c r="G381" i="10" l="1"/>
  <c r="H380" i="10"/>
  <c r="R382" i="9"/>
  <c r="H381" i="10" l="1"/>
  <c r="G382" i="10"/>
  <c r="R383" i="9"/>
  <c r="G383" i="10" l="1"/>
  <c r="H382" i="10"/>
  <c r="R384" i="9"/>
  <c r="G384" i="10" l="1"/>
  <c r="H383" i="10"/>
  <c r="R385" i="9"/>
  <c r="G385" i="10" l="1"/>
  <c r="H384" i="10"/>
  <c r="R386" i="9"/>
  <c r="P386" i="9"/>
  <c r="O386" i="9" s="1"/>
  <c r="H385" i="10" l="1"/>
  <c r="G386" i="10"/>
  <c r="R387" i="9"/>
  <c r="G387" i="10" l="1"/>
  <c r="H386" i="10"/>
  <c r="R388" i="9"/>
  <c r="G388" i="10" l="1"/>
  <c r="H387" i="10"/>
  <c r="R389" i="9"/>
  <c r="G389" i="10" l="1"/>
  <c r="H388" i="10"/>
  <c r="R390" i="9"/>
  <c r="H389" i="10" l="1"/>
  <c r="G390" i="10"/>
  <c r="P391" i="9"/>
  <c r="O391" i="9" s="1"/>
  <c r="R391" i="9"/>
  <c r="G391" i="10" l="1"/>
  <c r="H390" i="10"/>
  <c r="R392" i="9"/>
  <c r="G392" i="10" l="1"/>
  <c r="H391" i="10"/>
  <c r="R393" i="9"/>
  <c r="G393" i="10" l="1"/>
  <c r="H392" i="10"/>
  <c r="R394" i="9"/>
  <c r="H393" i="10" l="1"/>
  <c r="G394" i="10"/>
  <c r="R395" i="9"/>
  <c r="G395" i="10" l="1"/>
  <c r="H394" i="10"/>
  <c r="P396" i="9"/>
  <c r="O396" i="9" s="1"/>
  <c r="R396" i="9"/>
  <c r="G396" i="10" l="1"/>
  <c r="H395" i="10"/>
  <c r="R397" i="9"/>
  <c r="G397" i="10" l="1"/>
  <c r="H396" i="10"/>
  <c r="R398" i="9"/>
  <c r="H397" i="10" l="1"/>
  <c r="G398" i="10"/>
  <c r="R399" i="9"/>
  <c r="G399" i="10" l="1"/>
  <c r="H398" i="10"/>
  <c r="R400" i="9"/>
  <c r="G400" i="10" l="1"/>
  <c r="H399" i="10"/>
  <c r="P401" i="9"/>
  <c r="O401" i="9" s="1"/>
  <c r="R401" i="9"/>
  <c r="G401" i="10" l="1"/>
  <c r="H400" i="10"/>
  <c r="R402" i="9"/>
  <c r="G402" i="10" l="1"/>
  <c r="H401" i="10"/>
  <c r="R403" i="9"/>
  <c r="G403" i="10" l="1"/>
  <c r="H402" i="10"/>
  <c r="R404" i="9"/>
  <c r="H403" i="10" l="1"/>
  <c r="G404" i="10"/>
  <c r="R405" i="9"/>
  <c r="G405" i="10" l="1"/>
  <c r="H404" i="10"/>
  <c r="P406" i="9"/>
  <c r="O406" i="9" s="1"/>
  <c r="R406" i="9"/>
  <c r="H405" i="10" l="1"/>
  <c r="G406" i="10"/>
  <c r="R407" i="9"/>
  <c r="G407" i="10" l="1"/>
  <c r="H406" i="10"/>
  <c r="R408" i="9"/>
  <c r="G408" i="10" l="1"/>
  <c r="H407" i="10"/>
  <c r="R409" i="9"/>
  <c r="G409" i="10" l="1"/>
  <c r="H408" i="10"/>
  <c r="R410" i="9"/>
  <c r="G410" i="10" l="1"/>
  <c r="H409" i="10"/>
  <c r="P411" i="9"/>
  <c r="O411" i="9" s="1"/>
  <c r="R411" i="9"/>
  <c r="G411" i="10" l="1"/>
  <c r="H410" i="10"/>
  <c r="R412" i="9"/>
  <c r="H411" i="10" l="1"/>
  <c r="G412" i="10"/>
  <c r="R413" i="9"/>
  <c r="G413" i="10" l="1"/>
  <c r="H412" i="10"/>
  <c r="R414" i="9"/>
  <c r="H413" i="10" l="1"/>
  <c r="G414" i="10"/>
  <c r="R415" i="9"/>
  <c r="G415" i="10" l="1"/>
  <c r="H414" i="10"/>
  <c r="R416" i="9"/>
  <c r="P416" i="9"/>
  <c r="O416" i="9" s="1"/>
  <c r="G416" i="10" l="1"/>
  <c r="H415" i="10"/>
  <c r="R417" i="9"/>
  <c r="G417" i="10" l="1"/>
  <c r="H416" i="10"/>
  <c r="R418" i="9"/>
  <c r="H417" i="10" l="1"/>
  <c r="G418" i="10"/>
  <c r="R419" i="9"/>
  <c r="G419" i="10" l="1"/>
  <c r="H418" i="10"/>
  <c r="R420" i="9"/>
  <c r="H419" i="10" l="1"/>
  <c r="G420" i="10"/>
  <c r="P421" i="9"/>
  <c r="O421" i="9" s="1"/>
  <c r="R421" i="9"/>
  <c r="G421" i="10" l="1"/>
  <c r="H420" i="10"/>
  <c r="R422" i="9"/>
  <c r="H421" i="10" l="1"/>
  <c r="G422" i="10"/>
  <c r="R423" i="9"/>
  <c r="G423" i="10" l="1"/>
  <c r="H422" i="10"/>
  <c r="R424" i="9"/>
  <c r="G424" i="10" l="1"/>
  <c r="H423" i="10"/>
  <c r="R425" i="9"/>
  <c r="G425" i="10" l="1"/>
  <c r="H424" i="10"/>
  <c r="R426" i="9"/>
  <c r="P426" i="9"/>
  <c r="O426" i="9" s="1"/>
  <c r="H425" i="10" l="1"/>
  <c r="G426" i="10"/>
  <c r="R427" i="9"/>
  <c r="G427" i="10" l="1"/>
  <c r="H426" i="10"/>
  <c r="R428" i="9"/>
  <c r="G428" i="10" l="1"/>
  <c r="H427" i="10"/>
  <c r="R429" i="9"/>
  <c r="G429" i="10" l="1"/>
  <c r="H428" i="10"/>
  <c r="R430" i="9"/>
  <c r="H429" i="10" l="1"/>
  <c r="G430" i="10"/>
  <c r="P431" i="9"/>
  <c r="O431" i="9" s="1"/>
  <c r="R431" i="9"/>
  <c r="G431" i="10" l="1"/>
  <c r="H430" i="10"/>
  <c r="R432" i="9"/>
  <c r="G432" i="10" l="1"/>
  <c r="H431" i="10"/>
  <c r="R433" i="9"/>
  <c r="G433" i="10" l="1"/>
  <c r="H432" i="10"/>
  <c r="R434" i="9"/>
  <c r="H433" i="10" l="1"/>
  <c r="G434" i="10"/>
  <c r="R435" i="9"/>
  <c r="G435" i="10" l="1"/>
  <c r="H434" i="10"/>
  <c r="P436" i="9"/>
  <c r="O436" i="9" s="1"/>
  <c r="R436" i="9"/>
  <c r="H435" i="10" l="1"/>
  <c r="G436" i="10"/>
  <c r="R437" i="9"/>
  <c r="G437" i="10" l="1"/>
  <c r="H436" i="10"/>
  <c r="R438" i="9"/>
  <c r="H437" i="10" l="1"/>
  <c r="G438" i="10"/>
  <c r="R439" i="9"/>
  <c r="G439" i="10" l="1"/>
  <c r="H438" i="10"/>
  <c r="R440" i="9"/>
  <c r="G440" i="10" l="1"/>
  <c r="H439" i="10"/>
  <c r="P441" i="9"/>
  <c r="O441" i="9" s="1"/>
  <c r="R441" i="9"/>
  <c r="G441" i="10" l="1"/>
  <c r="H440" i="10"/>
  <c r="R442" i="9"/>
  <c r="G442" i="10" l="1"/>
  <c r="H441" i="10"/>
  <c r="R443" i="9"/>
  <c r="G443" i="10" l="1"/>
  <c r="H442" i="10"/>
  <c r="R444" i="9"/>
  <c r="H443" i="10" l="1"/>
  <c r="G444" i="10"/>
  <c r="R445" i="9"/>
  <c r="G445" i="10" l="1"/>
  <c r="H444" i="10"/>
  <c r="P446" i="9"/>
  <c r="O446" i="9" s="1"/>
  <c r="R446" i="9"/>
  <c r="H445" i="10" l="1"/>
  <c r="G446" i="10"/>
  <c r="R447" i="9"/>
  <c r="H446" i="10" l="1"/>
  <c r="G447" i="10"/>
  <c r="R448" i="9"/>
  <c r="G448" i="10" l="1"/>
  <c r="H447" i="10"/>
  <c r="R449" i="9"/>
  <c r="G449" i="10" l="1"/>
  <c r="H448" i="10"/>
  <c r="R450" i="9"/>
  <c r="H449" i="10" l="1"/>
  <c r="G450" i="10"/>
  <c r="R451" i="9"/>
  <c r="P451" i="9"/>
  <c r="O451" i="9" s="1"/>
  <c r="G451" i="10" l="1"/>
  <c r="H450" i="10"/>
  <c r="R452" i="9"/>
  <c r="G452" i="10" l="1"/>
  <c r="H451" i="10"/>
  <c r="R453" i="9"/>
  <c r="G453" i="10" l="1"/>
  <c r="H452" i="10"/>
  <c r="R454" i="9"/>
  <c r="H453" i="10" l="1"/>
  <c r="G454" i="10"/>
  <c r="R455" i="9"/>
  <c r="G455" i="10" l="1"/>
  <c r="H454" i="10"/>
  <c r="P456" i="9"/>
  <c r="O456" i="9" s="1"/>
  <c r="R456" i="9"/>
  <c r="G456" i="10" l="1"/>
  <c r="H455" i="10"/>
  <c r="R457" i="9"/>
  <c r="H456" i="10" l="1"/>
  <c r="G457" i="10"/>
  <c r="R458" i="9"/>
  <c r="G458" i="10" l="1"/>
  <c r="H457" i="10"/>
  <c r="R459" i="9"/>
  <c r="G459" i="10" l="1"/>
  <c r="H458" i="10"/>
  <c r="R460" i="9"/>
  <c r="G460" i="10" l="1"/>
  <c r="H459" i="10"/>
  <c r="P461" i="9"/>
  <c r="O461" i="9" s="1"/>
  <c r="R461" i="9"/>
  <c r="H460" i="10" l="1"/>
  <c r="G461" i="10"/>
  <c r="R462" i="9"/>
  <c r="G462" i="10" l="1"/>
  <c r="H461" i="10"/>
  <c r="R463" i="9"/>
  <c r="H462" i="10" l="1"/>
  <c r="G463" i="10"/>
  <c r="R464" i="9"/>
  <c r="G464" i="10" l="1"/>
  <c r="H463" i="10"/>
  <c r="R465" i="9"/>
  <c r="G465" i="10" l="1"/>
  <c r="H464" i="10"/>
  <c r="P466" i="9"/>
  <c r="O466" i="9" s="1"/>
  <c r="R466" i="9"/>
  <c r="G466" i="10" l="1"/>
  <c r="H465" i="10"/>
  <c r="R467" i="9"/>
  <c r="G467" i="10" l="1"/>
  <c r="H466" i="10"/>
  <c r="R468" i="9"/>
  <c r="G468" i="10" l="1"/>
  <c r="H467" i="10"/>
  <c r="R469" i="9"/>
  <c r="H468" i="10" l="1"/>
  <c r="G469" i="10"/>
  <c r="R470" i="9"/>
  <c r="G470" i="10" l="1"/>
  <c r="H469" i="10"/>
  <c r="R471" i="9"/>
  <c r="P471" i="9"/>
  <c r="O471" i="9" s="1"/>
  <c r="H470" i="10" l="1"/>
  <c r="G471" i="10"/>
  <c r="R472" i="9"/>
  <c r="G472" i="10" l="1"/>
  <c r="H471" i="10"/>
  <c r="R473" i="9"/>
  <c r="G473" i="10" l="1"/>
  <c r="H472" i="10"/>
  <c r="R474" i="9"/>
  <c r="G474" i="10" l="1"/>
  <c r="H473" i="10"/>
  <c r="R475" i="9"/>
  <c r="H474" i="10" l="1"/>
  <c r="G475" i="10"/>
  <c r="R476" i="9"/>
  <c r="P476" i="9"/>
  <c r="O476" i="9" s="1"/>
  <c r="G476" i="10" l="1"/>
  <c r="H475" i="10"/>
  <c r="R477" i="9"/>
  <c r="G477" i="10" l="1"/>
  <c r="H476" i="10"/>
  <c r="R478" i="9"/>
  <c r="G478" i="10" l="1"/>
  <c r="H477" i="10"/>
  <c r="R479" i="9"/>
  <c r="H478" i="10" l="1"/>
  <c r="G479" i="10"/>
  <c r="R480" i="9"/>
  <c r="G480" i="10" l="1"/>
  <c r="H479" i="10"/>
  <c r="R481" i="9"/>
  <c r="P481" i="9"/>
  <c r="O481" i="9" s="1"/>
  <c r="G481" i="10" l="1"/>
  <c r="H480" i="10"/>
  <c r="R482" i="9"/>
  <c r="G482" i="10" l="1"/>
  <c r="H481" i="10"/>
  <c r="R483" i="9"/>
  <c r="H482" i="10" l="1"/>
  <c r="G483" i="10"/>
  <c r="R484" i="9"/>
  <c r="G484" i="10" l="1"/>
  <c r="H483" i="10"/>
  <c r="R485" i="9"/>
  <c r="G485" i="10" l="1"/>
  <c r="H484" i="10"/>
  <c r="P486" i="9"/>
  <c r="O486" i="9" s="1"/>
  <c r="R486" i="9"/>
  <c r="G486" i="10" l="1"/>
  <c r="H485" i="10"/>
  <c r="R487" i="9"/>
  <c r="H486" i="10" l="1"/>
  <c r="G487" i="10"/>
  <c r="R488" i="9"/>
  <c r="G488" i="10" l="1"/>
  <c r="H487" i="10"/>
  <c r="R489" i="9"/>
  <c r="G489" i="10" l="1"/>
  <c r="H488" i="10"/>
  <c r="R490" i="9"/>
  <c r="G490" i="10" l="1"/>
  <c r="H489" i="10"/>
  <c r="P491" i="9"/>
  <c r="O491" i="9" s="1"/>
  <c r="R491" i="9"/>
  <c r="G491" i="10" l="1"/>
  <c r="H490" i="10"/>
  <c r="R492" i="9"/>
  <c r="G492" i="10" l="1"/>
  <c r="H491" i="10"/>
  <c r="R493" i="9"/>
  <c r="H492" i="10" l="1"/>
  <c r="G493" i="10"/>
  <c r="R494" i="9"/>
  <c r="G494" i="10" l="1"/>
  <c r="H493" i="10"/>
  <c r="R495" i="9"/>
  <c r="H494" i="10" l="1"/>
  <c r="G495" i="10"/>
  <c r="P496" i="9"/>
  <c r="O496" i="9" s="1"/>
  <c r="R496" i="9"/>
  <c r="G496" i="10" l="1"/>
  <c r="H495" i="10"/>
  <c r="R497" i="9"/>
  <c r="G497" i="10" l="1"/>
  <c r="H496" i="10"/>
  <c r="R498" i="9"/>
  <c r="G498" i="10" l="1"/>
  <c r="H497" i="10"/>
  <c r="R499" i="9"/>
  <c r="G499" i="10" l="1"/>
  <c r="H498" i="10"/>
  <c r="R500" i="9"/>
  <c r="G500" i="10" l="1"/>
  <c r="H499" i="10"/>
  <c r="R501" i="9"/>
  <c r="P501" i="9"/>
  <c r="O501" i="9" s="1"/>
  <c r="H500" i="10" l="1"/>
  <c r="G501" i="10"/>
  <c r="R502" i="9"/>
  <c r="G502" i="10" l="1"/>
  <c r="H501" i="10"/>
  <c r="R503" i="9"/>
  <c r="H502" i="10" l="1"/>
  <c r="G503" i="10"/>
  <c r="R504" i="9"/>
  <c r="G504" i="10" l="1"/>
  <c r="H503" i="10"/>
  <c r="R505" i="9"/>
  <c r="G505" i="10" l="1"/>
  <c r="H504" i="10"/>
  <c r="R506" i="9"/>
  <c r="P506" i="9"/>
  <c r="O506" i="9" s="1"/>
  <c r="G506" i="10" l="1"/>
  <c r="H505" i="10"/>
  <c r="R507" i="9"/>
  <c r="H506" i="10" l="1"/>
  <c r="G507" i="10"/>
  <c r="R508" i="9"/>
  <c r="G508" i="10" l="1"/>
  <c r="H507" i="10"/>
  <c r="R509" i="9"/>
  <c r="G509" i="10" l="1"/>
  <c r="H508" i="10"/>
  <c r="R510" i="9"/>
  <c r="G510" i="10" l="1"/>
  <c r="H509" i="10"/>
  <c r="P511" i="9"/>
  <c r="O511" i="9" s="1"/>
  <c r="R511" i="9"/>
  <c r="H510" i="10" l="1"/>
  <c r="G511" i="10"/>
  <c r="R512" i="9"/>
  <c r="G512" i="10" l="1"/>
  <c r="H511" i="10"/>
  <c r="R513" i="9"/>
  <c r="G513" i="10" l="1"/>
  <c r="H512" i="10"/>
  <c r="R514" i="9"/>
  <c r="G514" i="10" l="1"/>
  <c r="H513" i="10"/>
  <c r="R515" i="9"/>
  <c r="H514" i="10" l="1"/>
  <c r="G515" i="10"/>
  <c r="P516" i="9"/>
  <c r="O516" i="9" s="1"/>
  <c r="R516" i="9"/>
  <c r="G516" i="10" l="1"/>
  <c r="H515" i="10"/>
  <c r="R517" i="9"/>
  <c r="G517" i="10" l="1"/>
  <c r="H516" i="10"/>
  <c r="R518" i="9"/>
  <c r="G518" i="10" l="1"/>
  <c r="H517" i="10"/>
  <c r="R519" i="9"/>
  <c r="H518" i="10" l="1"/>
  <c r="G519" i="10"/>
  <c r="R520" i="9"/>
  <c r="G520" i="10" l="1"/>
  <c r="H519" i="10"/>
  <c r="P521" i="9"/>
  <c r="O521" i="9" s="1"/>
  <c r="R521" i="9"/>
  <c r="G521" i="10" l="1"/>
  <c r="H520" i="10"/>
  <c r="R522" i="9"/>
  <c r="G522" i="10" l="1"/>
  <c r="H521" i="10"/>
  <c r="R523" i="9"/>
  <c r="G523" i="10" l="1"/>
  <c r="H522" i="10"/>
  <c r="R524" i="9"/>
  <c r="G524" i="10" l="1"/>
  <c r="H523" i="10"/>
  <c r="R525" i="9"/>
  <c r="H524" i="10" l="1"/>
  <c r="G525" i="10"/>
  <c r="P526" i="9"/>
  <c r="O526" i="9" s="1"/>
  <c r="R526" i="9"/>
  <c r="G526" i="10" l="1"/>
  <c r="H525" i="10"/>
  <c r="R527" i="9"/>
  <c r="H526" i="10" l="1"/>
  <c r="G527" i="10"/>
  <c r="R528" i="9"/>
  <c r="G528" i="10" l="1"/>
  <c r="H527" i="10"/>
  <c r="R529" i="9"/>
  <c r="G529" i="10" l="1"/>
  <c r="H528" i="10"/>
  <c r="R530" i="9"/>
  <c r="G530" i="10" l="1"/>
  <c r="H529" i="10"/>
  <c r="R531" i="9"/>
  <c r="P531" i="9"/>
  <c r="O531" i="9" s="1"/>
  <c r="G531" i="10" l="1"/>
  <c r="H530" i="10"/>
  <c r="R532" i="9"/>
  <c r="G532" i="10" l="1"/>
  <c r="H531" i="10"/>
  <c r="R533" i="9"/>
  <c r="H532" i="10" l="1"/>
  <c r="G533" i="10"/>
  <c r="R534" i="9"/>
  <c r="G534" i="10" l="1"/>
  <c r="H533" i="10"/>
  <c r="R535" i="9"/>
  <c r="H534" i="10" l="1"/>
  <c r="G535" i="10"/>
  <c r="P536" i="9"/>
  <c r="O536" i="9" s="1"/>
  <c r="R536" i="9"/>
  <c r="G536" i="10" l="1"/>
  <c r="H535" i="10"/>
  <c r="R537" i="9"/>
  <c r="G537" i="10" l="1"/>
  <c r="H536" i="10"/>
  <c r="R538" i="9"/>
  <c r="G538" i="10" l="1"/>
  <c r="H537" i="10"/>
  <c r="R539" i="9"/>
  <c r="H538" i="10" l="1"/>
  <c r="G539" i="10"/>
  <c r="R540" i="9"/>
  <c r="G540" i="10" l="1"/>
  <c r="H539" i="10"/>
  <c r="P541" i="9"/>
  <c r="O541" i="9" s="1"/>
  <c r="R541" i="9"/>
  <c r="G541" i="10" l="1"/>
  <c r="H540" i="10"/>
  <c r="R542" i="9"/>
  <c r="G542" i="10" l="1"/>
  <c r="H541" i="10"/>
  <c r="R543" i="9"/>
  <c r="H542" i="10" l="1"/>
  <c r="G543" i="10"/>
  <c r="R544" i="9"/>
  <c r="G544" i="10" l="1"/>
  <c r="H543" i="10"/>
  <c r="R545" i="9"/>
  <c r="G545" i="10" l="1"/>
  <c r="H544" i="10"/>
  <c r="P546" i="9"/>
  <c r="O546" i="9" s="1"/>
  <c r="R546" i="9"/>
  <c r="G546" i="10" l="1"/>
  <c r="H545" i="10"/>
  <c r="R547" i="9"/>
  <c r="H546" i="10" l="1"/>
  <c r="G547" i="10"/>
  <c r="R548" i="9"/>
  <c r="G548" i="10" l="1"/>
  <c r="H547" i="10"/>
  <c r="R549" i="9"/>
  <c r="G549" i="10" l="1"/>
  <c r="H548" i="10"/>
  <c r="R550" i="9"/>
  <c r="G550" i="10" l="1"/>
  <c r="H549" i="10"/>
  <c r="P551" i="9"/>
  <c r="O551" i="9" s="1"/>
  <c r="R551" i="9"/>
  <c r="H550" i="10" l="1"/>
  <c r="G551" i="10"/>
  <c r="R552" i="9"/>
  <c r="G552" i="10" l="1"/>
  <c r="H551" i="10"/>
  <c r="R553" i="9"/>
  <c r="G553" i="10" l="1"/>
  <c r="H552" i="10"/>
  <c r="R554" i="9"/>
  <c r="G554" i="10" l="1"/>
  <c r="H553" i="10"/>
  <c r="R555" i="9"/>
  <c r="G555" i="10" l="1"/>
  <c r="H554" i="10"/>
  <c r="P556" i="9"/>
  <c r="O556" i="9" s="1"/>
  <c r="R556" i="9"/>
  <c r="G556" i="10" l="1"/>
  <c r="H555" i="10"/>
  <c r="R557" i="9"/>
  <c r="H556" i="10" l="1"/>
  <c r="G557" i="10"/>
  <c r="R558" i="9"/>
  <c r="G558" i="10" l="1"/>
  <c r="H557" i="10"/>
  <c r="R559" i="9"/>
  <c r="H558" i="10" l="1"/>
  <c r="G559" i="10"/>
  <c r="R560" i="9"/>
  <c r="G560" i="10" l="1"/>
  <c r="H559" i="10"/>
  <c r="P561" i="9"/>
  <c r="O561" i="9" s="1"/>
  <c r="R561" i="9"/>
  <c r="G561" i="10" l="1"/>
  <c r="H560" i="10"/>
  <c r="R562" i="9"/>
  <c r="G562" i="10" l="1"/>
  <c r="H561" i="10"/>
  <c r="R563" i="9"/>
  <c r="G563" i="10" l="1"/>
  <c r="H562" i="10"/>
  <c r="R564" i="9"/>
  <c r="G564" i="10" l="1"/>
  <c r="H563" i="10"/>
  <c r="R565" i="9"/>
  <c r="H564" i="10" l="1"/>
  <c r="G565" i="10"/>
  <c r="P566" i="9"/>
  <c r="O566" i="9" s="1"/>
  <c r="R566" i="9"/>
  <c r="G566" i="10" l="1"/>
  <c r="H565" i="10"/>
  <c r="R567" i="9"/>
  <c r="H566" i="10" l="1"/>
  <c r="G567" i="10"/>
  <c r="R568" i="9"/>
  <c r="G568" i="10" l="1"/>
  <c r="H567" i="10"/>
  <c r="R569" i="9"/>
  <c r="G569" i="10" l="1"/>
  <c r="H568" i="10"/>
  <c r="R570" i="9"/>
  <c r="G570" i="10" l="1"/>
  <c r="H569" i="10"/>
  <c r="P571" i="9"/>
  <c r="O571" i="9" s="1"/>
  <c r="R571" i="9"/>
  <c r="H570" i="10" l="1"/>
  <c r="G571" i="10"/>
  <c r="R572" i="9"/>
  <c r="G572" i="10" l="1"/>
  <c r="H571" i="10"/>
  <c r="R573" i="9"/>
  <c r="G573" i="10" l="1"/>
  <c r="H572" i="10"/>
  <c r="R574" i="9"/>
  <c r="G574" i="10" l="1"/>
  <c r="H573" i="10"/>
  <c r="R575" i="9"/>
  <c r="H574" i="10" l="1"/>
  <c r="G575" i="10"/>
  <c r="P576" i="9"/>
  <c r="O576" i="9" s="1"/>
  <c r="R576" i="9"/>
  <c r="G576" i="10" l="1"/>
  <c r="H575" i="10"/>
  <c r="R577" i="9"/>
  <c r="G577" i="10" l="1"/>
  <c r="H576" i="10"/>
  <c r="R578" i="9"/>
  <c r="G578" i="10" l="1"/>
  <c r="H577" i="10"/>
  <c r="R579" i="9"/>
  <c r="H578" i="10" l="1"/>
  <c r="G579" i="10"/>
  <c r="R580" i="9"/>
  <c r="G580" i="10" l="1"/>
  <c r="H579" i="10"/>
  <c r="P581" i="9"/>
  <c r="O581" i="9" s="1"/>
  <c r="R581" i="9"/>
  <c r="G581" i="10" l="1"/>
  <c r="H580" i="10"/>
  <c r="R582" i="9"/>
  <c r="G582" i="10" l="1"/>
  <c r="H581" i="10"/>
  <c r="R583" i="9"/>
  <c r="H582" i="10" l="1"/>
  <c r="G583" i="10"/>
  <c r="R584" i="9"/>
  <c r="G584" i="10" l="1"/>
  <c r="H583" i="10"/>
  <c r="R585" i="9"/>
  <c r="G585" i="10" l="1"/>
  <c r="H584" i="10"/>
  <c r="P586" i="9"/>
  <c r="O586" i="9" s="1"/>
  <c r="R586" i="9"/>
  <c r="G586" i="10" l="1"/>
  <c r="H585" i="10"/>
  <c r="R587" i="9"/>
  <c r="G587" i="10" l="1"/>
  <c r="H586" i="10"/>
  <c r="R588" i="9"/>
  <c r="G588" i="10" l="1"/>
  <c r="H587" i="10"/>
  <c r="R589" i="9"/>
  <c r="H588" i="10" l="1"/>
  <c r="G589" i="10"/>
  <c r="R590" i="9"/>
  <c r="G590" i="10" l="1"/>
  <c r="H589" i="10"/>
  <c r="P591" i="9"/>
  <c r="O591" i="9" s="1"/>
  <c r="R591" i="9"/>
  <c r="H590" i="10" l="1"/>
  <c r="G591" i="10"/>
  <c r="R592" i="9"/>
  <c r="G592" i="10" l="1"/>
  <c r="H591" i="10"/>
  <c r="R593" i="9"/>
  <c r="G593" i="10" l="1"/>
  <c r="H592" i="10"/>
  <c r="R594" i="9"/>
  <c r="G594" i="10" l="1"/>
  <c r="H593" i="10"/>
  <c r="R595" i="9"/>
  <c r="G595" i="10" l="1"/>
  <c r="H594" i="10"/>
  <c r="R596" i="9"/>
  <c r="P596" i="9"/>
  <c r="O596" i="9" s="1"/>
  <c r="G596" i="10" l="1"/>
  <c r="H595" i="10"/>
  <c r="R597" i="9"/>
  <c r="H596" i="10" l="1"/>
  <c r="G597" i="10"/>
  <c r="R598" i="9"/>
  <c r="G598" i="10" l="1"/>
  <c r="H597" i="10"/>
  <c r="R599" i="9"/>
  <c r="H598" i="10" l="1"/>
  <c r="G599" i="10"/>
  <c r="R600" i="9"/>
  <c r="G600" i="10" l="1"/>
  <c r="H599" i="10"/>
  <c r="P601" i="9"/>
  <c r="O601" i="9" s="1"/>
  <c r="R601" i="9"/>
  <c r="G601" i="10" l="1"/>
  <c r="H600" i="10"/>
  <c r="R602" i="9"/>
  <c r="G602" i="10" l="1"/>
  <c r="H601" i="10"/>
  <c r="R603" i="9"/>
  <c r="H602" i="10" l="1"/>
  <c r="G603" i="10"/>
  <c r="R604" i="9"/>
  <c r="G604" i="10" l="1"/>
  <c r="H603" i="10"/>
  <c r="R605" i="9"/>
  <c r="G605" i="10" l="1"/>
  <c r="H604" i="10"/>
  <c r="P606" i="9"/>
  <c r="O606" i="9" s="1"/>
  <c r="R606" i="9"/>
  <c r="G606" i="10" l="1"/>
  <c r="H605" i="10"/>
  <c r="R607" i="9"/>
  <c r="H606" i="10" l="1"/>
  <c r="G607" i="10"/>
  <c r="R608" i="9"/>
  <c r="G608" i="10" l="1"/>
  <c r="H607" i="10"/>
  <c r="R609" i="9"/>
  <c r="G609" i="10" l="1"/>
  <c r="H608" i="10"/>
  <c r="R610" i="9"/>
  <c r="G610" i="10" l="1"/>
  <c r="H609" i="10"/>
  <c r="R611" i="9"/>
  <c r="P611" i="9"/>
  <c r="O611" i="9" s="1"/>
  <c r="H610" i="10" l="1"/>
  <c r="G611" i="10"/>
  <c r="R612" i="9"/>
  <c r="G612" i="10" l="1"/>
  <c r="H611" i="10"/>
  <c r="R613" i="9"/>
  <c r="G613" i="10" l="1"/>
  <c r="H612" i="10"/>
  <c r="R614" i="9"/>
  <c r="G614" i="10" l="1"/>
  <c r="H613" i="10"/>
  <c r="R615" i="9"/>
  <c r="H614" i="10" l="1"/>
  <c r="G615" i="10"/>
  <c r="P616" i="9"/>
  <c r="O616" i="9" s="1"/>
  <c r="R616" i="9"/>
  <c r="G616" i="10" l="1"/>
  <c r="H615" i="10"/>
  <c r="R617" i="9"/>
  <c r="G617" i="10" l="1"/>
  <c r="H616" i="10"/>
  <c r="R618" i="9"/>
  <c r="G618" i="10" l="1"/>
  <c r="H617" i="10"/>
  <c r="R619" i="9"/>
  <c r="G619" i="10" l="1"/>
  <c r="H618" i="10"/>
  <c r="R620" i="9"/>
  <c r="G620" i="10" l="1"/>
  <c r="H619" i="10"/>
  <c r="P621" i="9"/>
  <c r="O621" i="9" s="1"/>
  <c r="R621" i="9"/>
  <c r="H620" i="10" l="1"/>
  <c r="G621" i="10"/>
  <c r="R622" i="9"/>
  <c r="G622" i="10" l="1"/>
  <c r="H621" i="10"/>
  <c r="R623" i="9"/>
  <c r="H622" i="10" l="1"/>
  <c r="G623" i="10"/>
  <c r="R624" i="9"/>
  <c r="G624" i="10" l="1"/>
  <c r="H623" i="10"/>
  <c r="R625" i="9"/>
  <c r="G625" i="10" l="1"/>
  <c r="H624" i="10"/>
  <c r="P626" i="9"/>
  <c r="O626" i="9" s="1"/>
  <c r="R626" i="9"/>
  <c r="G626" i="10" l="1"/>
  <c r="H625" i="10"/>
  <c r="R627" i="9"/>
  <c r="G627" i="10" l="1"/>
  <c r="H626" i="10"/>
  <c r="R628" i="9"/>
  <c r="G628" i="10" l="1"/>
  <c r="H627" i="10"/>
  <c r="R629" i="9"/>
  <c r="H628" i="10" l="1"/>
  <c r="G629" i="10"/>
  <c r="R630" i="9"/>
  <c r="G630" i="10" l="1"/>
  <c r="H629" i="10"/>
  <c r="P631" i="9"/>
  <c r="O631" i="9" s="1"/>
  <c r="R631" i="9"/>
  <c r="H630" i="10" l="1"/>
  <c r="G631" i="10"/>
  <c r="R632" i="9"/>
  <c r="G632" i="10" l="1"/>
  <c r="H631" i="10"/>
  <c r="R633" i="9"/>
  <c r="G633" i="10" l="1"/>
  <c r="H632" i="10"/>
  <c r="R634" i="9"/>
  <c r="G634" i="10" l="1"/>
  <c r="H633" i="10"/>
  <c r="R635" i="9"/>
  <c r="H634" i="10" l="1"/>
  <c r="G635" i="10"/>
  <c r="P636" i="9"/>
  <c r="O636" i="9" s="1"/>
  <c r="R636" i="9"/>
  <c r="G636" i="10" l="1"/>
  <c r="H635" i="10"/>
  <c r="R637" i="9"/>
  <c r="G637" i="10" l="1"/>
  <c r="H636" i="10"/>
  <c r="R638" i="9"/>
  <c r="G638" i="10" l="1"/>
  <c r="H637" i="10"/>
  <c r="R639" i="9"/>
  <c r="H638" i="10" l="1"/>
  <c r="G639" i="10"/>
  <c r="R640" i="9"/>
  <c r="G640" i="10" l="1"/>
  <c r="H639" i="10"/>
  <c r="P641" i="9"/>
  <c r="O641" i="9" s="1"/>
  <c r="R641" i="9"/>
  <c r="G641" i="10" l="1"/>
  <c r="H640" i="10"/>
  <c r="R642" i="9"/>
  <c r="G642" i="10" l="1"/>
  <c r="H641" i="10"/>
  <c r="R643" i="9"/>
  <c r="H642" i="10" l="1"/>
  <c r="G643" i="10"/>
  <c r="R644" i="9"/>
  <c r="G644" i="10" l="1"/>
  <c r="H643" i="10"/>
  <c r="R645" i="9"/>
  <c r="G645" i="10" l="1"/>
  <c r="H644" i="10"/>
  <c r="P646" i="9"/>
  <c r="O646" i="9" s="1"/>
  <c r="R646" i="9"/>
  <c r="G646" i="10" l="1"/>
  <c r="H645" i="10"/>
  <c r="R647" i="9"/>
  <c r="H646" i="10" l="1"/>
  <c r="G647" i="10"/>
  <c r="R648" i="9"/>
  <c r="G648" i="10" l="1"/>
  <c r="H647" i="10"/>
  <c r="R649" i="9"/>
  <c r="G649" i="10" l="1"/>
  <c r="H648" i="10"/>
  <c r="R650" i="9"/>
  <c r="G650" i="10" l="1"/>
  <c r="H649" i="10"/>
  <c r="P651" i="9"/>
  <c r="O651" i="9" s="1"/>
  <c r="R651" i="9"/>
  <c r="G651" i="10" l="1"/>
  <c r="H650" i="10"/>
  <c r="R652" i="9"/>
  <c r="G652" i="10" l="1"/>
  <c r="H651" i="10"/>
  <c r="R653" i="9"/>
  <c r="H652" i="10" l="1"/>
  <c r="G653" i="10"/>
  <c r="R654" i="9"/>
  <c r="G654" i="10" l="1"/>
  <c r="H653" i="10"/>
  <c r="R655" i="9"/>
  <c r="H654" i="10" l="1"/>
  <c r="G655" i="10"/>
  <c r="R656" i="9"/>
  <c r="P656" i="9"/>
  <c r="O656" i="9" s="1"/>
  <c r="G656" i="10" l="1"/>
  <c r="H655" i="10"/>
  <c r="R657" i="9"/>
  <c r="G657" i="10" l="1"/>
  <c r="H656" i="10"/>
  <c r="R658" i="9"/>
  <c r="G658" i="10" l="1"/>
  <c r="H657" i="10"/>
  <c r="R659" i="9"/>
  <c r="G659" i="10" l="1"/>
  <c r="H658" i="10"/>
  <c r="R660" i="9"/>
  <c r="G660" i="10" l="1"/>
  <c r="H659" i="10"/>
  <c r="P661" i="9"/>
  <c r="O661" i="9" s="1"/>
  <c r="R661" i="9"/>
  <c r="H660" i="10" l="1"/>
  <c r="G661" i="10"/>
  <c r="R662" i="9"/>
  <c r="G662" i="10" l="1"/>
  <c r="H661" i="10"/>
  <c r="R663" i="9"/>
  <c r="H662" i="10" l="1"/>
  <c r="G663" i="10"/>
  <c r="R664" i="9"/>
  <c r="G664" i="10" l="1"/>
  <c r="H663" i="10"/>
  <c r="R665" i="9"/>
  <c r="G665" i="10" l="1"/>
  <c r="H664" i="10"/>
  <c r="P666" i="9"/>
  <c r="O666" i="9" s="1"/>
  <c r="R666" i="9"/>
  <c r="G666" i="10" l="1"/>
  <c r="H665" i="10"/>
  <c r="R667" i="9"/>
  <c r="H666" i="10" l="1"/>
  <c r="G667" i="10"/>
  <c r="R668" i="9"/>
  <c r="G668" i="10" l="1"/>
  <c r="H667" i="10"/>
  <c r="R669" i="9"/>
  <c r="G669" i="10" l="1"/>
  <c r="H668" i="10"/>
  <c r="R670" i="9"/>
  <c r="G670" i="10" l="1"/>
  <c r="H669" i="10"/>
  <c r="P671" i="9"/>
  <c r="O671" i="9" s="1"/>
  <c r="R671" i="9"/>
  <c r="H670" i="10" l="1"/>
  <c r="G671" i="10"/>
  <c r="R672" i="9"/>
  <c r="G672" i="10" l="1"/>
  <c r="H671" i="10"/>
  <c r="R673" i="9"/>
  <c r="G673" i="10" l="1"/>
  <c r="H672" i="10"/>
  <c r="R674" i="9"/>
  <c r="G674" i="10" l="1"/>
  <c r="H673" i="10"/>
  <c r="R675" i="9"/>
  <c r="H674" i="10" l="1"/>
  <c r="G675" i="10"/>
  <c r="P676" i="9"/>
  <c r="O676" i="9" s="1"/>
  <c r="R676" i="9"/>
  <c r="G676" i="10" l="1"/>
  <c r="H675" i="10"/>
  <c r="R677" i="9"/>
  <c r="G677" i="10" l="1"/>
  <c r="H676" i="10"/>
  <c r="R678" i="9"/>
  <c r="G678" i="10" l="1"/>
  <c r="H677" i="10"/>
  <c r="R679" i="9"/>
  <c r="H678" i="10" l="1"/>
  <c r="G679" i="10"/>
  <c r="R680" i="9"/>
  <c r="G680" i="10" l="1"/>
  <c r="H679" i="10"/>
  <c r="P681" i="9"/>
  <c r="O681" i="9" s="1"/>
  <c r="R681" i="9"/>
  <c r="G681" i="10" l="1"/>
  <c r="H680" i="10"/>
  <c r="R682" i="9"/>
  <c r="G682" i="10" l="1"/>
  <c r="H681" i="10"/>
  <c r="R683" i="9"/>
  <c r="G683" i="10" l="1"/>
  <c r="H682" i="10"/>
  <c r="R684" i="9"/>
  <c r="G684" i="10" l="1"/>
  <c r="H683" i="10"/>
  <c r="R685" i="9"/>
  <c r="H684" i="10" l="1"/>
  <c r="G685" i="10"/>
  <c r="P686" i="9"/>
  <c r="O686" i="9" s="1"/>
  <c r="R686" i="9"/>
  <c r="G686" i="10" l="1"/>
  <c r="H685" i="10"/>
  <c r="R687" i="9"/>
  <c r="H686" i="10" l="1"/>
  <c r="G687" i="10"/>
  <c r="R688" i="9"/>
  <c r="G688" i="10" l="1"/>
  <c r="H687" i="10"/>
  <c r="R689" i="9"/>
  <c r="G689" i="10" l="1"/>
  <c r="H688" i="10"/>
  <c r="R690" i="9"/>
  <c r="G690" i="10" l="1"/>
  <c r="H689" i="10"/>
  <c r="P691" i="9"/>
  <c r="O691" i="9" s="1"/>
  <c r="R691" i="9"/>
  <c r="G691" i="10" l="1"/>
  <c r="H690" i="10"/>
  <c r="R692" i="9"/>
  <c r="G692" i="10" l="1"/>
  <c r="H691" i="10"/>
  <c r="R693" i="9"/>
  <c r="H692" i="10" l="1"/>
  <c r="G693" i="10"/>
  <c r="R694" i="9"/>
  <c r="G694" i="10" l="1"/>
  <c r="H693" i="10"/>
  <c r="R695" i="9"/>
  <c r="H694" i="10" l="1"/>
  <c r="G695" i="10"/>
  <c r="P696" i="9"/>
  <c r="O696" i="9" s="1"/>
  <c r="R696" i="9"/>
  <c r="G696" i="10" l="1"/>
  <c r="H695" i="10"/>
  <c r="R697" i="9"/>
  <c r="G697" i="10" l="1"/>
  <c r="H696" i="10"/>
  <c r="R698" i="9"/>
  <c r="G698" i="10" l="1"/>
  <c r="H697" i="10"/>
  <c r="R699" i="9"/>
  <c r="H698" i="10" l="1"/>
  <c r="G699" i="10"/>
  <c r="R700" i="9"/>
  <c r="G700" i="10" l="1"/>
  <c r="H699" i="10"/>
  <c r="P701" i="9"/>
  <c r="O701" i="9" s="1"/>
  <c r="R701" i="9"/>
  <c r="G701" i="10" l="1"/>
  <c r="H700" i="10"/>
  <c r="R702" i="9"/>
  <c r="G702" i="10" l="1"/>
  <c r="H701" i="10"/>
  <c r="R703" i="9"/>
  <c r="H702" i="10" l="1"/>
  <c r="G703" i="10"/>
  <c r="R704" i="9"/>
  <c r="G704" i="10" l="1"/>
  <c r="H703" i="10"/>
  <c r="R705" i="9"/>
  <c r="G705" i="10" l="1"/>
  <c r="H704" i="10"/>
  <c r="P706" i="9"/>
  <c r="O706" i="9" s="1"/>
  <c r="R706" i="9"/>
  <c r="G706" i="10" l="1"/>
  <c r="H705" i="10"/>
  <c r="R707" i="9"/>
  <c r="H706" i="10" l="1"/>
  <c r="G707" i="10"/>
  <c r="R708" i="9"/>
  <c r="G708" i="10" l="1"/>
  <c r="H707" i="10"/>
  <c r="R709" i="9"/>
  <c r="G709" i="10" l="1"/>
  <c r="H708" i="10"/>
  <c r="R710" i="9"/>
  <c r="G710" i="10" l="1"/>
  <c r="H709" i="10"/>
  <c r="P711" i="9"/>
  <c r="O711" i="9" s="1"/>
  <c r="R711" i="9"/>
  <c r="H710" i="10" l="1"/>
  <c r="G711" i="10"/>
  <c r="R712" i="9"/>
  <c r="G712" i="10" l="1"/>
  <c r="H711" i="10"/>
  <c r="R713" i="9"/>
  <c r="G713" i="10" l="1"/>
  <c r="H712" i="10"/>
  <c r="R714" i="9"/>
  <c r="G714" i="10" l="1"/>
  <c r="H713" i="10"/>
  <c r="R715" i="9"/>
  <c r="G715" i="10" l="1"/>
  <c r="H714" i="10"/>
  <c r="R716" i="9"/>
  <c r="P716" i="9"/>
  <c r="O716" i="9" s="1"/>
  <c r="G716" i="10" l="1"/>
  <c r="H715" i="10"/>
  <c r="R717" i="9"/>
  <c r="H716" i="10" l="1"/>
  <c r="G717" i="10"/>
  <c r="R718" i="9"/>
  <c r="G718" i="10" l="1"/>
  <c r="H717" i="10"/>
  <c r="R719" i="9"/>
  <c r="H718" i="10" l="1"/>
  <c r="G719" i="10"/>
  <c r="R720" i="9"/>
  <c r="G720" i="10" l="1"/>
  <c r="H719" i="10"/>
  <c r="P721" i="9"/>
  <c r="O721" i="9" s="1"/>
  <c r="R721" i="9"/>
  <c r="G721" i="10" l="1"/>
  <c r="H720" i="10"/>
  <c r="R722" i="9"/>
  <c r="G722" i="10" l="1"/>
  <c r="H721" i="10"/>
  <c r="R723" i="9"/>
  <c r="G723" i="10" l="1"/>
  <c r="H722" i="10"/>
  <c r="R724" i="9"/>
  <c r="G724" i="10" l="1"/>
  <c r="H723" i="10"/>
  <c r="R725" i="9"/>
  <c r="H724" i="10" l="1"/>
  <c r="G725" i="10"/>
  <c r="P726" i="9"/>
  <c r="O726" i="9" s="1"/>
  <c r="R726" i="9"/>
  <c r="G726" i="10" l="1"/>
  <c r="H725" i="10"/>
  <c r="R727" i="9"/>
  <c r="H726" i="10" l="1"/>
  <c r="G727" i="10"/>
  <c r="R728" i="9"/>
  <c r="G728" i="10" l="1"/>
  <c r="H727" i="10"/>
  <c r="R729" i="9"/>
  <c r="G729" i="10" l="1"/>
  <c r="H728" i="10"/>
  <c r="R730" i="9"/>
  <c r="G730" i="10" l="1"/>
  <c r="H729" i="10"/>
  <c r="P731" i="9"/>
  <c r="O731" i="9" s="1"/>
  <c r="R731" i="9"/>
  <c r="H730" i="10" l="1"/>
  <c r="G731" i="10"/>
  <c r="R732" i="9"/>
  <c r="G732" i="10" l="1"/>
  <c r="H731" i="10"/>
  <c r="R733" i="9"/>
  <c r="G733" i="10" l="1"/>
  <c r="H732" i="10"/>
  <c r="R734" i="9"/>
  <c r="G734" i="10" l="1"/>
  <c r="H733" i="10"/>
  <c r="R735" i="9"/>
  <c r="H734" i="10" l="1"/>
  <c r="G735" i="10"/>
  <c r="P736" i="9"/>
  <c r="O736" i="9" s="1"/>
  <c r="R736" i="9"/>
  <c r="G736" i="10" l="1"/>
  <c r="H735" i="10"/>
  <c r="R737" i="9"/>
  <c r="G737" i="10" l="1"/>
  <c r="H736" i="10"/>
  <c r="R738" i="9"/>
  <c r="G738" i="10" l="1"/>
  <c r="H737" i="10"/>
  <c r="R739" i="9"/>
  <c r="H738" i="10" l="1"/>
  <c r="G739" i="10"/>
  <c r="R740" i="9"/>
  <c r="G740" i="10" l="1"/>
  <c r="H739" i="10"/>
  <c r="P741" i="9"/>
  <c r="O741" i="9" s="1"/>
  <c r="R741" i="9"/>
  <c r="G741" i="10" l="1"/>
  <c r="H740" i="10"/>
  <c r="R742" i="9"/>
  <c r="G742" i="10" l="1"/>
  <c r="H741" i="10"/>
  <c r="R743" i="9"/>
  <c r="H742" i="10" l="1"/>
  <c r="G743" i="10"/>
  <c r="R744" i="9"/>
  <c r="G744" i="10" l="1"/>
  <c r="H743" i="10"/>
  <c r="R745" i="9"/>
  <c r="G745" i="10" l="1"/>
  <c r="H744" i="10"/>
  <c r="P746" i="9"/>
  <c r="O746" i="9" s="1"/>
  <c r="R746" i="9"/>
  <c r="G746" i="10" l="1"/>
  <c r="H745" i="10"/>
  <c r="R747" i="9"/>
  <c r="H746" i="10" l="1"/>
  <c r="G747" i="10"/>
  <c r="R748" i="9"/>
  <c r="G748" i="10" l="1"/>
  <c r="H747" i="10"/>
  <c r="R749" i="9"/>
  <c r="H748" i="10" l="1"/>
  <c r="G749" i="10"/>
  <c r="R750" i="9"/>
  <c r="G750" i="10" l="1"/>
  <c r="H749" i="10"/>
  <c r="P751" i="9"/>
  <c r="O751" i="9" s="1"/>
  <c r="R751" i="9"/>
  <c r="H750" i="10" l="1"/>
  <c r="G751" i="10"/>
  <c r="R752" i="9"/>
  <c r="G752" i="10" l="1"/>
  <c r="H751" i="10"/>
  <c r="R753" i="9"/>
  <c r="G753" i="10" l="1"/>
  <c r="H752" i="10"/>
  <c r="R754" i="9"/>
  <c r="G754" i="10" l="1"/>
  <c r="H753" i="10"/>
  <c r="R755" i="9"/>
  <c r="G755" i="10" l="1"/>
  <c r="H754" i="10"/>
  <c r="P756" i="9"/>
  <c r="O756" i="9" s="1"/>
  <c r="R756" i="9"/>
  <c r="G756" i="10" l="1"/>
  <c r="H755" i="10"/>
  <c r="R757" i="9"/>
  <c r="H756" i="10" l="1"/>
  <c r="G757" i="10"/>
  <c r="R758" i="9"/>
  <c r="G758" i="10" l="1"/>
  <c r="H757" i="10"/>
  <c r="R759" i="9"/>
  <c r="H758" i="10" l="1"/>
  <c r="G759" i="10"/>
  <c r="R760" i="9"/>
  <c r="G760" i="10" l="1"/>
  <c r="H759" i="10"/>
  <c r="P761" i="9"/>
  <c r="O761" i="9" s="1"/>
  <c r="R761" i="9"/>
  <c r="G761" i="10" l="1"/>
  <c r="H760" i="10"/>
  <c r="R762" i="9"/>
  <c r="G762" i="10" l="1"/>
  <c r="H761" i="10"/>
  <c r="R763" i="9"/>
  <c r="H762" i="10" l="1"/>
  <c r="G763" i="10"/>
  <c r="R764" i="9"/>
  <c r="G764" i="10" l="1"/>
  <c r="H763" i="10"/>
  <c r="R765" i="9"/>
  <c r="G765" i="10" l="1"/>
  <c r="H764" i="10"/>
  <c r="P766" i="9"/>
  <c r="O766" i="9" s="1"/>
  <c r="R766" i="9"/>
  <c r="G766" i="10" l="1"/>
  <c r="H765" i="10"/>
  <c r="R767" i="9"/>
  <c r="H766" i="10" l="1"/>
  <c r="G767" i="10"/>
  <c r="R768" i="9"/>
  <c r="G768" i="10" l="1"/>
  <c r="H767" i="10"/>
  <c r="R769" i="9"/>
  <c r="G769" i="10" l="1"/>
  <c r="H768" i="10"/>
  <c r="R770" i="9"/>
  <c r="G770" i="10" l="1"/>
  <c r="H769" i="10"/>
  <c r="P771" i="9"/>
  <c r="O771" i="9" s="1"/>
  <c r="R771" i="9"/>
  <c r="H770" i="10" l="1"/>
  <c r="G771" i="10"/>
  <c r="R772" i="9"/>
  <c r="G772" i="10" l="1"/>
  <c r="H771" i="10"/>
  <c r="R773" i="9"/>
  <c r="G773" i="10" l="1"/>
  <c r="H772" i="10"/>
  <c r="R774" i="9"/>
  <c r="G774" i="10" l="1"/>
  <c r="H773" i="10"/>
  <c r="R775" i="9"/>
  <c r="H774" i="10" l="1"/>
  <c r="G775" i="10"/>
  <c r="P776" i="9"/>
  <c r="O776" i="9" s="1"/>
  <c r="R776" i="9"/>
  <c r="G776" i="10" l="1"/>
  <c r="H775" i="10"/>
  <c r="R777" i="9"/>
  <c r="G777" i="10" l="1"/>
  <c r="H776" i="10"/>
  <c r="R778" i="9"/>
  <c r="G778" i="10" l="1"/>
  <c r="H777" i="10"/>
  <c r="R779" i="9"/>
  <c r="G779" i="10" l="1"/>
  <c r="H778" i="10"/>
  <c r="R780" i="9"/>
  <c r="G780" i="10" l="1"/>
  <c r="H779" i="10"/>
  <c r="P781" i="9"/>
  <c r="O781" i="9" s="1"/>
  <c r="R781" i="9"/>
  <c r="H780" i="10" l="1"/>
  <c r="G781" i="10"/>
  <c r="R782" i="9"/>
  <c r="G782" i="10" l="1"/>
  <c r="H781" i="10"/>
  <c r="R783" i="9"/>
  <c r="H782" i="10" l="1"/>
  <c r="G783" i="10"/>
  <c r="R784" i="9"/>
  <c r="G784" i="10" l="1"/>
  <c r="H783" i="10"/>
  <c r="R785" i="9"/>
  <c r="G785" i="10" l="1"/>
  <c r="H784" i="10"/>
  <c r="P786" i="9"/>
  <c r="O786" i="9" s="1"/>
  <c r="R786" i="9"/>
  <c r="G786" i="10" l="1"/>
  <c r="H785" i="10"/>
  <c r="G787" i="10" l="1"/>
  <c r="H786" i="10"/>
  <c r="G788" i="10" l="1"/>
  <c r="H787" i="10"/>
  <c r="H788" i="10" l="1"/>
  <c r="G789" i="10"/>
  <c r="G790" i="10" l="1"/>
  <c r="H789" i="10"/>
  <c r="H790" i="10" l="1"/>
  <c r="G791" i="10"/>
  <c r="G792" i="10" l="1"/>
  <c r="H791" i="10"/>
  <c r="H792" i="10" l="1"/>
  <c r="G793" i="10"/>
  <c r="G794" i="10" l="1"/>
  <c r="H793" i="10"/>
  <c r="H794" i="10" l="1"/>
  <c r="G795" i="10"/>
  <c r="G796" i="10" l="1"/>
  <c r="H795" i="10"/>
  <c r="G797" i="10" l="1"/>
  <c r="H796" i="10"/>
  <c r="G798" i="10" l="1"/>
  <c r="H797" i="10"/>
  <c r="H798" i="10" l="1"/>
  <c r="G799" i="10"/>
  <c r="G800" i="10" l="1"/>
  <c r="H799" i="10"/>
  <c r="G801" i="10" l="1"/>
  <c r="H800" i="10"/>
  <c r="G802" i="10" l="1"/>
  <c r="H801" i="10"/>
  <c r="H802" i="10" l="1"/>
  <c r="G803" i="10"/>
  <c r="G804" i="10" l="1"/>
  <c r="H803" i="10"/>
  <c r="G805" i="10" l="1"/>
  <c r="H804" i="10"/>
  <c r="G806" i="10" l="1"/>
  <c r="H805" i="10"/>
  <c r="H806" i="10" l="1"/>
  <c r="G807" i="10"/>
  <c r="G808" i="10" l="1"/>
  <c r="H807" i="10"/>
  <c r="G809" i="10" l="1"/>
  <c r="H808" i="10"/>
  <c r="G810" i="10" l="1"/>
  <c r="H809" i="10"/>
  <c r="H810" i="10" l="1"/>
  <c r="G811" i="10"/>
  <c r="H811" i="10" l="1"/>
  <c r="G812" i="10"/>
  <c r="H812" i="10" l="1"/>
  <c r="G813" i="10"/>
  <c r="G814" i="10" l="1"/>
  <c r="H813" i="10"/>
  <c r="H814" i="10" l="1"/>
  <c r="G815" i="10"/>
  <c r="G816" i="10" l="1"/>
  <c r="H815" i="10"/>
  <c r="G817" i="10" l="1"/>
  <c r="H816" i="10"/>
  <c r="G818" i="10" l="1"/>
  <c r="H817" i="10"/>
  <c r="G819" i="10" l="1"/>
  <c r="H818" i="10"/>
  <c r="G820" i="10" l="1"/>
  <c r="H819" i="10"/>
  <c r="H820" i="10" l="1"/>
  <c r="G821" i="10"/>
  <c r="G822" i="10" l="1"/>
  <c r="H821" i="10"/>
  <c r="H822" i="10" l="1"/>
  <c r="G823" i="10"/>
  <c r="G824" i="10" l="1"/>
  <c r="H823" i="10"/>
  <c r="G825" i="10" l="1"/>
  <c r="H824" i="10"/>
  <c r="G826" i="10" l="1"/>
  <c r="H825" i="10"/>
  <c r="H826" i="10" l="1"/>
  <c r="G827" i="10"/>
  <c r="G828" i="10" l="1"/>
  <c r="H827" i="10"/>
  <c r="G829" i="10" l="1"/>
  <c r="H828" i="10"/>
  <c r="G830" i="10" l="1"/>
  <c r="H829" i="10"/>
  <c r="H830" i="10" l="1"/>
  <c r="G831" i="10"/>
  <c r="G832" i="10" l="1"/>
  <c r="H831" i="10"/>
  <c r="G833" i="10" l="1"/>
  <c r="H832" i="10"/>
  <c r="G834" i="10" l="1"/>
  <c r="H833" i="10"/>
  <c r="H834" i="10" l="1"/>
  <c r="G835" i="10"/>
  <c r="G836" i="10" l="1"/>
  <c r="H835" i="10"/>
  <c r="G837" i="10" l="1"/>
  <c r="H836" i="10"/>
  <c r="G838" i="10" l="1"/>
  <c r="H837" i="10"/>
  <c r="H838" i="10" l="1"/>
  <c r="G839" i="10"/>
  <c r="G840" i="10" l="1"/>
  <c r="H839" i="10"/>
  <c r="G841" i="10" l="1"/>
  <c r="H840" i="10"/>
  <c r="G842" i="10" l="1"/>
  <c r="H841" i="10"/>
  <c r="G843" i="10" l="1"/>
  <c r="H842" i="10"/>
  <c r="G844" i="10" l="1"/>
  <c r="H843" i="10"/>
  <c r="G845" i="10" l="1"/>
  <c r="H844" i="10"/>
  <c r="G846" i="10" l="1"/>
  <c r="H845" i="10"/>
  <c r="H846" i="10" l="1"/>
  <c r="G847" i="10"/>
  <c r="G848" i="10" l="1"/>
  <c r="H847" i="10"/>
  <c r="G849" i="10" l="1"/>
  <c r="H848" i="10"/>
  <c r="G850" i="10" l="1"/>
  <c r="H849" i="10"/>
  <c r="G851" i="10" l="1"/>
  <c r="H850" i="10"/>
  <c r="G852" i="10" l="1"/>
  <c r="H851" i="10"/>
  <c r="H852" i="10" l="1"/>
  <c r="G853" i="10"/>
  <c r="G854" i="10" l="1"/>
  <c r="H853" i="10"/>
  <c r="H854" i="10" l="1"/>
  <c r="G855" i="10"/>
  <c r="G856" i="10" l="1"/>
  <c r="H855" i="10"/>
  <c r="G857" i="10" l="1"/>
  <c r="H856" i="10"/>
  <c r="G858" i="10" l="1"/>
  <c r="H857" i="10"/>
  <c r="H858" i="10" l="1"/>
  <c r="G859" i="10"/>
  <c r="G860" i="10" l="1"/>
  <c r="H859" i="10"/>
  <c r="H860" i="10" l="1"/>
  <c r="G861" i="10"/>
  <c r="G862" i="10" l="1"/>
  <c r="H861" i="10"/>
  <c r="H862" i="10" l="1"/>
  <c r="G863" i="10"/>
  <c r="G864" i="10" l="1"/>
  <c r="H863" i="10"/>
  <c r="G865" i="10" l="1"/>
  <c r="H864" i="10"/>
  <c r="G866" i="10" l="1"/>
  <c r="H865" i="10"/>
  <c r="H866" i="10" l="1"/>
  <c r="G867" i="10"/>
  <c r="G868" i="10" l="1"/>
  <c r="H867" i="10"/>
  <c r="H868" i="10" l="1"/>
  <c r="G869" i="10"/>
  <c r="G870" i="10" l="1"/>
  <c r="H869" i="10"/>
  <c r="H870" i="10" l="1"/>
  <c r="G871" i="10"/>
  <c r="G872" i="10" l="1"/>
  <c r="H871" i="10"/>
  <c r="G873" i="10" l="1"/>
  <c r="H872" i="10"/>
  <c r="G874" i="10" l="1"/>
  <c r="H873" i="10"/>
  <c r="H874" i="10" l="1"/>
  <c r="G875" i="10"/>
  <c r="G876" i="10" l="1"/>
  <c r="H875" i="10"/>
  <c r="H876" i="10" l="1"/>
  <c r="G877" i="10"/>
  <c r="G878" i="10" l="1"/>
  <c r="H877" i="10"/>
  <c r="H878" i="10" l="1"/>
  <c r="G879" i="10"/>
  <c r="G880" i="10" l="1"/>
  <c r="H879" i="10"/>
  <c r="G881" i="10" l="1"/>
  <c r="H880" i="10"/>
  <c r="G882" i="10" l="1"/>
  <c r="H881" i="10"/>
  <c r="G883" i="10" l="1"/>
  <c r="H882" i="10"/>
  <c r="G884" i="10" l="1"/>
  <c r="H883" i="10"/>
  <c r="G885" i="10" l="1"/>
  <c r="H884" i="10"/>
  <c r="H885" i="10" l="1"/>
  <c r="G886" i="10"/>
  <c r="H886" i="10" l="1"/>
  <c r="G887" i="10"/>
  <c r="H887" i="10" l="1"/>
  <c r="G888" i="10"/>
  <c r="H888" i="10" l="1"/>
  <c r="G889" i="10"/>
  <c r="H889" i="10" l="1"/>
  <c r="G890" i="10"/>
  <c r="G891" i="10" l="1"/>
  <c r="H890" i="10"/>
  <c r="H891" i="10" l="1"/>
  <c r="G892" i="10"/>
  <c r="H892" i="10" l="1"/>
  <c r="G893" i="10"/>
  <c r="H893" i="10" l="1"/>
  <c r="G894" i="10"/>
  <c r="H894" i="10" l="1"/>
  <c r="G895" i="10"/>
  <c r="H895" i="10" l="1"/>
  <c r="G896" i="10"/>
  <c r="H896" i="10" l="1"/>
  <c r="G897" i="10"/>
  <c r="H897" i="10" l="1"/>
  <c r="G898" i="10"/>
  <c r="G899" i="10" l="1"/>
  <c r="H898" i="10"/>
  <c r="H899" i="10" l="1"/>
  <c r="G900" i="10"/>
  <c r="G901" i="10" l="1"/>
  <c r="H900" i="10"/>
  <c r="H901" i="10" l="1"/>
  <c r="G902" i="10"/>
  <c r="H902" i="10" l="1"/>
  <c r="G903" i="10"/>
  <c r="H903" i="10" l="1"/>
  <c r="G904" i="10"/>
  <c r="H904" i="10" l="1"/>
  <c r="G905" i="10"/>
  <c r="H905" i="10" l="1"/>
  <c r="G906" i="10"/>
  <c r="G907" i="10" l="1"/>
  <c r="H906" i="10"/>
  <c r="H907" i="10" l="1"/>
  <c r="G908" i="10"/>
  <c r="H908" i="10" l="1"/>
  <c r="G909" i="10"/>
  <c r="H909" i="10" l="1"/>
  <c r="G910" i="10"/>
  <c r="H910" i="10" l="1"/>
  <c r="G911" i="10"/>
  <c r="H911" i="10" l="1"/>
  <c r="G912" i="10"/>
  <c r="G913" i="10" l="1"/>
  <c r="H912" i="10"/>
  <c r="H913" i="10" l="1"/>
  <c r="G914" i="10"/>
  <c r="H914" i="10" l="1"/>
  <c r="G915" i="10"/>
  <c r="H915" i="10" l="1"/>
  <c r="G916" i="10"/>
  <c r="H916" i="10" l="1"/>
  <c r="G917" i="10"/>
  <c r="H917" i="10" l="1"/>
  <c r="G918" i="10"/>
  <c r="H918" i="10" l="1"/>
  <c r="G919" i="10"/>
  <c r="H919" i="10" l="1"/>
  <c r="G920" i="10"/>
  <c r="G921" i="10" l="1"/>
  <c r="H920" i="10"/>
  <c r="H921" i="10" l="1"/>
  <c r="G922" i="10"/>
  <c r="H922" i="10" l="1"/>
  <c r="G923" i="10"/>
  <c r="H923" i="10" l="1"/>
  <c r="G924" i="10"/>
  <c r="G925" i="10" l="1"/>
  <c r="H924" i="10"/>
  <c r="H925" i="10" l="1"/>
  <c r="G926" i="10"/>
  <c r="H926" i="10" l="1"/>
  <c r="G927" i="10"/>
  <c r="H927" i="10" l="1"/>
  <c r="G928" i="10"/>
  <c r="G929" i="10" l="1"/>
  <c r="H928" i="10"/>
  <c r="H929" i="10" l="1"/>
  <c r="G930" i="10"/>
  <c r="H930" i="10" l="1"/>
  <c r="G931" i="10"/>
  <c r="H931" i="10" l="1"/>
  <c r="G932" i="10"/>
  <c r="H932" i="10" l="1"/>
  <c r="G933" i="10"/>
  <c r="H933" i="10" l="1"/>
  <c r="G934" i="10"/>
  <c r="H934" i="10" l="1"/>
  <c r="G935" i="10"/>
  <c r="H935" i="10" l="1"/>
  <c r="G936" i="10"/>
  <c r="G937" i="10" l="1"/>
  <c r="H936" i="10"/>
  <c r="H937" i="10" l="1"/>
  <c r="G938" i="10"/>
  <c r="H938" i="10" l="1"/>
  <c r="G939" i="10"/>
  <c r="G940" i="10" l="1"/>
  <c r="H939" i="10"/>
  <c r="H940" i="10" l="1"/>
  <c r="G941" i="10"/>
  <c r="H941" i="10" l="1"/>
  <c r="G942" i="10"/>
  <c r="H942" i="10" l="1"/>
  <c r="G943" i="10"/>
  <c r="H943" i="10" l="1"/>
  <c r="G944" i="10"/>
  <c r="H944" i="10" l="1"/>
  <c r="G945" i="10"/>
  <c r="G946" i="10" l="1"/>
  <c r="H945" i="10"/>
  <c r="G947" i="10" l="1"/>
  <c r="H946" i="10"/>
  <c r="H947" i="10" l="1"/>
  <c r="G948" i="10"/>
  <c r="G949" i="10" l="1"/>
  <c r="H948" i="10"/>
  <c r="H949" i="10" l="1"/>
  <c r="G950" i="10"/>
  <c r="H950" i="10" l="1"/>
  <c r="G951" i="10"/>
  <c r="H951" i="10" l="1"/>
  <c r="G952" i="10"/>
  <c r="G953" i="10" l="1"/>
  <c r="H952" i="10"/>
  <c r="H953" i="10" l="1"/>
  <c r="G954" i="10"/>
  <c r="H954" i="10" l="1"/>
  <c r="G955" i="10"/>
  <c r="H955" i="10" l="1"/>
  <c r="G956" i="10"/>
  <c r="H956" i="10" l="1"/>
  <c r="G957" i="10"/>
  <c r="H957" i="10" l="1"/>
  <c r="G958" i="10"/>
  <c r="H958" i="10" l="1"/>
  <c r="G959" i="10"/>
  <c r="H959" i="10" l="1"/>
  <c r="G960" i="10"/>
  <c r="G961" i="10" l="1"/>
  <c r="H960" i="10"/>
  <c r="H961" i="10" l="1"/>
  <c r="G962" i="10"/>
  <c r="G963" i="10" l="1"/>
  <c r="H962" i="10"/>
  <c r="H963" i="10" l="1"/>
  <c r="G964" i="10"/>
  <c r="H964" i="10" l="1"/>
  <c r="G965" i="10"/>
  <c r="H965" i="10" l="1"/>
  <c r="G966" i="10"/>
  <c r="H966" i="10" l="1"/>
  <c r="G967" i="10"/>
  <c r="H967" i="10" l="1"/>
  <c r="G968" i="10"/>
  <c r="G969" i="10" l="1"/>
  <c r="H968" i="10"/>
  <c r="H969" i="10" l="1"/>
  <c r="G970" i="10"/>
  <c r="H970" i="10" l="1"/>
  <c r="G971" i="10"/>
  <c r="H971" i="10" l="1"/>
  <c r="G972" i="10"/>
  <c r="H972" i="10" l="1"/>
  <c r="G973" i="10"/>
  <c r="H973" i="10" l="1"/>
  <c r="G974" i="10"/>
  <c r="H974" i="10" l="1"/>
  <c r="G975" i="10"/>
  <c r="H975" i="10" l="1"/>
  <c r="G976" i="10"/>
  <c r="G977" i="10" l="1"/>
  <c r="H976" i="10"/>
  <c r="H977" i="10" l="1"/>
  <c r="G978" i="10"/>
  <c r="H978" i="10" l="1"/>
  <c r="G979" i="10"/>
  <c r="H979" i="10" l="1"/>
  <c r="G980" i="10"/>
  <c r="G981" i="10" l="1"/>
  <c r="H980" i="10"/>
  <c r="H981" i="10" l="1"/>
  <c r="G982" i="10"/>
  <c r="H982" i="10" l="1"/>
  <c r="G983" i="10"/>
  <c r="H983" i="10" l="1"/>
  <c r="G984" i="10"/>
  <c r="G985" i="10" l="1"/>
  <c r="H984" i="10"/>
  <c r="H985" i="10" l="1"/>
  <c r="G986" i="10"/>
  <c r="H986" i="10" l="1"/>
  <c r="G987" i="10"/>
  <c r="G988" i="10" l="1"/>
  <c r="H987" i="10"/>
  <c r="H988" i="10" l="1"/>
  <c r="G989" i="10"/>
  <c r="H989" i="10" l="1"/>
  <c r="G990" i="10"/>
  <c r="H990" i="10" l="1"/>
  <c r="G991" i="10"/>
  <c r="H991" i="10" l="1"/>
  <c r="G992" i="10"/>
  <c r="G993" i="10" l="1"/>
  <c r="H992" i="10"/>
  <c r="H993" i="10" l="1"/>
  <c r="G994" i="10"/>
  <c r="G995" i="10" l="1"/>
  <c r="H994" i="10"/>
  <c r="H995" i="10" l="1"/>
  <c r="G996" i="10"/>
  <c r="H996" i="10" l="1"/>
  <c r="G997" i="10"/>
  <c r="H997" i="10" l="1"/>
  <c r="G998" i="10"/>
  <c r="H998" i="10" l="1"/>
  <c r="G999" i="10"/>
  <c r="H999" i="10" l="1"/>
  <c r="G1000" i="10"/>
  <c r="G1001" i="10" l="1"/>
  <c r="H1000" i="10"/>
  <c r="H1001" i="10" l="1"/>
  <c r="G1002" i="10"/>
  <c r="H1002" i="10" l="1"/>
  <c r="G1003" i="10"/>
  <c r="G1004" i="10" l="1"/>
  <c r="H1003" i="10"/>
  <c r="H1004" i="10" l="1"/>
  <c r="G1005" i="10"/>
  <c r="H1005" i="10" l="1"/>
  <c r="G1006" i="10"/>
  <c r="H1006" i="10" l="1"/>
  <c r="G1007" i="10"/>
  <c r="G1008" i="10" l="1"/>
  <c r="H1007" i="10"/>
  <c r="G1009" i="10" l="1"/>
  <c r="H1008" i="10"/>
  <c r="H1009" i="10" l="1"/>
  <c r="G1010" i="10"/>
  <c r="H1010" i="10" l="1"/>
  <c r="G1011" i="10"/>
  <c r="H1011" i="10" l="1"/>
  <c r="G1012" i="10"/>
  <c r="G1013" i="10" l="1"/>
  <c r="H1012" i="10"/>
  <c r="H1013" i="10" l="1"/>
  <c r="G1014" i="10"/>
  <c r="H1014" i="10" l="1"/>
  <c r="G1015" i="10"/>
  <c r="H1015" i="10" l="1"/>
  <c r="G1016" i="10"/>
  <c r="G1017" i="10" l="1"/>
  <c r="H1016" i="10"/>
  <c r="G1018" i="10" l="1"/>
  <c r="H1017" i="10"/>
  <c r="G1019" i="10" l="1"/>
  <c r="H1018" i="10"/>
  <c r="G1020" i="10" l="1"/>
  <c r="H1019" i="10"/>
  <c r="G1021" i="10" l="1"/>
  <c r="H1020" i="10"/>
  <c r="H1021" i="10" l="1"/>
  <c r="G1022" i="10"/>
  <c r="G1023" i="10" l="1"/>
  <c r="H1022" i="10"/>
  <c r="H1023" i="10" l="1"/>
  <c r="G1024" i="10"/>
  <c r="H1024" i="10" l="1"/>
  <c r="G1025" i="10"/>
  <c r="H1025" i="10" l="1"/>
  <c r="G1026" i="10"/>
  <c r="G1027" i="10" l="1"/>
  <c r="H1026" i="10"/>
  <c r="H1027" i="10" l="1"/>
  <c r="G1028" i="10"/>
  <c r="H1028" i="10" l="1"/>
  <c r="G1029" i="10"/>
  <c r="H1029" i="10" l="1"/>
  <c r="G1030" i="10"/>
  <c r="H1030" i="10" l="1"/>
  <c r="G1031" i="10"/>
  <c r="H1031" i="10" l="1"/>
  <c r="G1032" i="10"/>
  <c r="G1033" i="10" l="1"/>
  <c r="H1032" i="10"/>
  <c r="H1033" i="10" l="1"/>
  <c r="G1034" i="10"/>
  <c r="H1034" i="10" l="1"/>
  <c r="G1035" i="10"/>
  <c r="H1035" i="10" l="1"/>
  <c r="G1036" i="10"/>
  <c r="G1037" i="10" l="1"/>
  <c r="H1036" i="10"/>
  <c r="H1037" i="10" l="1"/>
  <c r="G1038" i="10"/>
  <c r="H1038" i="10" l="1"/>
  <c r="G1039" i="10"/>
  <c r="H1039" i="10" l="1"/>
  <c r="G1040" i="10"/>
  <c r="G1041" i="10" l="1"/>
  <c r="H1040" i="10"/>
  <c r="H1041" i="10" l="1"/>
  <c r="G1042" i="10"/>
  <c r="H1042" i="10" l="1"/>
  <c r="G1043" i="10"/>
  <c r="H1043" i="10" l="1"/>
  <c r="G1044" i="10"/>
  <c r="G1045" i="10" l="1"/>
  <c r="H1044" i="10"/>
  <c r="H1045" i="10" l="1"/>
  <c r="G1046" i="10"/>
  <c r="H1046" i="10" l="1"/>
  <c r="G1047" i="10"/>
  <c r="H1047" i="10" l="1"/>
  <c r="G1048" i="10"/>
  <c r="G1049" i="10" l="1"/>
  <c r="H1048" i="10"/>
  <c r="H1049" i="10" l="1"/>
  <c r="G1050" i="10"/>
  <c r="H1050" i="10" l="1"/>
  <c r="G1051" i="10"/>
  <c r="H1051" i="10" l="1"/>
  <c r="G1052" i="10"/>
  <c r="G1053" i="10" l="1"/>
  <c r="H1052" i="10"/>
  <c r="H1053" i="10" l="1"/>
  <c r="G1054" i="10"/>
  <c r="H1054" i="10" l="1"/>
  <c r="G1055" i="10"/>
  <c r="H1055" i="10" l="1"/>
  <c r="G1056" i="10"/>
  <c r="G1057" i="10" l="1"/>
  <c r="H1056" i="10"/>
  <c r="H1057" i="10" l="1"/>
  <c r="G1058" i="10"/>
  <c r="G1059" i="10" l="1"/>
  <c r="H1058" i="10"/>
  <c r="H1059" i="10" l="1"/>
  <c r="G1060" i="10"/>
  <c r="G1061" i="10" l="1"/>
  <c r="H1060" i="10"/>
  <c r="G1062" i="10" l="1"/>
  <c r="H1061" i="10"/>
  <c r="H1062" i="10" l="1"/>
  <c r="G1063" i="10"/>
  <c r="H1063" i="10" l="1"/>
  <c r="G1064" i="10"/>
  <c r="G1065" i="10" l="1"/>
  <c r="H1064" i="10"/>
  <c r="H1065" i="10" l="1"/>
  <c r="G1066" i="10"/>
  <c r="H1066" i="10" l="1"/>
  <c r="G1067" i="10"/>
  <c r="H1067" i="10" l="1"/>
  <c r="G1068" i="10"/>
  <c r="H1068" i="10" l="1"/>
  <c r="G1069" i="10"/>
  <c r="H1069" i="10" l="1"/>
  <c r="G1070" i="10"/>
  <c r="H1070" i="10" l="1"/>
  <c r="G1071" i="10"/>
  <c r="H1071" i="10" l="1"/>
  <c r="G1072" i="10"/>
  <c r="G1073" i="10" l="1"/>
  <c r="H1072" i="10"/>
  <c r="H1073" i="10" l="1"/>
  <c r="G1074" i="10"/>
  <c r="G1075" i="10" l="1"/>
  <c r="H1074" i="10"/>
  <c r="G1076" i="10" l="1"/>
  <c r="H1075" i="10"/>
  <c r="G1077" i="10" l="1"/>
  <c r="H1076" i="10"/>
  <c r="H1077" i="10" l="1"/>
  <c r="G1078" i="10"/>
  <c r="G1079" i="10" l="1"/>
  <c r="H1078" i="10"/>
  <c r="H1079" i="10" l="1"/>
  <c r="G1080" i="10"/>
  <c r="G1081" i="10" l="1"/>
  <c r="H1080" i="10"/>
  <c r="H1081" i="10" l="1"/>
  <c r="G1082" i="10"/>
  <c r="H1082" i="10" l="1"/>
  <c r="G1083" i="10"/>
  <c r="G1084" i="10" l="1"/>
  <c r="H1083" i="10"/>
  <c r="G1085" i="10" l="1"/>
  <c r="H1084" i="10"/>
  <c r="H1085" i="10" l="1"/>
  <c r="G1086" i="10"/>
  <c r="G1087" i="10" l="1"/>
  <c r="H1086" i="10"/>
  <c r="H1087" i="10" l="1"/>
  <c r="G1088" i="10"/>
  <c r="G1089" i="10" l="1"/>
  <c r="H1088" i="10"/>
  <c r="H1089" i="10" l="1"/>
  <c r="G1090" i="10"/>
  <c r="G1091" i="10" l="1"/>
  <c r="H1090" i="10"/>
  <c r="G1092" i="10" l="1"/>
  <c r="H1091" i="10"/>
  <c r="G1093" i="10" l="1"/>
  <c r="H1092" i="10"/>
  <c r="H1093" i="10" l="1"/>
  <c r="G1094" i="10"/>
  <c r="G1095" i="10" l="1"/>
  <c r="H1094" i="10"/>
  <c r="H1095" i="10" l="1"/>
  <c r="G1096" i="10"/>
  <c r="G1097" i="10" l="1"/>
  <c r="H1096" i="10"/>
  <c r="H1097" i="10" l="1"/>
  <c r="G1098" i="10"/>
  <c r="G1099" i="10" l="1"/>
  <c r="H1098" i="10"/>
  <c r="G1100" i="10" l="1"/>
  <c r="H1099" i="10"/>
  <c r="G1101" i="10" l="1"/>
  <c r="H1100" i="10"/>
  <c r="H1101" i="10" l="1"/>
  <c r="G1102" i="10"/>
  <c r="G1103" i="10" l="1"/>
  <c r="H1102" i="10"/>
  <c r="H1103" i="10" l="1"/>
  <c r="G1104" i="10"/>
  <c r="G1105" i="10" l="1"/>
  <c r="H1104" i="10"/>
  <c r="H1105" i="10" l="1"/>
  <c r="G1106" i="10"/>
  <c r="G1107" i="10" l="1"/>
  <c r="H1106" i="10"/>
  <c r="H1107" i="10" l="1"/>
  <c r="G1108" i="10"/>
  <c r="H1108" i="10" l="1"/>
  <c r="G1109" i="10"/>
  <c r="G1110" i="10" l="1"/>
  <c r="H1109" i="10"/>
  <c r="G1111" i="10" l="1"/>
  <c r="H1110" i="10"/>
  <c r="G1112" i="10" l="1"/>
  <c r="H1111" i="10"/>
  <c r="H1112" i="10" l="1"/>
  <c r="G1113" i="10"/>
  <c r="G1114" i="10" l="1"/>
  <c r="H1113" i="10"/>
  <c r="H1114" i="10" l="1"/>
  <c r="G1115" i="10"/>
  <c r="G1116" i="10" l="1"/>
  <c r="H1115" i="10"/>
  <c r="H1116" i="10" l="1"/>
  <c r="G1117" i="10"/>
  <c r="H1117" i="10" l="1"/>
  <c r="G1118" i="10"/>
  <c r="H1118" i="10" l="1"/>
  <c r="G1119" i="10"/>
  <c r="G1120" i="10" l="1"/>
  <c r="H1119" i="10"/>
  <c r="H1120" i="10" l="1"/>
  <c r="G1121" i="10"/>
  <c r="G1122" i="10" l="1"/>
  <c r="H1121" i="10"/>
  <c r="H1122" i="10" l="1"/>
  <c r="G1123" i="10"/>
  <c r="H1123" i="10" l="1"/>
  <c r="G1124" i="10"/>
  <c r="H1124" i="10" l="1"/>
  <c r="G1125" i="10"/>
  <c r="G1126" i="10" l="1"/>
  <c r="H1125" i="10"/>
  <c r="H1126" i="10" l="1"/>
  <c r="G1127" i="10"/>
  <c r="G1128" i="10" l="1"/>
  <c r="H1127" i="10"/>
  <c r="G1129" i="10" l="1"/>
  <c r="H1128" i="10"/>
  <c r="G1130" i="10" l="1"/>
  <c r="H1129" i="10"/>
  <c r="H1130" i="10" l="1"/>
  <c r="G1131" i="10"/>
  <c r="H1131" i="10" l="1"/>
  <c r="G1132" i="10"/>
  <c r="H1132" i="10" l="1"/>
  <c r="G1133" i="10"/>
  <c r="G1134" i="10" l="1"/>
  <c r="H1133" i="10"/>
  <c r="H1134" i="10" l="1"/>
  <c r="G1135" i="10"/>
  <c r="G1136" i="10" l="1"/>
  <c r="H1135" i="10"/>
  <c r="G1137" i="10" l="1"/>
  <c r="H1136" i="10"/>
  <c r="H1137" i="10" l="1"/>
  <c r="G1138" i="10"/>
  <c r="G1139" i="10" l="1"/>
  <c r="H1138" i="10"/>
  <c r="G1140" i="10" l="1"/>
  <c r="H1139" i="10"/>
  <c r="H1140" i="10" l="1"/>
  <c r="G1141" i="10"/>
  <c r="G1142" i="10" l="1"/>
  <c r="H1141" i="10"/>
  <c r="H1142" i="10" l="1"/>
  <c r="G1143" i="10"/>
  <c r="H1143" i="10" l="1"/>
  <c r="G1144" i="10"/>
  <c r="H1144" i="10" l="1"/>
  <c r="G1145" i="10"/>
  <c r="G1146" i="10" l="1"/>
  <c r="H1145" i="10"/>
  <c r="H1146" i="10" l="1"/>
  <c r="G1147" i="10"/>
  <c r="H1147" i="10" l="1"/>
  <c r="G1148" i="10"/>
  <c r="G1149" i="10" l="1"/>
  <c r="H1148" i="10"/>
  <c r="H1149" i="10" l="1"/>
  <c r="G1150" i="10"/>
  <c r="G1151" i="10" l="1"/>
  <c r="H1150" i="10"/>
  <c r="H1151" i="10" l="1"/>
  <c r="G1152" i="10"/>
  <c r="G1153" i="10" l="1"/>
  <c r="H1152" i="10"/>
  <c r="H1153" i="10" l="1"/>
  <c r="G1154" i="10"/>
  <c r="G1155" i="10" l="1"/>
  <c r="H1154" i="10"/>
  <c r="H1155" i="10" l="1"/>
  <c r="G1156" i="10"/>
  <c r="G1157" i="10" l="1"/>
  <c r="H1156" i="10"/>
  <c r="G1158" i="10" l="1"/>
  <c r="H1157" i="10"/>
  <c r="G1159" i="10" l="1"/>
  <c r="H1158" i="10"/>
  <c r="H1159" i="10" l="1"/>
  <c r="G1160" i="10"/>
  <c r="G1161" i="10" l="1"/>
  <c r="H1160" i="10"/>
  <c r="H1161" i="10" l="1"/>
  <c r="G1162" i="10"/>
  <c r="G1163" i="10" l="1"/>
  <c r="H1162" i="10"/>
  <c r="G1164" i="10" l="1"/>
  <c r="H1163" i="10"/>
  <c r="G1165" i="10" l="1"/>
  <c r="H1164" i="10"/>
  <c r="G1166" i="10" l="1"/>
  <c r="H1165" i="10"/>
  <c r="G1167" i="10" l="1"/>
  <c r="H1166" i="10"/>
  <c r="H1167" i="10" l="1"/>
  <c r="G1168" i="10"/>
  <c r="G1169" i="10" l="1"/>
  <c r="H1168" i="10"/>
  <c r="H1169" i="10" l="1"/>
  <c r="G1170" i="10"/>
  <c r="G1171" i="10" l="1"/>
  <c r="H1170" i="10"/>
  <c r="G1172" i="10" l="1"/>
  <c r="H1171" i="10"/>
  <c r="G1173" i="10" l="1"/>
  <c r="H1172" i="10"/>
  <c r="H1173" i="10" l="1"/>
  <c r="G1174" i="10"/>
  <c r="G1175" i="10" l="1"/>
  <c r="H1174" i="10"/>
  <c r="H1175" i="10" l="1"/>
  <c r="G1176" i="10"/>
  <c r="G1177" i="10" l="1"/>
  <c r="H1176" i="10"/>
  <c r="H1177" i="10" l="1"/>
  <c r="G1178" i="10"/>
  <c r="G1179" i="10" l="1"/>
  <c r="H1178" i="10"/>
  <c r="G1180" i="10" l="1"/>
  <c r="H1179" i="10"/>
  <c r="G1181" i="10" l="1"/>
  <c r="H1180" i="10"/>
  <c r="G1182" i="10" l="1"/>
  <c r="H1181" i="10"/>
  <c r="G1183" i="10" l="1"/>
  <c r="H1182" i="10"/>
  <c r="H1183" i="10" l="1"/>
  <c r="G1184" i="10"/>
  <c r="G1185" i="10" l="1"/>
  <c r="H1184" i="10"/>
  <c r="G1186" i="10" l="1"/>
  <c r="H1185" i="10"/>
  <c r="G1187" i="10" l="1"/>
  <c r="H1186" i="10"/>
  <c r="G1188" i="10" l="1"/>
  <c r="H1187" i="10"/>
  <c r="G1189" i="10" l="1"/>
  <c r="H1188" i="10"/>
  <c r="G1190" i="10" l="1"/>
  <c r="H1189" i="10"/>
  <c r="G1191" i="10" l="1"/>
  <c r="H1190" i="10"/>
  <c r="H1191" i="10" l="1"/>
  <c r="G1192" i="10"/>
  <c r="G1193" i="10" l="1"/>
  <c r="H1192" i="10"/>
  <c r="H1193" i="10" l="1"/>
  <c r="G1194" i="10"/>
  <c r="H1194" i="10" l="1"/>
  <c r="G1195" i="10"/>
  <c r="G1196" i="10" l="1"/>
  <c r="H1195" i="10"/>
  <c r="G1197" i="10" l="1"/>
  <c r="H1196" i="10"/>
  <c r="H1197" i="10" l="1"/>
  <c r="G1198" i="10"/>
  <c r="G1199" i="10" l="1"/>
  <c r="H1198" i="10"/>
  <c r="H1199" i="10" l="1"/>
  <c r="G1200" i="10"/>
  <c r="H1200" i="10" l="1"/>
  <c r="G1201" i="10"/>
  <c r="G1202" i="10" l="1"/>
  <c r="H1201" i="10"/>
  <c r="H1202" i="10" l="1"/>
  <c r="G1203" i="10"/>
  <c r="G1204" i="10" l="1"/>
  <c r="H1203" i="10"/>
  <c r="H1204" i="10" l="1"/>
  <c r="G1205" i="10"/>
  <c r="H1205" i="10" l="1"/>
  <c r="G1206" i="10"/>
  <c r="G1207" i="10" l="1"/>
  <c r="H1206" i="10"/>
  <c r="H1207" i="10" l="1"/>
  <c r="G1208" i="10"/>
  <c r="G1209" i="10" l="1"/>
  <c r="H1208" i="10"/>
  <c r="H1209" i="10" l="1"/>
  <c r="G1210" i="10"/>
  <c r="G1211" i="10" l="1"/>
  <c r="H1210" i="10"/>
  <c r="G1212" i="10" l="1"/>
  <c r="H1211" i="10"/>
  <c r="H1212" i="10" l="1"/>
  <c r="G1213" i="10"/>
  <c r="G1214" i="10" l="1"/>
  <c r="H1213" i="10"/>
  <c r="G1215" i="10" l="1"/>
  <c r="H1214" i="10"/>
  <c r="G1216" i="10" l="1"/>
  <c r="H1215" i="10"/>
  <c r="G1217" i="10" l="1"/>
  <c r="H1216" i="10"/>
  <c r="H1217" i="10" l="1"/>
  <c r="G1218" i="10"/>
  <c r="G1219" i="10" l="1"/>
  <c r="H1218" i="10"/>
  <c r="G1220" i="10" l="1"/>
  <c r="H1219" i="10"/>
  <c r="G1221" i="10" l="1"/>
  <c r="H1220" i="10"/>
  <c r="H1221" i="10" l="1"/>
  <c r="G1222" i="10"/>
  <c r="G1223" i="10" l="1"/>
  <c r="H1222" i="10"/>
  <c r="H1223" i="10" l="1"/>
  <c r="G1224" i="10"/>
  <c r="G1225" i="10" l="1"/>
  <c r="H1224" i="10"/>
  <c r="H1225" i="10" l="1"/>
  <c r="G1226" i="10"/>
  <c r="G1227" i="10" l="1"/>
  <c r="H1226" i="10"/>
  <c r="G1228" i="10" l="1"/>
  <c r="H1227" i="10"/>
  <c r="G1229" i="10" l="1"/>
  <c r="H1228" i="10"/>
  <c r="G1230" i="10" l="1"/>
  <c r="H1229" i="10"/>
  <c r="H1230" i="10" l="1"/>
  <c r="G1231" i="10"/>
  <c r="H1231" i="10" l="1"/>
  <c r="G1232" i="10"/>
  <c r="G1233" i="10" l="1"/>
  <c r="H1232" i="10"/>
  <c r="H1233" i="10" l="1"/>
  <c r="G1234" i="10"/>
  <c r="H1234" i="10" l="1"/>
  <c r="G1235" i="10"/>
  <c r="G1236" i="10" l="1"/>
  <c r="H1235" i="10"/>
  <c r="H1236" i="10" l="1"/>
  <c r="G1237" i="10"/>
  <c r="G1238" i="10" l="1"/>
  <c r="H1237" i="10"/>
  <c r="H1238" i="10" l="1"/>
  <c r="G1239" i="10"/>
  <c r="G1240" i="10" l="1"/>
  <c r="H1239" i="10"/>
  <c r="G1241" i="10" l="1"/>
  <c r="H1240" i="10"/>
  <c r="H1241" i="10" l="1"/>
  <c r="G1242" i="10"/>
  <c r="G1243" i="10" l="1"/>
  <c r="H1242" i="10"/>
  <c r="G1244" i="10" l="1"/>
  <c r="H1243" i="10"/>
  <c r="G1245" i="10" l="1"/>
  <c r="H1244" i="10"/>
  <c r="H1245" i="10" l="1"/>
  <c r="G1246" i="10"/>
  <c r="G1247" i="10" l="1"/>
  <c r="H1246" i="10"/>
  <c r="H1247" i="10" l="1"/>
  <c r="G1248" i="10"/>
  <c r="G1249" i="10" l="1"/>
  <c r="H1248" i="10"/>
  <c r="H1249" i="10" l="1"/>
  <c r="G1250" i="10"/>
  <c r="G1251" i="10" l="1"/>
  <c r="H1250" i="10"/>
  <c r="G1252" i="10" l="1"/>
  <c r="H1251" i="10"/>
  <c r="G1253" i="10" l="1"/>
  <c r="H1252" i="10"/>
  <c r="G1254" i="10" l="1"/>
  <c r="H1253" i="10"/>
  <c r="G1255" i="10" l="1"/>
  <c r="H1254" i="10"/>
  <c r="H1255" i="10" l="1"/>
  <c r="G1256" i="10"/>
  <c r="H1256" i="10" l="1"/>
  <c r="G1257" i="10"/>
  <c r="G1258" i="10" l="1"/>
  <c r="H1257" i="10"/>
  <c r="G1259" i="10" l="1"/>
  <c r="H1258" i="10"/>
  <c r="G1260" i="10" l="1"/>
  <c r="H1259" i="10"/>
  <c r="G1261" i="10" l="1"/>
  <c r="H1260" i="10"/>
  <c r="G1262" i="10" l="1"/>
  <c r="H1261" i="10"/>
  <c r="G1263" i="10" l="1"/>
  <c r="H1263" i="10" s="1"/>
  <c r="H1262" i="10"/>
</calcChain>
</file>

<file path=xl/sharedStrings.xml><?xml version="1.0" encoding="utf-8"?>
<sst xmlns="http://schemas.openxmlformats.org/spreadsheetml/2006/main" count="2270" uniqueCount="532">
  <si>
    <t>Lundi</t>
  </si>
  <si>
    <t>Mardi</t>
  </si>
  <si>
    <t>Mercredi</t>
  </si>
  <si>
    <t>Jeudi</t>
  </si>
  <si>
    <t>Vendredi</t>
  </si>
  <si>
    <t>Dodo</t>
  </si>
  <si>
    <t>Ps</t>
  </si>
  <si>
    <t>Pm</t>
  </si>
  <si>
    <t>22-Adar</t>
  </si>
  <si>
    <t>23-Adar</t>
  </si>
  <si>
    <t>24-Adar</t>
  </si>
  <si>
    <t>25-Adar</t>
  </si>
  <si>
    <t>26-Adar</t>
  </si>
  <si>
    <t>29-Adar</t>
  </si>
  <si>
    <t>1-Nissan</t>
  </si>
  <si>
    <t>2-Nissan</t>
  </si>
  <si>
    <t>3-Nissan</t>
  </si>
  <si>
    <t>4-Nissan</t>
  </si>
  <si>
    <t>7-Nissan</t>
  </si>
  <si>
    <t>8-Nissan</t>
  </si>
  <si>
    <t>9-Nissan</t>
  </si>
  <si>
    <t>10-Nissan</t>
  </si>
  <si>
    <t>11-Nissan</t>
  </si>
  <si>
    <t>14-Nissan</t>
  </si>
  <si>
    <t>15-Nissan</t>
  </si>
  <si>
    <t>16-Nissan</t>
  </si>
  <si>
    <t>17-Nissan</t>
  </si>
  <si>
    <t>18-Nissan</t>
  </si>
  <si>
    <t>21-Nissan</t>
  </si>
  <si>
    <t>22-Nissan</t>
  </si>
  <si>
    <t>23-Nissan</t>
  </si>
  <si>
    <t>24-Nissan</t>
  </si>
  <si>
    <t>25-Nissan</t>
  </si>
  <si>
    <t>28-Nissan</t>
  </si>
  <si>
    <t>29-Nissan</t>
  </si>
  <si>
    <t>30-Nissan</t>
  </si>
  <si>
    <t>1-Iyyar</t>
  </si>
  <si>
    <t>2-Iyyar</t>
  </si>
  <si>
    <t>5-Iyyar</t>
  </si>
  <si>
    <t>6-Iyyar</t>
  </si>
  <si>
    <t>7-Iyyar</t>
  </si>
  <si>
    <t>8-Iyyar</t>
  </si>
  <si>
    <t>9-Iyyar</t>
  </si>
  <si>
    <t>12-Iyyar</t>
  </si>
  <si>
    <t>13-Iyyar</t>
  </si>
  <si>
    <t>14-Iyyar</t>
  </si>
  <si>
    <t>15-Iyyar</t>
  </si>
  <si>
    <t>16-Iyyar</t>
  </si>
  <si>
    <t>19-Iyyar</t>
  </si>
  <si>
    <t>20-Iyyar</t>
  </si>
  <si>
    <t>21-Iyyar</t>
  </si>
  <si>
    <t>22-Iyyar</t>
  </si>
  <si>
    <t>23-Iyyar</t>
  </si>
  <si>
    <t>26-Iyyar</t>
  </si>
  <si>
    <t>27-Iyyar</t>
  </si>
  <si>
    <t>28-Iyyar</t>
  </si>
  <si>
    <t>29-Iyyar</t>
  </si>
  <si>
    <t>1-Sivan</t>
  </si>
  <si>
    <t>4-Sivan</t>
  </si>
  <si>
    <t>5-Sivan</t>
  </si>
  <si>
    <t>6-Sivan</t>
  </si>
  <si>
    <t>7-Sivan</t>
  </si>
  <si>
    <t>8-Sivan</t>
  </si>
  <si>
    <t>11-Sivan</t>
  </si>
  <si>
    <t>12-Sivan</t>
  </si>
  <si>
    <t>13-Sivan</t>
  </si>
  <si>
    <t>14-Sivan</t>
  </si>
  <si>
    <t>15-Sivan</t>
  </si>
  <si>
    <t>18-Sivan</t>
  </si>
  <si>
    <t>19-Sivan</t>
  </si>
  <si>
    <t>20-Sivan</t>
  </si>
  <si>
    <t>21-Sivan</t>
  </si>
  <si>
    <t>22-Sivan</t>
  </si>
  <si>
    <t>25-Sivan</t>
  </si>
  <si>
    <t>26-Sivan</t>
  </si>
  <si>
    <t>27-Sivan</t>
  </si>
  <si>
    <t>28-Sivan</t>
  </si>
  <si>
    <t>29-Sivan</t>
  </si>
  <si>
    <t>2-Tammuz</t>
  </si>
  <si>
    <t>3-Tammuz</t>
  </si>
  <si>
    <t>4-Tammuz</t>
  </si>
  <si>
    <t>5-Tammuz</t>
  </si>
  <si>
    <t>6-Tammuz</t>
  </si>
  <si>
    <t>9-Tammuz</t>
  </si>
  <si>
    <t>10-Tammuz</t>
  </si>
  <si>
    <t>11-Tammuz</t>
  </si>
  <si>
    <t>12-Tammuz</t>
  </si>
  <si>
    <t>13-Tammuz</t>
  </si>
  <si>
    <t>16-Tammuz</t>
  </si>
  <si>
    <t>17-Tammuz</t>
  </si>
  <si>
    <t>18-Tammuz</t>
  </si>
  <si>
    <t>19-Tammuz</t>
  </si>
  <si>
    <t>20-Tammuz</t>
  </si>
  <si>
    <t>23-Tammuz</t>
  </si>
  <si>
    <t>24-Tammuz</t>
  </si>
  <si>
    <t>25-Tammuz</t>
  </si>
  <si>
    <t>26-Tammuz</t>
  </si>
  <si>
    <t>27-Tammuz</t>
  </si>
  <si>
    <t>1-Av</t>
  </si>
  <si>
    <t>2-Av</t>
  </si>
  <si>
    <t>3-Av</t>
  </si>
  <si>
    <t>4-Av</t>
  </si>
  <si>
    <t>5-Av</t>
  </si>
  <si>
    <t>8-Av</t>
  </si>
  <si>
    <t>9-Av</t>
  </si>
  <si>
    <t>10-Av</t>
  </si>
  <si>
    <t>11-Av</t>
  </si>
  <si>
    <t>12-Av</t>
  </si>
  <si>
    <t>15-Av</t>
  </si>
  <si>
    <t>16-Av</t>
  </si>
  <si>
    <t>17-Av</t>
  </si>
  <si>
    <t>18-Av</t>
  </si>
  <si>
    <t>19-Av</t>
  </si>
  <si>
    <t>22-Av</t>
  </si>
  <si>
    <t>23-Av</t>
  </si>
  <si>
    <t>1-Adar</t>
  </si>
  <si>
    <t>2-Adar</t>
  </si>
  <si>
    <t>3-Adar</t>
  </si>
  <si>
    <t>4-Adar</t>
  </si>
  <si>
    <t>5-Adar</t>
  </si>
  <si>
    <t>8-Adar</t>
  </si>
  <si>
    <t>9-Adar</t>
  </si>
  <si>
    <t>10-Adar</t>
  </si>
  <si>
    <t>11-Adar</t>
  </si>
  <si>
    <t>12-Adar</t>
  </si>
  <si>
    <t>15-Adar</t>
  </si>
  <si>
    <t>16-Adar</t>
  </si>
  <si>
    <t>17-Adar</t>
  </si>
  <si>
    <t>18-Adar</t>
  </si>
  <si>
    <t>19-Adar</t>
  </si>
  <si>
    <t>24-Av</t>
  </si>
  <si>
    <t>25-Av</t>
  </si>
  <si>
    <t>26-Av</t>
  </si>
  <si>
    <t>29-Av</t>
  </si>
  <si>
    <t>30-Av</t>
  </si>
  <si>
    <t>1-Elul</t>
  </si>
  <si>
    <t>2-Elul</t>
  </si>
  <si>
    <t>3-Elul</t>
  </si>
  <si>
    <t>6-Elul</t>
  </si>
  <si>
    <t>7-Elul</t>
  </si>
  <si>
    <t>8-Elul</t>
  </si>
  <si>
    <t>9-Elul</t>
  </si>
  <si>
    <t>10-Elul</t>
  </si>
  <si>
    <t>13-Elul</t>
  </si>
  <si>
    <t>14-Elul</t>
  </si>
  <si>
    <t>15-Elul</t>
  </si>
  <si>
    <t>16-Elul</t>
  </si>
  <si>
    <t>17-Elul</t>
  </si>
  <si>
    <t>20-Elul</t>
  </si>
  <si>
    <t>21-Elul</t>
  </si>
  <si>
    <t>22-Elul</t>
  </si>
  <si>
    <t>23-Elul</t>
  </si>
  <si>
    <t>24-Elul</t>
  </si>
  <si>
    <t>27-Elul</t>
  </si>
  <si>
    <t>28-Elul</t>
  </si>
  <si>
    <t>29-Elul</t>
  </si>
  <si>
    <t>1-Tishrei</t>
  </si>
  <si>
    <t>2-Tishrei</t>
  </si>
  <si>
    <t>5-Tishrei</t>
  </si>
  <si>
    <t>6-Tishrei</t>
  </si>
  <si>
    <t>7-Tishrei</t>
  </si>
  <si>
    <t>8-Tishrei</t>
  </si>
  <si>
    <t>9-Tishrei</t>
  </si>
  <si>
    <t>12-Tishrei</t>
  </si>
  <si>
    <t>13-Tishrei</t>
  </si>
  <si>
    <t>14-Tishrei</t>
  </si>
  <si>
    <t>15-Tishrei</t>
  </si>
  <si>
    <t>16-Tishrei</t>
  </si>
  <si>
    <t>19-Tishrei</t>
  </si>
  <si>
    <t>20-Tishrei</t>
  </si>
  <si>
    <t>21-Tishrei</t>
  </si>
  <si>
    <t>22-Tishrei</t>
  </si>
  <si>
    <t>23-Tishrei</t>
  </si>
  <si>
    <t>26-Tishrei</t>
  </si>
  <si>
    <t>27-Tishrei</t>
  </si>
  <si>
    <t>28-Tishrei</t>
  </si>
  <si>
    <t>29-Tishrei</t>
  </si>
  <si>
    <t>30-Tishrei</t>
  </si>
  <si>
    <t>3-Cheshvan</t>
  </si>
  <si>
    <t>4-Cheshvan</t>
  </si>
  <si>
    <t>5-Cheshvan</t>
  </si>
  <si>
    <t>6-Cheshvan</t>
  </si>
  <si>
    <t>7-Cheshvan</t>
  </si>
  <si>
    <t>10-Cheshvan</t>
  </si>
  <si>
    <t>11-Cheshvan</t>
  </si>
  <si>
    <t>12-Cheshvan</t>
  </si>
  <si>
    <t>13-Cheshvan</t>
  </si>
  <si>
    <t>14-Cheshvan</t>
  </si>
  <si>
    <t>17-Cheshvan</t>
  </si>
  <si>
    <t>18-Cheshvan</t>
  </si>
  <si>
    <t>19-Cheshvan</t>
  </si>
  <si>
    <t>20-Cheshvan</t>
  </si>
  <si>
    <t>21-Cheshvan</t>
  </si>
  <si>
    <t>24-Cheshvan</t>
  </si>
  <si>
    <t>25-Cheshvan</t>
  </si>
  <si>
    <t>26-Cheshvan</t>
  </si>
  <si>
    <t>27-Cheshvan</t>
  </si>
  <si>
    <t>28-Cheshvan</t>
  </si>
  <si>
    <t>2-Kislev</t>
  </si>
  <si>
    <t>3-Kislev</t>
  </si>
  <si>
    <t>4-Kislev</t>
  </si>
  <si>
    <t>5-Kislev</t>
  </si>
  <si>
    <t>6-Kislev</t>
  </si>
  <si>
    <t>9-Kislev</t>
  </si>
  <si>
    <t>10-Kislev</t>
  </si>
  <si>
    <t>11-Kislev</t>
  </si>
  <si>
    <t>12-Kislev</t>
  </si>
  <si>
    <t>13-Kislev</t>
  </si>
  <si>
    <t>16-Kislev</t>
  </si>
  <si>
    <t>17-Kislev</t>
  </si>
  <si>
    <t>18-Kislev</t>
  </si>
  <si>
    <t>19-Kislev</t>
  </si>
  <si>
    <t>20-Kislev</t>
  </si>
  <si>
    <t>23-Kislev</t>
  </si>
  <si>
    <t>24-Kislev</t>
  </si>
  <si>
    <t>25-Kislev</t>
  </si>
  <si>
    <t>26-Kislev</t>
  </si>
  <si>
    <t>27-Kislev</t>
  </si>
  <si>
    <t>30-Kislev</t>
  </si>
  <si>
    <t>1-Tevet</t>
  </si>
  <si>
    <t>2-Tevet</t>
  </si>
  <si>
    <t>3-Tevet</t>
  </si>
  <si>
    <t>4-Tevet</t>
  </si>
  <si>
    <t>7-Tevet</t>
  </si>
  <si>
    <t>8-Tevet</t>
  </si>
  <si>
    <t>9-Tevet</t>
  </si>
  <si>
    <t>10-Tevet</t>
  </si>
  <si>
    <t>11-Tevet</t>
  </si>
  <si>
    <t>14-Tevet</t>
  </si>
  <si>
    <t>15-Tevet</t>
  </si>
  <si>
    <t>16-Tevet</t>
  </si>
  <si>
    <t>17-Tevet</t>
  </si>
  <si>
    <t>18-Tevet</t>
  </si>
  <si>
    <t>21-Tevet</t>
  </si>
  <si>
    <t>22-Tevet</t>
  </si>
  <si>
    <t>23-Tevet</t>
  </si>
  <si>
    <t>24-Tevet</t>
  </si>
  <si>
    <t>25-Tevet</t>
  </si>
  <si>
    <t>28-Tevet</t>
  </si>
  <si>
    <t>29-Tevet</t>
  </si>
  <si>
    <t>1-Shevat</t>
  </si>
  <si>
    <t>2-Shevat</t>
  </si>
  <si>
    <t>3-Shevat</t>
  </si>
  <si>
    <t>6-Shevat</t>
  </si>
  <si>
    <t>7-Shevat</t>
  </si>
  <si>
    <t>8-Shevat</t>
  </si>
  <si>
    <t>9-Shevat</t>
  </si>
  <si>
    <t>10-Shevat</t>
  </si>
  <si>
    <t>13-Shevat</t>
  </si>
  <si>
    <t>14-Shevat</t>
  </si>
  <si>
    <t>15-Shevat</t>
  </si>
  <si>
    <t>16-Shevat</t>
  </si>
  <si>
    <t>17-Shevat</t>
  </si>
  <si>
    <t>20-Shevat</t>
  </si>
  <si>
    <t>21-Shevat</t>
  </si>
  <si>
    <t>22-Shevat</t>
  </si>
  <si>
    <t>23-Shevat</t>
  </si>
  <si>
    <t>24-Shevat</t>
  </si>
  <si>
    <t>27-Shevat</t>
  </si>
  <si>
    <t>28-Shevat</t>
  </si>
  <si>
    <t>29-Shevat</t>
  </si>
  <si>
    <t>30-Shevat</t>
  </si>
  <si>
    <t>6-Adar</t>
  </si>
  <si>
    <t>7-Adar</t>
  </si>
  <si>
    <t>13-Adar</t>
  </si>
  <si>
    <t>14-Adar</t>
  </si>
  <si>
    <t>20-Adar</t>
  </si>
  <si>
    <t>21-Adar</t>
  </si>
  <si>
    <t>27-Adar</t>
  </si>
  <si>
    <t>28-Adar</t>
  </si>
  <si>
    <t>5-Nissan</t>
  </si>
  <si>
    <t>6-Nissan</t>
  </si>
  <si>
    <t>12-Nissan</t>
  </si>
  <si>
    <t>13-Nissan</t>
  </si>
  <si>
    <t>19-Nissan</t>
  </si>
  <si>
    <t>20-Nissan</t>
  </si>
  <si>
    <t>26-Nissan</t>
  </si>
  <si>
    <t>27-Nissan</t>
  </si>
  <si>
    <t>3-Iyyar</t>
  </si>
  <si>
    <t>4-Iyyar</t>
  </si>
  <si>
    <t>10-Iyyar</t>
  </si>
  <si>
    <t>11-Iyyar</t>
  </si>
  <si>
    <t>17-Iyyar</t>
  </si>
  <si>
    <t>18-Iyyar</t>
  </si>
  <si>
    <t>24-Iyyar</t>
  </si>
  <si>
    <t>25-Iyyar</t>
  </si>
  <si>
    <t>2-Sivan</t>
  </si>
  <si>
    <t>3-Sivan</t>
  </si>
  <si>
    <t>9-Sivan</t>
  </si>
  <si>
    <t>10-Sivan</t>
  </si>
  <si>
    <t>16-Sivan</t>
  </si>
  <si>
    <t>17-Sivan</t>
  </si>
  <si>
    <t>23-Sivan</t>
  </si>
  <si>
    <t>24-Sivan</t>
  </si>
  <si>
    <t>30-Sivan</t>
  </si>
  <si>
    <t>1-Tammuz</t>
  </si>
  <si>
    <t>7-Tammuz</t>
  </si>
  <si>
    <t>8-Tammuz</t>
  </si>
  <si>
    <t>14-Tammuz</t>
  </si>
  <si>
    <t>15-Tammuz</t>
  </si>
  <si>
    <t>21-Tammuz</t>
  </si>
  <si>
    <t>22-Tammuz</t>
  </si>
  <si>
    <t>28-Tammuz</t>
  </si>
  <si>
    <t>29-Tammuz</t>
  </si>
  <si>
    <t>6-Av</t>
  </si>
  <si>
    <t>7-Av</t>
  </si>
  <si>
    <t>13-Av</t>
  </si>
  <si>
    <t>14-Av</t>
  </si>
  <si>
    <t>20-Av</t>
  </si>
  <si>
    <t>21-Av</t>
  </si>
  <si>
    <t>27-Av</t>
  </si>
  <si>
    <t>28-Av</t>
  </si>
  <si>
    <t>4-Elul</t>
  </si>
  <si>
    <t>5-Elul</t>
  </si>
  <si>
    <t>11-Elul</t>
  </si>
  <si>
    <t>12-Elul</t>
  </si>
  <si>
    <t>18-Elul</t>
  </si>
  <si>
    <t>19-Elul</t>
  </si>
  <si>
    <t>25-Elul</t>
  </si>
  <si>
    <t>26-Elul</t>
  </si>
  <si>
    <t>3-Tishrei</t>
  </si>
  <si>
    <t>4-Tishrei</t>
  </si>
  <si>
    <t>10-Tishrei</t>
  </si>
  <si>
    <t>11-Tishrei</t>
  </si>
  <si>
    <t>17-Tishrei</t>
  </si>
  <si>
    <t>18-Tishrei</t>
  </si>
  <si>
    <t>24-Tishrei</t>
  </si>
  <si>
    <t>25-Tishrei</t>
  </si>
  <si>
    <t>1-Cheshvan</t>
  </si>
  <si>
    <t>2-Cheshvan</t>
  </si>
  <si>
    <t>8-Cheshvan</t>
  </si>
  <si>
    <t>9-Cheshvan</t>
  </si>
  <si>
    <t>15-Cheshvan</t>
  </si>
  <si>
    <t>16-Cheshvan</t>
  </si>
  <si>
    <t>22-Cheshvan</t>
  </si>
  <si>
    <t>23-Cheshvan</t>
  </si>
  <si>
    <t>29-Cheshvan</t>
  </si>
  <si>
    <t>30-Cheshvan</t>
  </si>
  <si>
    <t>1-Kislev</t>
  </si>
  <si>
    <t>7-Kislev</t>
  </si>
  <si>
    <t>8-Kislev</t>
  </si>
  <si>
    <t>14-Kislev</t>
  </si>
  <si>
    <t>15-Kislev</t>
  </si>
  <si>
    <t>21-Kislev</t>
  </si>
  <si>
    <t>22-Kislev</t>
  </si>
  <si>
    <t>28-Kislev</t>
  </si>
  <si>
    <t>29-Kislev</t>
  </si>
  <si>
    <t>5-Tevet</t>
  </si>
  <si>
    <t>6-Tevet</t>
  </si>
  <si>
    <t>12-Tevet</t>
  </si>
  <si>
    <t>13-Tevet</t>
  </si>
  <si>
    <t>19-Tevet</t>
  </si>
  <si>
    <t>20-Tevet</t>
  </si>
  <si>
    <t>26-Tevet</t>
  </si>
  <si>
    <t>27-Tevet</t>
  </si>
  <si>
    <t>4-Shevat</t>
  </si>
  <si>
    <t>5-Shevat</t>
  </si>
  <si>
    <t>11-Shevat</t>
  </si>
  <si>
    <t>12-Shevat</t>
  </si>
  <si>
    <t>18-Shevat</t>
  </si>
  <si>
    <t>19-Shevat</t>
  </si>
  <si>
    <t>25-Shevat</t>
  </si>
  <si>
    <t>26-Shevat</t>
  </si>
  <si>
    <t>1-Adar I</t>
  </si>
  <si>
    <t>2-Adar I</t>
  </si>
  <si>
    <t>3-Adar I</t>
  </si>
  <si>
    <t>6-Adar I</t>
  </si>
  <si>
    <t>7-Adar I</t>
  </si>
  <si>
    <t>8-Adar I</t>
  </si>
  <si>
    <t>9-Adar I</t>
  </si>
  <si>
    <t>10-Adar I</t>
  </si>
  <si>
    <t>13-Adar I</t>
  </si>
  <si>
    <t>14-Adar I</t>
  </si>
  <si>
    <t>15-Adar I</t>
  </si>
  <si>
    <t>16-Adar I</t>
  </si>
  <si>
    <t>17-Adar I</t>
  </si>
  <si>
    <t>20-Adar I</t>
  </si>
  <si>
    <t>21-Adar I</t>
  </si>
  <si>
    <t>22-Adar I</t>
  </si>
  <si>
    <t>23-Adar I</t>
  </si>
  <si>
    <t>24-Adar I</t>
  </si>
  <si>
    <t>27-Adar I</t>
  </si>
  <si>
    <t>28-Adar I</t>
  </si>
  <si>
    <t>29-Adar I</t>
  </si>
  <si>
    <t>30-Adar I</t>
  </si>
  <si>
    <t>1-Adar II</t>
  </si>
  <si>
    <t>4-Adar II</t>
  </si>
  <si>
    <t>5-Adar II</t>
  </si>
  <si>
    <t>6-Adar II</t>
  </si>
  <si>
    <t>7-Adar II</t>
  </si>
  <si>
    <t>8-Adar II</t>
  </si>
  <si>
    <t>11-Adar II</t>
  </si>
  <si>
    <t>12-Adar II</t>
  </si>
  <si>
    <t>13-Adar II</t>
  </si>
  <si>
    <t>14-Adar II</t>
  </si>
  <si>
    <t>15-Adar II</t>
  </si>
  <si>
    <t>18-Adar II</t>
  </si>
  <si>
    <t>19-Adar II</t>
  </si>
  <si>
    <t>20-Adar II</t>
  </si>
  <si>
    <t>21-Adar II</t>
  </si>
  <si>
    <t>22-Adar II</t>
  </si>
  <si>
    <t>25-Adar II</t>
  </si>
  <si>
    <t>26-Adar II</t>
  </si>
  <si>
    <t>27-Adar II</t>
  </si>
  <si>
    <t>28-Adar II</t>
  </si>
  <si>
    <t>29-Adar II</t>
  </si>
  <si>
    <t>30-Heshvan</t>
  </si>
  <si>
    <t xml:space="preserve"> </t>
  </si>
  <si>
    <t/>
  </si>
  <si>
    <t>Samedi</t>
  </si>
  <si>
    <t>Dimanche</t>
  </si>
  <si>
    <t>Matin</t>
  </si>
  <si>
    <t>AM</t>
  </si>
  <si>
    <t>Soir</t>
  </si>
  <si>
    <t>?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</si>
  <si>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</si>
  <si>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</si>
  <si>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</si>
  <si>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</si>
  <si>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</si>
  <si>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</si>
  <si>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</si>
  <si>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</si>
  <si>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</si>
  <si>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</si>
  <si>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</si>
  <si>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</si>
  <si>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Decat</t>
  </si>
  <si>
    <t>GOSP</t>
  </si>
  <si>
    <t>Bugnot</t>
  </si>
  <si>
    <t>GOSp</t>
  </si>
  <si>
    <t>KsCycl</t>
  </si>
  <si>
    <t>#1</t>
  </si>
  <si>
    <t>GS</t>
  </si>
  <si>
    <t>7+3</t>
  </si>
  <si>
    <t>Scor</t>
  </si>
  <si>
    <t>Set</t>
  </si>
  <si>
    <t>J</t>
  </si>
  <si>
    <t>moy</t>
  </si>
  <si>
    <t>Pts</t>
  </si>
  <si>
    <t>$</t>
  </si>
  <si>
    <t>RK</t>
  </si>
  <si>
    <t>ATP 250</t>
  </si>
  <si>
    <t>Victoire</t>
  </si>
  <si>
    <t>Vainqueur</t>
  </si>
  <si>
    <t>Brisbane</t>
  </si>
  <si>
    <t>#16</t>
  </si>
  <si>
    <t>ATP 500</t>
  </si>
  <si>
    <t>Finale</t>
  </si>
  <si>
    <t>Sidney</t>
  </si>
  <si>
    <t>ATP 1000</t>
  </si>
  <si>
    <t>1/2 finale</t>
  </si>
  <si>
    <t>Demi-finales</t>
  </si>
  <si>
    <t>Melbourne</t>
  </si>
  <si>
    <t>1/4 de finale</t>
  </si>
  <si>
    <t>Quarts de finale</t>
  </si>
  <si>
    <t>Montpellier</t>
  </si>
  <si>
    <t>Mast</t>
  </si>
  <si>
    <r>
      <t>2</t>
    </r>
    <r>
      <rPr>
        <vertAlign val="superscript"/>
        <sz val="9.35"/>
        <color rgb="FF222222"/>
        <rFont val="Arial"/>
        <family val="2"/>
      </rPr>
      <t>e</t>
    </r>
    <r>
      <rPr>
        <sz val="9.35"/>
        <color rgb="FF222222"/>
        <rFont val="Arial"/>
        <family val="2"/>
      </rPr>
      <t> tour</t>
    </r>
  </si>
  <si>
    <t>1/8 de finale</t>
  </si>
  <si>
    <t>Rotterdam</t>
  </si>
  <si>
    <r>
      <t>1</t>
    </r>
    <r>
      <rPr>
        <vertAlign val="superscript"/>
        <sz val="9.35"/>
        <color rgb="FF222222"/>
        <rFont val="Arial"/>
        <family val="2"/>
      </rPr>
      <t>er</t>
    </r>
    <r>
      <rPr>
        <sz val="9.35"/>
        <color rgb="FF222222"/>
        <rFont val="Arial"/>
        <family val="2"/>
      </rPr>
      <t> tour</t>
    </r>
  </si>
  <si>
    <r>
      <t>1</t>
    </r>
    <r>
      <rPr>
        <vertAlign val="superscript"/>
        <sz val="8"/>
        <color rgb="FF222222"/>
        <rFont val="Arial"/>
        <family val="2"/>
      </rPr>
      <t>er</t>
    </r>
    <r>
      <rPr>
        <sz val="8"/>
        <color rgb="FF222222"/>
        <rFont val="Arial"/>
        <family val="2"/>
      </rPr>
      <t> tour</t>
    </r>
  </si>
  <si>
    <t>2e tour</t>
  </si>
  <si>
    <t>1/16 de finale</t>
  </si>
  <si>
    <t>Marseille</t>
  </si>
  <si>
    <t>1er tour</t>
  </si>
  <si>
    <r>
      <t>2</t>
    </r>
    <r>
      <rPr>
        <vertAlign val="superscript"/>
        <sz val="8"/>
        <color rgb="FF222222"/>
        <rFont val="Arial"/>
        <family val="2"/>
      </rPr>
      <t>e</t>
    </r>
    <r>
      <rPr>
        <sz val="8"/>
        <color rgb="FF222222"/>
        <rFont val="Arial"/>
        <family val="2"/>
      </rPr>
      <t> tour</t>
    </r>
  </si>
  <si>
    <t>Accapulco</t>
  </si>
  <si>
    <t>Indian Wells</t>
  </si>
  <si>
    <t>Miami</t>
  </si>
  <si>
    <t>MonteCarlo</t>
  </si>
  <si>
    <t>Barcelone</t>
  </si>
  <si>
    <t>Madrid</t>
  </si>
  <si>
    <t>Rome</t>
  </si>
  <si>
    <t>RG</t>
  </si>
  <si>
    <t>Queen's</t>
  </si>
  <si>
    <t>Wimbledon</t>
  </si>
  <si>
    <t>Washingtown</t>
  </si>
  <si>
    <t>Toronto</t>
  </si>
  <si>
    <t>Cincinati</t>
  </si>
  <si>
    <t>US Open</t>
  </si>
  <si>
    <t>Shanghai</t>
  </si>
  <si>
    <t>Metz</t>
  </si>
  <si>
    <t>Anvers</t>
  </si>
  <si>
    <t>#218</t>
  </si>
  <si>
    <t xml:space="preserve">Vienne </t>
  </si>
  <si>
    <t>#112</t>
  </si>
  <si>
    <t>Bercy</t>
  </si>
  <si>
    <t>#44</t>
  </si>
  <si>
    <t>Masters</t>
  </si>
  <si>
    <t>#14</t>
  </si>
  <si>
    <t>#12</t>
  </si>
  <si>
    <t>Req</t>
  </si>
  <si>
    <t>Match</t>
  </si>
  <si>
    <t>8e de finale</t>
  </si>
  <si>
    <t>#7</t>
  </si>
  <si>
    <t>#6</t>
  </si>
  <si>
    <t>#999</t>
  </si>
  <si>
    <t>Tourn</t>
  </si>
  <si>
    <t>4+1</t>
  </si>
  <si>
    <t>5+1</t>
  </si>
  <si>
    <t>#5</t>
  </si>
  <si>
    <t>#3</t>
  </si>
  <si>
    <t>#2</t>
  </si>
  <si>
    <t>Ace</t>
  </si>
  <si>
    <t>SetW</t>
  </si>
  <si>
    <t>MatchW</t>
  </si>
  <si>
    <t>JAN</t>
  </si>
  <si>
    <t>NOV</t>
  </si>
  <si>
    <t>FEV</t>
  </si>
  <si>
    <t>MAR</t>
  </si>
  <si>
    <t>AVR</t>
  </si>
  <si>
    <t>MAI</t>
  </si>
  <si>
    <t>JUN</t>
  </si>
  <si>
    <t>JUL</t>
  </si>
  <si>
    <t>SEP</t>
  </si>
  <si>
    <t>AOU</t>
  </si>
  <si>
    <t>OCT</t>
  </si>
  <si>
    <t>Gain</t>
  </si>
  <si>
    <t>apport</t>
  </si>
  <si>
    <t>tot</t>
  </si>
  <si>
    <t>px</t>
  </si>
  <si>
    <t>années</t>
  </si>
  <si>
    <t>taux</t>
  </si>
  <si>
    <t>Mois</t>
  </si>
  <si>
    <t>assur</t>
  </si>
  <si>
    <t>Remb</t>
  </si>
  <si>
    <t>200k</t>
  </si>
  <si>
    <t>150k</t>
  </si>
  <si>
    <t>75k</t>
  </si>
  <si>
    <t>GrdSl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</si>
</sst>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#,##0.0"/>
    <numFmt numFmtId="165" formatCode="[h]:mm"/>
    <numFmt numFmtId="166" formatCode="0.0"/>
    <numFmt numFmtId="167" formatCode="[$-40C]d\-mmm;@"/>
    <numFmt numFmtId="168" formatCode="h:mm;@"/>
    <numFmt numFmtId="169" formatCode="h:mm:ss;@"/>
    <numFmt numFmtId="170" formatCode="dd/mm/yyyy\ hh:mm:ss"/>
    <numFmt numFmtId="171" formatCode="0.00000"/>
    <numFmt numFmtId="172" formatCode="[$-F800]dddd\,\ mmmm\ dd\,\ yyyy"/>
    <numFmt numFmtId="173" formatCode="dd\ hh:mm:ss.000;@"/>
    <numFmt numFmtId="174" formatCode="d/m/yy\ h:mm;@"/>
    <numFmt numFmtId="175" formatCode="[h]:mm:ss;@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Arial"/>
      <family val="2"/>
    </font>
    <font>
      <sz val="6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7"/>
      <color theme="1"/>
      <name val="Calibri"/>
      <family val="2"/>
      <scheme val="minor"/>
    </font>
    <font>
      <b/>
      <sz val="7"/>
      <color theme="1"/>
      <name val="Arial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color theme="1"/>
      <name val="Arial"/>
      <family val="2"/>
    </font>
    <font>
      <sz val="11"/>
      <color theme="1"/>
      <name val="Calibri"/>
      <family val="2"/>
      <scheme val="minor"/>
    </font>
    <font>
      <sz val="8"/>
      <color rgb="FF222222"/>
      <name val="Arial"/>
      <family val="2"/>
    </font>
    <font>
      <sz val="9.35"/>
      <color rgb="FF222222"/>
      <name val="Arial"/>
      <family val="2"/>
    </font>
    <font>
      <vertAlign val="superscript"/>
      <sz val="9.35"/>
      <color rgb="FF222222"/>
      <name val="Arial"/>
      <family val="2"/>
    </font>
    <font>
      <vertAlign val="superscript"/>
      <sz val="8"/>
      <color rgb="FF222222"/>
      <name val="Arial"/>
      <family val="2"/>
    </font>
    <font>
      <b/>
      <sz val="6"/>
      <color theme="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A2A9B1"/>
      </left>
      <right style="medium">
        <color rgb="FFA2A9B1"/>
      </right>
      <top style="medium">
        <color rgb="FFA2A9B1"/>
      </top>
      <bottom style="medium">
        <color rgb="FFA2A9B1"/>
      </bottom>
      <diagonal/>
    </border>
    <border>
      <left style="medium">
        <color rgb="FFA2A9B1"/>
      </left>
      <right style="medium">
        <color rgb="FFA2A9B1"/>
      </right>
      <top/>
      <bottom/>
      <diagonal/>
    </border>
  </borders>
  <cellStyleXfs count="2">
    <xf numFmtId="0" fontId="0" fillId="0" borderId="0"/>
    <xf numFmtId="9" fontId="10" fillId="0" borderId="0" applyFont="0" applyFill="0" applyBorder="0" applyAlignment="0" applyProtection="0"/>
  </cellStyleXfs>
  <cellXfs count="272">
    <xf numFmtId="0" fontId="0" fillId="0" borderId="0" xfId="0"/>
    <xf numFmtId="20" fontId="0" fillId="0" borderId="0" xfId="0" applyNumberFormat="1"/>
    <xf numFmtId="0" fontId="1" fillId="0" borderId="2" xfId="0" applyFont="1" applyBorder="1"/>
    <xf numFmtId="16" fontId="1" fillId="0" borderId="2" xfId="0" applyNumberFormat="1" applyFont="1" applyBorder="1"/>
    <xf numFmtId="20" fontId="1" fillId="4" borderId="2" xfId="0" applyNumberFormat="1" applyFont="1" applyFill="1" applyBorder="1"/>
    <xf numFmtId="0" fontId="1" fillId="4" borderId="2" xfId="0" applyFont="1" applyFill="1" applyBorder="1"/>
    <xf numFmtId="20" fontId="1" fillId="0" borderId="3" xfId="0" applyNumberFormat="1" applyFont="1" applyBorder="1"/>
    <xf numFmtId="0" fontId="1" fillId="0" borderId="0" xfId="0" applyFont="1"/>
    <xf numFmtId="0" fontId="1" fillId="0" borderId="0" xfId="0" applyFont="1" applyBorder="1"/>
    <xf numFmtId="16" fontId="1" fillId="0" borderId="0" xfId="0" applyNumberFormat="1" applyFont="1" applyBorder="1"/>
    <xf numFmtId="20" fontId="1" fillId="4" borderId="0" xfId="0" applyNumberFormat="1" applyFont="1" applyFill="1" applyBorder="1"/>
    <xf numFmtId="0" fontId="1" fillId="4" borderId="0" xfId="0" applyFont="1" applyFill="1" applyBorder="1"/>
    <xf numFmtId="20" fontId="1" fillId="0" borderId="5" xfId="0" applyNumberFormat="1" applyFont="1" applyBorder="1"/>
    <xf numFmtId="0" fontId="1" fillId="2" borderId="7" xfId="0" applyFont="1" applyFill="1" applyBorder="1"/>
    <xf numFmtId="16" fontId="1" fillId="0" borderId="7" xfId="0" applyNumberFormat="1" applyFont="1" applyBorder="1"/>
    <xf numFmtId="20" fontId="1" fillId="4" borderId="7" xfId="0" applyNumberFormat="1" applyFont="1" applyFill="1" applyBorder="1"/>
    <xf numFmtId="0" fontId="1" fillId="4" borderId="7" xfId="0" applyFont="1" applyFill="1" applyBorder="1"/>
    <xf numFmtId="0" fontId="1" fillId="0" borderId="7" xfId="0" applyFont="1" applyBorder="1"/>
    <xf numFmtId="20" fontId="1" fillId="0" borderId="8" xfId="0" applyNumberFormat="1" applyFont="1" applyBorder="1"/>
    <xf numFmtId="0" fontId="0" fillId="2" borderId="7" xfId="0" applyFont="1" applyFill="1" applyBorder="1"/>
    <xf numFmtId="16" fontId="0" fillId="0" borderId="7" xfId="0" applyNumberFormat="1" applyFont="1" applyBorder="1"/>
    <xf numFmtId="20" fontId="0" fillId="4" borderId="7" xfId="0" applyNumberFormat="1" applyFont="1" applyFill="1" applyBorder="1"/>
    <xf numFmtId="0" fontId="0" fillId="4" borderId="7" xfId="0" applyFont="1" applyFill="1" applyBorder="1"/>
    <xf numFmtId="0" fontId="0" fillId="0" borderId="7" xfId="0" applyFont="1" applyBorder="1"/>
    <xf numFmtId="0" fontId="0" fillId="0" borderId="2" xfId="0" applyFont="1" applyBorder="1"/>
    <xf numFmtId="16" fontId="0" fillId="0" borderId="2" xfId="0" applyNumberFormat="1" applyFont="1" applyBorder="1"/>
    <xf numFmtId="20" fontId="0" fillId="4" borderId="2" xfId="0" applyNumberFormat="1" applyFont="1" applyFill="1" applyBorder="1"/>
    <xf numFmtId="0" fontId="0" fillId="4" borderId="2" xfId="0" applyFont="1" applyFill="1" applyBorder="1"/>
    <xf numFmtId="0" fontId="0" fillId="0" borderId="0" xfId="0" applyFont="1" applyBorder="1"/>
    <xf numFmtId="16" fontId="0" fillId="0" borderId="0" xfId="0" applyNumberFormat="1" applyFont="1" applyBorder="1"/>
    <xf numFmtId="20" fontId="0" fillId="4" borderId="0" xfId="0" applyNumberFormat="1" applyFont="1" applyFill="1" applyBorder="1"/>
    <xf numFmtId="0" fontId="0" fillId="4" borderId="0" xfId="0" applyFont="1" applyFill="1" applyBorder="1"/>
    <xf numFmtId="0" fontId="0" fillId="0" borderId="0" xfId="0" applyFont="1" applyFill="1" applyBorder="1"/>
    <xf numFmtId="1" fontId="0" fillId="0" borderId="0" xfId="0" applyNumberFormat="1"/>
    <xf numFmtId="1" fontId="1" fillId="0" borderId="2" xfId="0" applyNumberFormat="1" applyFont="1" applyBorder="1"/>
    <xf numFmtId="1" fontId="1" fillId="0" borderId="0" xfId="0" applyNumberFormat="1" applyFont="1" applyBorder="1"/>
    <xf numFmtId="1" fontId="1" fillId="0" borderId="7" xfId="0" applyNumberFormat="1" applyFont="1" applyBorder="1"/>
    <xf numFmtId="1" fontId="0" fillId="0" borderId="7" xfId="0" applyNumberFormat="1" applyFont="1" applyBorder="1"/>
    <xf numFmtId="1" fontId="0" fillId="0" borderId="2" xfId="0" applyNumberFormat="1" applyFont="1" applyBorder="1"/>
    <xf numFmtId="1" fontId="0" fillId="0" borderId="0" xfId="0" applyNumberFormat="1" applyFont="1" applyBorder="1"/>
    <xf numFmtId="1" fontId="1" fillId="3" borderId="0" xfId="0" applyNumberFormat="1" applyFont="1" applyFill="1" applyBorder="1"/>
    <xf numFmtId="20" fontId="1" fillId="0" borderId="0" xfId="0" applyNumberFormat="1" applyFont="1"/>
    <xf numFmtId="17" fontId="0" fillId="0" borderId="0" xfId="0" applyNumberFormat="1"/>
    <xf numFmtId="3" fontId="0" fillId="0" borderId="0" xfId="0" applyNumberFormat="1"/>
    <xf numFmtId="164" fontId="0" fillId="0" borderId="0" xfId="0" applyNumberFormat="1"/>
    <xf numFmtId="0" fontId="1" fillId="0" borderId="0" xfId="0" applyFont="1" applyFill="1" applyBorder="1"/>
    <xf numFmtId="20" fontId="1" fillId="0" borderId="0" xfId="0" applyNumberFormat="1" applyFont="1" applyBorder="1"/>
    <xf numFmtId="16" fontId="0" fillId="5" borderId="2" xfId="0" applyNumberFormat="1" applyFont="1" applyFill="1" applyBorder="1"/>
    <xf numFmtId="16" fontId="0" fillId="5" borderId="0" xfId="0" applyNumberFormat="1" applyFont="1" applyFill="1" applyBorder="1"/>
    <xf numFmtId="16" fontId="0" fillId="5" borderId="7" xfId="0" applyNumberFormat="1" applyFont="1" applyFill="1" applyBorder="1"/>
    <xf numFmtId="165" fontId="0" fillId="0" borderId="0" xfId="0" applyNumberFormat="1"/>
    <xf numFmtId="165" fontId="1" fillId="0" borderId="1" xfId="0" applyNumberFormat="1" applyFont="1" applyBorder="1"/>
    <xf numFmtId="165" fontId="1" fillId="0" borderId="4" xfId="0" applyNumberFormat="1" applyFont="1" applyBorder="1"/>
    <xf numFmtId="165" fontId="1" fillId="0" borderId="6" xfId="0" applyNumberFormat="1" applyFont="1" applyBorder="1"/>
    <xf numFmtId="165" fontId="0" fillId="0" borderId="4" xfId="0" applyNumberFormat="1" applyFont="1" applyBorder="1"/>
    <xf numFmtId="165" fontId="0" fillId="0" borderId="1" xfId="0" applyNumberFormat="1" applyFont="1" applyBorder="1"/>
    <xf numFmtId="165" fontId="0" fillId="0" borderId="6" xfId="0" applyNumberFormat="1" applyFont="1" applyBorder="1"/>
    <xf numFmtId="20" fontId="0" fillId="0" borderId="0" xfId="0" applyNumberFormat="1" applyFont="1"/>
    <xf numFmtId="16" fontId="0" fillId="2" borderId="7" xfId="0" applyNumberFormat="1" applyFont="1" applyFill="1" applyBorder="1"/>
    <xf numFmtId="16" fontId="0" fillId="2" borderId="2" xfId="0" applyNumberFormat="1" applyFont="1" applyFill="1" applyBorder="1"/>
    <xf numFmtId="16" fontId="0" fillId="2" borderId="0" xfId="0" applyNumberFormat="1" applyFont="1" applyFill="1" applyBorder="1"/>
    <xf numFmtId="20" fontId="1" fillId="6" borderId="0" xfId="0" applyNumberFormat="1" applyFont="1" applyFill="1"/>
    <xf numFmtId="0" fontId="1" fillId="6" borderId="0" xfId="0" applyFont="1" applyFill="1"/>
    <xf numFmtId="20" fontId="0" fillId="6" borderId="0" xfId="0" applyNumberFormat="1" applyFont="1" applyFill="1"/>
    <xf numFmtId="0" fontId="0" fillId="6" borderId="0" xfId="0" applyFont="1" applyFill="1"/>
    <xf numFmtId="16" fontId="1" fillId="3" borderId="7" xfId="0" applyNumberFormat="1" applyFont="1" applyFill="1" applyBorder="1"/>
    <xf numFmtId="1" fontId="1" fillId="3" borderId="2" xfId="0" applyNumberFormat="1" applyFont="1" applyFill="1" applyBorder="1"/>
    <xf numFmtId="20" fontId="1" fillId="2" borderId="2" xfId="0" applyNumberFormat="1" applyFont="1" applyFill="1" applyBorder="1"/>
    <xf numFmtId="20" fontId="1" fillId="2" borderId="0" xfId="0" applyNumberFormat="1" applyFont="1" applyFill="1" applyBorder="1"/>
    <xf numFmtId="165" fontId="1" fillId="2" borderId="1" xfId="0" applyNumberFormat="1" applyFont="1" applyFill="1" applyBorder="1"/>
    <xf numFmtId="0" fontId="1" fillId="2" borderId="2" xfId="0" applyFont="1" applyFill="1" applyBorder="1"/>
    <xf numFmtId="16" fontId="1" fillId="2" borderId="2" xfId="0" applyNumberFormat="1" applyFont="1" applyFill="1" applyBorder="1"/>
    <xf numFmtId="165" fontId="1" fillId="2" borderId="4" xfId="0" applyNumberFormat="1" applyFont="1" applyFill="1" applyBorder="1"/>
    <xf numFmtId="0" fontId="1" fillId="2" borderId="0" xfId="0" applyFont="1" applyFill="1" applyBorder="1"/>
    <xf numFmtId="16" fontId="1" fillId="2" borderId="0" xfId="0" applyNumberFormat="1" applyFont="1" applyFill="1" applyBorder="1"/>
    <xf numFmtId="1" fontId="1" fillId="3" borderId="7" xfId="0" applyNumberFormat="1" applyFont="1" applyFill="1" applyBorder="1"/>
    <xf numFmtId="46" fontId="0" fillId="0" borderId="0" xfId="0" applyNumberFormat="1"/>
    <xf numFmtId="1" fontId="1" fillId="7" borderId="0" xfId="0" applyNumberFormat="1" applyFont="1" applyFill="1" applyBorder="1"/>
    <xf numFmtId="1" fontId="1" fillId="8" borderId="0" xfId="0" applyNumberFormat="1" applyFont="1" applyFill="1" applyBorder="1"/>
    <xf numFmtId="0" fontId="0" fillId="0" borderId="0" xfId="0" applyFont="1"/>
    <xf numFmtId="1" fontId="0" fillId="0" borderId="0" xfId="0" applyNumberFormat="1" applyFont="1"/>
    <xf numFmtId="16" fontId="0" fillId="3" borderId="7" xfId="0" applyNumberFormat="1" applyFont="1" applyFill="1" applyBorder="1"/>
    <xf numFmtId="1" fontId="1" fillId="8" borderId="2" xfId="0" applyNumberFormat="1" applyFont="1" applyFill="1" applyBorder="1"/>
    <xf numFmtId="0" fontId="0" fillId="2" borderId="0" xfId="0" applyFill="1"/>
    <xf numFmtId="16" fontId="1" fillId="5" borderId="2" xfId="0" applyNumberFormat="1" applyFont="1" applyFill="1" applyBorder="1"/>
    <xf numFmtId="16" fontId="1" fillId="5" borderId="0" xfId="0" applyNumberFormat="1" applyFont="1" applyFill="1" applyBorder="1"/>
    <xf numFmtId="16" fontId="1" fillId="5" borderId="7" xfId="0" applyNumberFormat="1" applyFont="1" applyFill="1" applyBorder="1"/>
    <xf numFmtId="1" fontId="1" fillId="8" borderId="7" xfId="0" applyNumberFormat="1" applyFont="1" applyFill="1" applyBorder="1"/>
    <xf numFmtId="16" fontId="0" fillId="0" borderId="0" xfId="0" applyNumberFormat="1" applyFont="1" applyFill="1" applyBorder="1"/>
    <xf numFmtId="16" fontId="0" fillId="0" borderId="7" xfId="0" applyNumberFormat="1" applyFont="1" applyFill="1" applyBorder="1"/>
    <xf numFmtId="16" fontId="0" fillId="0" borderId="2" xfId="0" applyNumberFormat="1" applyFont="1" applyFill="1" applyBorder="1"/>
    <xf numFmtId="0" fontId="0" fillId="0" borderId="0" xfId="0" applyFill="1"/>
    <xf numFmtId="17" fontId="0" fillId="8" borderId="0" xfId="0" applyNumberFormat="1" applyFill="1"/>
    <xf numFmtId="0" fontId="0" fillId="8" borderId="0" xfId="0" applyFill="1"/>
    <xf numFmtId="0" fontId="1" fillId="0" borderId="9" xfId="0" applyFont="1" applyBorder="1"/>
    <xf numFmtId="0" fontId="0" fillId="0" borderId="10" xfId="0" applyBorder="1"/>
    <xf numFmtId="0" fontId="0" fillId="0" borderId="11" xfId="0" applyBorder="1"/>
    <xf numFmtId="0" fontId="1" fillId="0" borderId="12" xfId="0" applyFont="1" applyBorder="1"/>
    <xf numFmtId="0" fontId="0" fillId="0" borderId="0" xfId="0" applyBorder="1"/>
    <xf numFmtId="0" fontId="0" fillId="0" borderId="13" xfId="0" applyBorder="1"/>
    <xf numFmtId="0" fontId="1" fillId="0" borderId="14" xfId="0" applyFont="1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1" fillId="0" borderId="11" xfId="0" applyFont="1" applyBorder="1"/>
    <xf numFmtId="0" fontId="1" fillId="0" borderId="13" xfId="0" applyFont="1" applyBorder="1"/>
    <xf numFmtId="0" fontId="1" fillId="0" borderId="16" xfId="0" applyFont="1" applyBorder="1"/>
    <xf numFmtId="0" fontId="0" fillId="0" borderId="9" xfId="0" applyBorder="1"/>
    <xf numFmtId="0" fontId="0" fillId="0" borderId="12" xfId="0" applyBorder="1"/>
    <xf numFmtId="0" fontId="0" fillId="0" borderId="14" xfId="0" applyBorder="1"/>
    <xf numFmtId="0" fontId="0" fillId="2" borderId="0" xfId="0" applyFill="1" applyBorder="1"/>
    <xf numFmtId="0" fontId="0" fillId="2" borderId="12" xfId="0" applyFill="1" applyBorder="1"/>
    <xf numFmtId="0" fontId="0" fillId="2" borderId="13" xfId="0" applyFill="1" applyBorder="1"/>
    <xf numFmtId="16" fontId="1" fillId="10" borderId="0" xfId="0" applyNumberFormat="1" applyFont="1" applyFill="1" applyBorder="1"/>
    <xf numFmtId="16" fontId="1" fillId="2" borderId="7" xfId="0" applyNumberFormat="1" applyFont="1" applyFill="1" applyBorder="1"/>
    <xf numFmtId="16" fontId="1" fillId="0" borderId="7" xfId="0" applyNumberFormat="1" applyFont="1" applyFill="1" applyBorder="1"/>
    <xf numFmtId="20" fontId="1" fillId="5" borderId="2" xfId="0" applyNumberFormat="1" applyFont="1" applyFill="1" applyBorder="1"/>
    <xf numFmtId="20" fontId="1" fillId="5" borderId="0" xfId="0" applyNumberFormat="1" applyFont="1" applyFill="1" applyBorder="1"/>
    <xf numFmtId="16" fontId="1" fillId="0" borderId="2" xfId="0" applyNumberFormat="1" applyFont="1" applyFill="1" applyBorder="1"/>
    <xf numFmtId="16" fontId="1" fillId="0" borderId="0" xfId="0" applyNumberFormat="1" applyFont="1" applyFill="1" applyBorder="1"/>
    <xf numFmtId="169" fontId="0" fillId="0" borderId="0" xfId="0" applyNumberFormat="1"/>
    <xf numFmtId="169" fontId="1" fillId="0" borderId="0" xfId="0" applyNumberFormat="1" applyFont="1" applyBorder="1"/>
    <xf numFmtId="20" fontId="1" fillId="9" borderId="0" xfId="0" applyNumberFormat="1" applyFont="1" applyFill="1" applyBorder="1"/>
    <xf numFmtId="0" fontId="0" fillId="3" borderId="0" xfId="0" applyFill="1"/>
    <xf numFmtId="1" fontId="0" fillId="9" borderId="0" xfId="0" applyNumberFormat="1" applyFill="1"/>
    <xf numFmtId="165" fontId="1" fillId="8" borderId="4" xfId="0" applyNumberFormat="1" applyFont="1" applyFill="1" applyBorder="1"/>
    <xf numFmtId="165" fontId="1" fillId="8" borderId="6" xfId="0" applyNumberFormat="1" applyFont="1" applyFill="1" applyBorder="1"/>
    <xf numFmtId="166" fontId="0" fillId="0" borderId="0" xfId="0" applyNumberFormat="1" applyFill="1"/>
    <xf numFmtId="17" fontId="0" fillId="9" borderId="0" xfId="0" applyNumberFormat="1" applyFill="1"/>
    <xf numFmtId="1" fontId="1" fillId="11" borderId="7" xfId="0" applyNumberFormat="1" applyFont="1" applyFill="1" applyBorder="1"/>
    <xf numFmtId="1" fontId="1" fillId="11" borderId="0" xfId="0" applyNumberFormat="1" applyFont="1" applyFill="1" applyBorder="1"/>
    <xf numFmtId="0" fontId="3" fillId="0" borderId="0" xfId="0" applyFont="1"/>
    <xf numFmtId="20" fontId="3" fillId="0" borderId="2" xfId="0" applyNumberFormat="1" applyFont="1" applyBorder="1"/>
    <xf numFmtId="20" fontId="3" fillId="0" borderId="0" xfId="0" applyNumberFormat="1" applyFont="1" applyBorder="1"/>
    <xf numFmtId="20" fontId="3" fillId="0" borderId="7" xfId="0" applyNumberFormat="1" applyFont="1" applyBorder="1"/>
    <xf numFmtId="165" fontId="1" fillId="0" borderId="0" xfId="0" applyNumberFormat="1" applyFont="1" applyFill="1" applyBorder="1"/>
    <xf numFmtId="167" fontId="2" fillId="0" borderId="0" xfId="0" applyNumberFormat="1" applyFont="1" applyFill="1" applyBorder="1"/>
    <xf numFmtId="16" fontId="1" fillId="3" borderId="2" xfId="0" applyNumberFormat="1" applyFont="1" applyFill="1" applyBorder="1"/>
    <xf numFmtId="166" fontId="4" fillId="4" borderId="0" xfId="0" applyNumberFormat="1" applyFont="1" applyFill="1" applyBorder="1"/>
    <xf numFmtId="0" fontId="5" fillId="4" borderId="0" xfId="0" applyFont="1" applyFill="1"/>
    <xf numFmtId="0" fontId="5" fillId="4" borderId="0" xfId="0" applyFont="1" applyFill="1" applyBorder="1"/>
    <xf numFmtId="168" fontId="6" fillId="4" borderId="0" xfId="0" applyNumberFormat="1" applyFont="1" applyFill="1" applyBorder="1"/>
    <xf numFmtId="0" fontId="4" fillId="4" borderId="0" xfId="0" applyFont="1" applyFill="1" applyBorder="1"/>
    <xf numFmtId="1" fontId="0" fillId="2" borderId="0" xfId="0" applyNumberFormat="1" applyFill="1"/>
    <xf numFmtId="16" fontId="1" fillId="3" borderId="0" xfId="0" applyNumberFormat="1" applyFont="1" applyFill="1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16" fontId="0" fillId="0" borderId="13" xfId="0" applyNumberFormat="1" applyBorder="1"/>
    <xf numFmtId="0" fontId="7" fillId="0" borderId="0" xfId="0" applyFont="1"/>
    <xf numFmtId="20" fontId="7" fillId="0" borderId="2" xfId="0" applyNumberFormat="1" applyFont="1" applyBorder="1"/>
    <xf numFmtId="20" fontId="7" fillId="0" borderId="0" xfId="0" applyNumberFormat="1" applyFont="1" applyBorder="1"/>
    <xf numFmtId="20" fontId="7" fillId="0" borderId="7" xfId="0" applyNumberFormat="1" applyFont="1" applyBorder="1"/>
    <xf numFmtId="20" fontId="8" fillId="0" borderId="0" xfId="0" applyNumberFormat="1" applyFont="1" applyBorder="1"/>
    <xf numFmtId="20" fontId="0" fillId="0" borderId="5" xfId="0" applyNumberFormat="1" applyFont="1" applyBorder="1"/>
    <xf numFmtId="169" fontId="0" fillId="0" borderId="0" xfId="0" applyNumberFormat="1" applyFont="1" applyBorder="1"/>
    <xf numFmtId="20" fontId="0" fillId="0" borderId="0" xfId="0" applyNumberFormat="1" applyFont="1" applyBorder="1"/>
    <xf numFmtId="168" fontId="9" fillId="4" borderId="0" xfId="0" applyNumberFormat="1" applyFont="1" applyFill="1" applyBorder="1"/>
    <xf numFmtId="20" fontId="8" fillId="0" borderId="7" xfId="0" applyNumberFormat="1" applyFont="1" applyBorder="1"/>
    <xf numFmtId="20" fontId="0" fillId="0" borderId="8" xfId="0" applyNumberFormat="1" applyFont="1" applyBorder="1"/>
    <xf numFmtId="165" fontId="0" fillId="0" borderId="0" xfId="0" applyNumberFormat="1" applyFont="1" applyFill="1" applyBorder="1"/>
    <xf numFmtId="20" fontId="8" fillId="0" borderId="2" xfId="0" applyNumberFormat="1" applyFont="1" applyBorder="1"/>
    <xf numFmtId="20" fontId="0" fillId="0" borderId="3" xfId="0" applyNumberFormat="1" applyFont="1" applyBorder="1"/>
    <xf numFmtId="165" fontId="1" fillId="3" borderId="6" xfId="0" applyNumberFormat="1" applyFont="1" applyFill="1" applyBorder="1"/>
    <xf numFmtId="165" fontId="1" fillId="2" borderId="6" xfId="0" applyNumberFormat="1" applyFont="1" applyFill="1" applyBorder="1"/>
    <xf numFmtId="16" fontId="1" fillId="8" borderId="0" xfId="0" applyNumberFormat="1" applyFont="1" applyFill="1" applyBorder="1"/>
    <xf numFmtId="16" fontId="1" fillId="8" borderId="7" xfId="0" applyNumberFormat="1" applyFont="1" applyFill="1" applyBorder="1"/>
    <xf numFmtId="21" fontId="0" fillId="0" borderId="0" xfId="0" applyNumberFormat="1"/>
    <xf numFmtId="165" fontId="1" fillId="12" borderId="1" xfId="0" applyNumberFormat="1" applyFont="1" applyFill="1" applyBorder="1"/>
    <xf numFmtId="165" fontId="1" fillId="12" borderId="4" xfId="0" applyNumberFormat="1" applyFont="1" applyFill="1" applyBorder="1"/>
    <xf numFmtId="165" fontId="1" fillId="12" borderId="6" xfId="0" applyNumberFormat="1" applyFont="1" applyFill="1" applyBorder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172" fontId="0" fillId="13" borderId="0" xfId="0" applyNumberFormat="1" applyFill="1"/>
    <xf numFmtId="21" fontId="0" fillId="13" borderId="0" xfId="0" applyNumberFormat="1" applyFill="1"/>
    <xf numFmtId="170" fontId="0" fillId="13" borderId="0" xfId="0" applyNumberFormat="1" applyFill="1"/>
    <xf numFmtId="0" fontId="0" fillId="13" borderId="0" xfId="0" applyFill="1"/>
    <xf numFmtId="171" fontId="0" fillId="13" borderId="0" xfId="0" applyNumberFormat="1" applyFill="1"/>
    <xf numFmtId="169" fontId="0" fillId="13" borderId="0" xfId="0" applyNumberFormat="1" applyFill="1"/>
    <xf numFmtId="2" fontId="0" fillId="0" borderId="0" xfId="0" applyNumberFormat="1"/>
    <xf numFmtId="173" fontId="0" fillId="0" borderId="0" xfId="0" applyNumberFormat="1"/>
    <xf numFmtId="9" fontId="0" fillId="0" borderId="0" xfId="0" applyNumberFormat="1"/>
    <xf numFmtId="9" fontId="0" fillId="0" borderId="0" xfId="1" applyFont="1"/>
    <xf numFmtId="3" fontId="1" fillId="0" borderId="0" xfId="0" applyNumberFormat="1" applyFont="1"/>
    <xf numFmtId="9" fontId="0" fillId="3" borderId="0" xfId="1" applyFont="1" applyFill="1"/>
    <xf numFmtId="0" fontId="1" fillId="9" borderId="0" xfId="0" applyFont="1" applyFill="1"/>
    <xf numFmtId="3" fontId="0" fillId="0" borderId="0" xfId="0" applyNumberFormat="1" applyFont="1"/>
    <xf numFmtId="1" fontId="1" fillId="0" borderId="0" xfId="0" applyNumberFormat="1" applyFont="1"/>
    <xf numFmtId="3" fontId="0" fillId="2" borderId="0" xfId="0" applyNumberFormat="1" applyFill="1"/>
    <xf numFmtId="174" fontId="1" fillId="0" borderId="0" xfId="0" applyNumberFormat="1" applyFont="1"/>
    <xf numFmtId="175" fontId="1" fillId="0" borderId="0" xfId="0" applyNumberFormat="1" applyFont="1"/>
    <xf numFmtId="0" fontId="0" fillId="5" borderId="0" xfId="0" applyFill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5" borderId="18" xfId="0" applyFill="1" applyBorder="1"/>
    <xf numFmtId="0" fontId="0" fillId="5" borderId="19" xfId="0" applyFill="1" applyBorder="1"/>
    <xf numFmtId="0" fontId="0" fillId="5" borderId="17" xfId="0" applyFill="1" applyBorder="1"/>
    <xf numFmtId="16" fontId="1" fillId="14" borderId="7" xfId="0" applyNumberFormat="1" applyFont="1" applyFill="1" applyBorder="1"/>
    <xf numFmtId="16" fontId="0" fillId="15" borderId="7" xfId="0" applyNumberFormat="1" applyFont="1" applyFill="1" applyBorder="1"/>
    <xf numFmtId="16" fontId="0" fillId="15" borderId="2" xfId="0" applyNumberFormat="1" applyFont="1" applyFill="1" applyBorder="1"/>
    <xf numFmtId="16" fontId="0" fillId="15" borderId="0" xfId="0" applyNumberFormat="1" applyFont="1" applyFill="1" applyBorder="1"/>
    <xf numFmtId="16" fontId="0" fillId="16" borderId="0" xfId="0" applyNumberFormat="1" applyFont="1" applyFill="1" applyBorder="1"/>
    <xf numFmtId="16" fontId="0" fillId="16" borderId="7" xfId="0" applyNumberFormat="1" applyFont="1" applyFill="1" applyBorder="1"/>
    <xf numFmtId="16" fontId="0" fillId="16" borderId="2" xfId="0" applyNumberFormat="1" applyFont="1" applyFill="1" applyBorder="1"/>
    <xf numFmtId="3" fontId="0" fillId="17" borderId="0" xfId="0" applyNumberFormat="1" applyFill="1"/>
    <xf numFmtId="3" fontId="0" fillId="3" borderId="0" xfId="0" applyNumberFormat="1" applyFill="1"/>
    <xf numFmtId="16" fontId="1" fillId="19" borderId="0" xfId="0" applyNumberFormat="1" applyFont="1" applyFill="1" applyBorder="1"/>
    <xf numFmtId="16" fontId="1" fillId="19" borderId="7" xfId="0" applyNumberFormat="1" applyFont="1" applyFill="1" applyBorder="1"/>
    <xf numFmtId="16" fontId="1" fillId="19" borderId="2" xfId="0" applyNumberFormat="1" applyFont="1" applyFill="1" applyBorder="1"/>
    <xf numFmtId="1" fontId="1" fillId="20" borderId="0" xfId="0" applyNumberFormat="1" applyFont="1" applyFill="1" applyBorder="1"/>
    <xf numFmtId="1" fontId="0" fillId="20" borderId="0" xfId="0" applyNumberFormat="1" applyFont="1" applyFill="1" applyBorder="1"/>
    <xf numFmtId="1" fontId="1" fillId="20" borderId="7" xfId="0" applyNumberFormat="1" applyFont="1" applyFill="1" applyBorder="1"/>
    <xf numFmtId="16" fontId="1" fillId="18" borderId="2" xfId="0" applyNumberFormat="1" applyFont="1" applyFill="1" applyBorder="1"/>
    <xf numFmtId="16" fontId="1" fillId="18" borderId="0" xfId="0" applyNumberFormat="1" applyFont="1" applyFill="1" applyBorder="1"/>
    <xf numFmtId="16" fontId="1" fillId="18" borderId="7" xfId="0" applyNumberFormat="1" applyFont="1" applyFill="1" applyBorder="1"/>
    <xf numFmtId="165" fontId="0" fillId="3" borderId="1" xfId="0" applyNumberFormat="1" applyFont="1" applyFill="1" applyBorder="1"/>
    <xf numFmtId="165" fontId="0" fillId="3" borderId="4" xfId="0" applyNumberFormat="1" applyFont="1" applyFill="1" applyBorder="1"/>
    <xf numFmtId="165" fontId="0" fillId="3" borderId="6" xfId="0" applyNumberFormat="1" applyFont="1" applyFill="1" applyBorder="1"/>
    <xf numFmtId="166" fontId="0" fillId="0" borderId="21" xfId="0" applyNumberFormat="1" applyBorder="1"/>
    <xf numFmtId="0" fontId="11" fillId="21" borderId="23" xfId="0" applyFont="1" applyFill="1" applyBorder="1" applyAlignment="1">
      <alignment vertical="center" wrapText="1"/>
    </xf>
    <xf numFmtId="0" fontId="12" fillId="21" borderId="23" xfId="0" applyFont="1" applyFill="1" applyBorder="1" applyAlignment="1">
      <alignment vertical="center" wrapText="1"/>
    </xf>
    <xf numFmtId="0" fontId="11" fillId="21" borderId="23" xfId="0" applyFont="1" applyFill="1" applyBorder="1" applyAlignment="1">
      <alignment horizontal="center" vertical="center" wrapText="1"/>
    </xf>
    <xf numFmtId="166" fontId="0" fillId="0" borderId="0" xfId="0" applyNumberFormat="1" applyBorder="1"/>
    <xf numFmtId="0" fontId="11" fillId="22" borderId="23" xfId="0" applyFont="1" applyFill="1" applyBorder="1" applyAlignment="1">
      <alignment vertical="center" wrapText="1"/>
    </xf>
    <xf numFmtId="0" fontId="12" fillId="22" borderId="23" xfId="0" applyFont="1" applyFill="1" applyBorder="1" applyAlignment="1">
      <alignment vertical="center" wrapText="1"/>
    </xf>
    <xf numFmtId="0" fontId="11" fillId="22" borderId="23" xfId="0" applyFont="1" applyFill="1" applyBorder="1" applyAlignment="1">
      <alignment horizontal="center" vertical="center" wrapText="1"/>
    </xf>
    <xf numFmtId="0" fontId="0" fillId="0" borderId="0" xfId="0" applyFill="1" applyBorder="1"/>
    <xf numFmtId="0" fontId="0" fillId="0" borderId="0" xfId="0" applyBorder="1" applyAlignment="1">
      <alignment wrapText="1"/>
    </xf>
    <xf numFmtId="166" fontId="0" fillId="0" borderId="15" xfId="0" applyNumberFormat="1" applyBorder="1"/>
    <xf numFmtId="0" fontId="0" fillId="0" borderId="13" xfId="0" applyFill="1" applyBorder="1"/>
    <xf numFmtId="14" fontId="0" fillId="0" borderId="21" xfId="0" applyNumberFormat="1" applyBorder="1"/>
    <xf numFmtId="14" fontId="0" fillId="0" borderId="22" xfId="0" applyNumberFormat="1" applyBorder="1"/>
    <xf numFmtId="20" fontId="15" fillId="0" borderId="0" xfId="0" applyNumberFormat="1" applyFont="1" applyBorder="1"/>
    <xf numFmtId="20" fontId="15" fillId="0" borderId="2" xfId="0" applyNumberFormat="1" applyFont="1" applyBorder="1"/>
    <xf numFmtId="1" fontId="0" fillId="0" borderId="0" xfId="0" applyNumberFormat="1" applyFill="1" applyBorder="1"/>
    <xf numFmtId="1" fontId="0" fillId="0" borderId="0" xfId="0" applyNumberFormat="1" applyBorder="1"/>
    <xf numFmtId="166" fontId="0" fillId="0" borderId="0" xfId="0" applyNumberFormat="1" applyFill="1" applyBorder="1"/>
    <xf numFmtId="0" fontId="0" fillId="23" borderId="0" xfId="0" applyFill="1" applyBorder="1"/>
    <xf numFmtId="166" fontId="0" fillId="23" borderId="0" xfId="0" applyNumberFormat="1" applyFill="1" applyBorder="1"/>
    <xf numFmtId="0" fontId="0" fillId="24" borderId="0" xfId="0" applyFill="1" applyBorder="1"/>
    <xf numFmtId="0" fontId="0" fillId="18" borderId="0" xfId="0" applyFill="1" applyBorder="1"/>
    <xf numFmtId="166" fontId="0" fillId="18" borderId="0" xfId="0" applyNumberFormat="1" applyFill="1" applyBorder="1"/>
    <xf numFmtId="0" fontId="0" fillId="25" borderId="0" xfId="0" applyFill="1" applyBorder="1"/>
    <xf numFmtId="166" fontId="0" fillId="25" borderId="0" xfId="0" applyNumberFormat="1" applyFill="1" applyBorder="1"/>
    <xf numFmtId="0" fontId="0" fillId="18" borderId="15" xfId="0" applyFill="1" applyBorder="1"/>
    <xf numFmtId="1" fontId="0" fillId="0" borderId="9" xfId="0" applyNumberFormat="1" applyFill="1" applyBorder="1"/>
    <xf numFmtId="166" fontId="0" fillId="0" borderId="10" xfId="0" applyNumberFormat="1" applyBorder="1"/>
    <xf numFmtId="0" fontId="0" fillId="0" borderId="10" xfId="0" applyFill="1" applyBorder="1"/>
    <xf numFmtId="1" fontId="0" fillId="0" borderId="12" xfId="0" applyNumberFormat="1" applyFill="1" applyBorder="1"/>
    <xf numFmtId="1" fontId="0" fillId="0" borderId="12" xfId="0" applyNumberFormat="1" applyBorder="1"/>
    <xf numFmtId="10" fontId="0" fillId="0" borderId="0" xfId="0" applyNumberFormat="1"/>
    <xf numFmtId="0" fontId="0" fillId="4" borderId="0" xfId="0" applyFill="1"/>
    <xf numFmtId="20" fontId="15" fillId="0" borderId="7" xfId="0" applyNumberFormat="1" applyFont="1" applyBorder="1"/>
    <xf numFmtId="175" fontId="0" fillId="0" borderId="0" xfId="0" applyNumberFormat="1"/>
    <xf numFmtId="0" fontId="0" fillId="26" borderId="15" xfId="0" applyFill="1" applyBorder="1"/>
    <xf numFmtId="166" fontId="0" fillId="26" borderId="15" xfId="0" applyNumberFormat="1" applyFill="1" applyBorder="1"/>
    <xf numFmtId="166" fontId="0" fillId="0" borderId="0" xfId="0" applyNumberFormat="1"/>
    <xf numFmtId="0" fontId="1" fillId="0" borderId="21" xfId="0" applyFont="1" applyBorder="1"/>
    <xf numFmtId="0" fontId="11" fillId="21" borderId="24" xfId="0" applyFont="1" applyFill="1" applyBorder="1" applyAlignment="1">
      <alignment vertical="center" wrapText="1"/>
    </xf>
    <xf numFmtId="0" fontId="11" fillId="22" borderId="24" xfId="0" applyFont="1" applyFill="1" applyBorder="1" applyAlignment="1">
      <alignment vertical="center" wrapText="1"/>
    </xf>
    <xf numFmtId="1" fontId="0" fillId="0" borderId="20" xfId="0" applyNumberFormat="1" applyBorder="1"/>
    <xf numFmtId="0" fontId="0" fillId="0" borderId="15" xfId="0" applyFill="1" applyBorder="1"/>
    <xf numFmtId="166" fontId="0" fillId="2" borderId="0" xfId="0" applyNumberFormat="1" applyFill="1" applyBorder="1"/>
    <xf numFmtId="166" fontId="0" fillId="2" borderId="10" xfId="0" applyNumberFormat="1" applyFill="1" applyBorder="1"/>
    <xf numFmtId="1" fontId="0" fillId="18" borderId="0" xfId="0" applyNumberFormat="1" applyFill="1" applyBorder="1"/>
    <xf numFmtId="166" fontId="0" fillId="24" borderId="0" xfId="0" applyNumberFormat="1" applyFill="1" applyBorder="1"/>
    <xf numFmtId="0" fontId="1" fillId="0" borderId="10" xfId="0" applyFont="1" applyBorder="1"/>
    <xf numFmtId="0" fontId="0" fillId="0" borderId="12" xfId="0" applyFill="1" applyBorder="1"/>
  </cellXfs>
  <cellStyles count="2">
    <cellStyle name="Normal" xfId="0" builtinId="0"/>
    <cellStyle name="Pourcentage" xfId="1" builtinId="5"/>
  </cellStyles>
  <dxfs count="1">
    <dxf>
      <fill>
        <patternFill>
          <bgColor rgb="FFFFC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Dodo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Horo!$C$2:$C$566</c:f>
              <c:numCache>
                <c:formatCode>d\-mmm</c:formatCode>
                <c:ptCount val="150"/>
                <c:pt idx="0">
                  <c:v>43346</c:v>
                </c:pt>
                <c:pt idx="1">
                  <c:v>43347</c:v>
                </c:pt>
                <c:pt idx="2">
                  <c:v>43348</c:v>
                </c:pt>
                <c:pt idx="3">
                  <c:v>43349</c:v>
                </c:pt>
                <c:pt idx="4">
                  <c:v>43350</c:v>
                </c:pt>
                <c:pt idx="5">
                  <c:v>43353</c:v>
                </c:pt>
                <c:pt idx="6">
                  <c:v>43354</c:v>
                </c:pt>
                <c:pt idx="7">
                  <c:v>43355</c:v>
                </c:pt>
                <c:pt idx="8">
                  <c:v>43356</c:v>
                </c:pt>
                <c:pt idx="9">
                  <c:v>43357</c:v>
                </c:pt>
                <c:pt idx="10">
                  <c:v>43360</c:v>
                </c:pt>
                <c:pt idx="11">
                  <c:v>43361</c:v>
                </c:pt>
                <c:pt idx="12">
                  <c:v>43362</c:v>
                </c:pt>
                <c:pt idx="13">
                  <c:v>43363</c:v>
                </c:pt>
                <c:pt idx="14">
                  <c:v>43364</c:v>
                </c:pt>
                <c:pt idx="15">
                  <c:v>43367</c:v>
                </c:pt>
                <c:pt idx="16">
                  <c:v>43368</c:v>
                </c:pt>
                <c:pt idx="17">
                  <c:v>43369</c:v>
                </c:pt>
                <c:pt idx="18">
                  <c:v>43370</c:v>
                </c:pt>
                <c:pt idx="19">
                  <c:v>43371</c:v>
                </c:pt>
                <c:pt idx="20">
                  <c:v>43374</c:v>
                </c:pt>
                <c:pt idx="21">
                  <c:v>43375</c:v>
                </c:pt>
                <c:pt idx="22">
                  <c:v>43376</c:v>
                </c:pt>
                <c:pt idx="23">
                  <c:v>43377</c:v>
                </c:pt>
                <c:pt idx="24">
                  <c:v>43378</c:v>
                </c:pt>
                <c:pt idx="25">
                  <c:v>43381</c:v>
                </c:pt>
                <c:pt idx="26">
                  <c:v>43382</c:v>
                </c:pt>
                <c:pt idx="27">
                  <c:v>43383</c:v>
                </c:pt>
                <c:pt idx="28">
                  <c:v>43384</c:v>
                </c:pt>
                <c:pt idx="29">
                  <c:v>43385</c:v>
                </c:pt>
                <c:pt idx="30">
                  <c:v>43388</c:v>
                </c:pt>
                <c:pt idx="31">
                  <c:v>43389</c:v>
                </c:pt>
                <c:pt idx="32">
                  <c:v>43390</c:v>
                </c:pt>
                <c:pt idx="33">
                  <c:v>43391</c:v>
                </c:pt>
                <c:pt idx="34">
                  <c:v>43392</c:v>
                </c:pt>
                <c:pt idx="35">
                  <c:v>43395</c:v>
                </c:pt>
                <c:pt idx="36">
                  <c:v>43396</c:v>
                </c:pt>
                <c:pt idx="37">
                  <c:v>43397</c:v>
                </c:pt>
                <c:pt idx="38">
                  <c:v>43398</c:v>
                </c:pt>
                <c:pt idx="39">
                  <c:v>43399</c:v>
                </c:pt>
                <c:pt idx="40">
                  <c:v>43402</c:v>
                </c:pt>
                <c:pt idx="41">
                  <c:v>43403</c:v>
                </c:pt>
                <c:pt idx="42">
                  <c:v>43404</c:v>
                </c:pt>
                <c:pt idx="43">
                  <c:v>43405</c:v>
                </c:pt>
                <c:pt idx="44">
                  <c:v>43406</c:v>
                </c:pt>
                <c:pt idx="45">
                  <c:v>43409</c:v>
                </c:pt>
                <c:pt idx="46">
                  <c:v>43410</c:v>
                </c:pt>
                <c:pt idx="47">
                  <c:v>43411</c:v>
                </c:pt>
                <c:pt idx="48">
                  <c:v>43412</c:v>
                </c:pt>
                <c:pt idx="49">
                  <c:v>43413</c:v>
                </c:pt>
                <c:pt idx="50">
                  <c:v>43416</c:v>
                </c:pt>
                <c:pt idx="51">
                  <c:v>43417</c:v>
                </c:pt>
                <c:pt idx="52">
                  <c:v>43418</c:v>
                </c:pt>
                <c:pt idx="53">
                  <c:v>43419</c:v>
                </c:pt>
                <c:pt idx="54">
                  <c:v>43420</c:v>
                </c:pt>
                <c:pt idx="55">
                  <c:v>43423</c:v>
                </c:pt>
                <c:pt idx="56">
                  <c:v>43424</c:v>
                </c:pt>
                <c:pt idx="57">
                  <c:v>43425</c:v>
                </c:pt>
                <c:pt idx="58">
                  <c:v>43426</c:v>
                </c:pt>
                <c:pt idx="59">
                  <c:v>43427</c:v>
                </c:pt>
                <c:pt idx="60">
                  <c:v>43430</c:v>
                </c:pt>
                <c:pt idx="61">
                  <c:v>43431</c:v>
                </c:pt>
                <c:pt idx="62">
                  <c:v>43432</c:v>
                </c:pt>
                <c:pt idx="63">
                  <c:v>43433</c:v>
                </c:pt>
                <c:pt idx="64">
                  <c:v>43434</c:v>
                </c:pt>
                <c:pt idx="65">
                  <c:v>43437</c:v>
                </c:pt>
                <c:pt idx="66">
                  <c:v>43438</c:v>
                </c:pt>
                <c:pt idx="67">
                  <c:v>43439</c:v>
                </c:pt>
                <c:pt idx="68">
                  <c:v>43440</c:v>
                </c:pt>
                <c:pt idx="69">
                  <c:v>43441</c:v>
                </c:pt>
                <c:pt idx="70">
                  <c:v>43444</c:v>
                </c:pt>
                <c:pt idx="71">
                  <c:v>43445</c:v>
                </c:pt>
                <c:pt idx="72">
                  <c:v>43446</c:v>
                </c:pt>
                <c:pt idx="73">
                  <c:v>43447</c:v>
                </c:pt>
                <c:pt idx="74">
                  <c:v>43448</c:v>
                </c:pt>
                <c:pt idx="75">
                  <c:v>43451</c:v>
                </c:pt>
                <c:pt idx="76">
                  <c:v>43452</c:v>
                </c:pt>
                <c:pt idx="77">
                  <c:v>43453</c:v>
                </c:pt>
                <c:pt idx="78">
                  <c:v>43454</c:v>
                </c:pt>
                <c:pt idx="79">
                  <c:v>43455</c:v>
                </c:pt>
                <c:pt idx="80">
                  <c:v>43458</c:v>
                </c:pt>
                <c:pt idx="81">
                  <c:v>43459</c:v>
                </c:pt>
                <c:pt idx="82">
                  <c:v>43460</c:v>
                </c:pt>
                <c:pt idx="83">
                  <c:v>43461</c:v>
                </c:pt>
                <c:pt idx="84">
                  <c:v>43462</c:v>
                </c:pt>
                <c:pt idx="85">
                  <c:v>43465</c:v>
                </c:pt>
                <c:pt idx="86">
                  <c:v>43466</c:v>
                </c:pt>
                <c:pt idx="87">
                  <c:v>43467</c:v>
                </c:pt>
                <c:pt idx="88">
                  <c:v>43468</c:v>
                </c:pt>
                <c:pt idx="89">
                  <c:v>43469</c:v>
                </c:pt>
                <c:pt idx="90">
                  <c:v>43472</c:v>
                </c:pt>
                <c:pt idx="91">
                  <c:v>43473</c:v>
                </c:pt>
                <c:pt idx="92">
                  <c:v>43474</c:v>
                </c:pt>
                <c:pt idx="93">
                  <c:v>43475</c:v>
                </c:pt>
                <c:pt idx="94">
                  <c:v>43476</c:v>
                </c:pt>
                <c:pt idx="95">
                  <c:v>43479</c:v>
                </c:pt>
                <c:pt idx="96">
                  <c:v>43480</c:v>
                </c:pt>
                <c:pt idx="97">
                  <c:v>43481</c:v>
                </c:pt>
                <c:pt idx="98">
                  <c:v>43482</c:v>
                </c:pt>
                <c:pt idx="99">
                  <c:v>43483</c:v>
                </c:pt>
                <c:pt idx="100">
                  <c:v>43486</c:v>
                </c:pt>
                <c:pt idx="101">
                  <c:v>43487</c:v>
                </c:pt>
                <c:pt idx="102">
                  <c:v>43488</c:v>
                </c:pt>
                <c:pt idx="103">
                  <c:v>43489</c:v>
                </c:pt>
                <c:pt idx="104">
                  <c:v>43490</c:v>
                </c:pt>
                <c:pt idx="105">
                  <c:v>43493</c:v>
                </c:pt>
                <c:pt idx="106">
                  <c:v>43494</c:v>
                </c:pt>
                <c:pt idx="107">
                  <c:v>43495</c:v>
                </c:pt>
                <c:pt idx="108">
                  <c:v>43496</c:v>
                </c:pt>
                <c:pt idx="109">
                  <c:v>43497</c:v>
                </c:pt>
                <c:pt idx="110">
                  <c:v>43500</c:v>
                </c:pt>
                <c:pt idx="111">
                  <c:v>43501</c:v>
                </c:pt>
                <c:pt idx="112">
                  <c:v>43502</c:v>
                </c:pt>
                <c:pt idx="113">
                  <c:v>43503</c:v>
                </c:pt>
                <c:pt idx="114">
                  <c:v>43504</c:v>
                </c:pt>
                <c:pt idx="115">
                  <c:v>43507</c:v>
                </c:pt>
                <c:pt idx="116">
                  <c:v>43508</c:v>
                </c:pt>
                <c:pt idx="117">
                  <c:v>43509</c:v>
                </c:pt>
                <c:pt idx="118">
                  <c:v>43510</c:v>
                </c:pt>
                <c:pt idx="119">
                  <c:v>43511</c:v>
                </c:pt>
                <c:pt idx="120">
                  <c:v>43514</c:v>
                </c:pt>
                <c:pt idx="121">
                  <c:v>43515</c:v>
                </c:pt>
                <c:pt idx="122">
                  <c:v>43516</c:v>
                </c:pt>
                <c:pt idx="123">
                  <c:v>43517</c:v>
                </c:pt>
                <c:pt idx="124">
                  <c:v>43518</c:v>
                </c:pt>
                <c:pt idx="125">
                  <c:v>43521</c:v>
                </c:pt>
                <c:pt idx="126">
                  <c:v>43522</c:v>
                </c:pt>
                <c:pt idx="127">
                  <c:v>43523</c:v>
                </c:pt>
                <c:pt idx="128">
                  <c:v>43524</c:v>
                </c:pt>
                <c:pt idx="129">
                  <c:v>43525</c:v>
                </c:pt>
                <c:pt idx="130">
                  <c:v>43528</c:v>
                </c:pt>
                <c:pt idx="131">
                  <c:v>43529</c:v>
                </c:pt>
                <c:pt idx="132">
                  <c:v>43530</c:v>
                </c:pt>
                <c:pt idx="133">
                  <c:v>43531</c:v>
                </c:pt>
                <c:pt idx="134">
                  <c:v>43532</c:v>
                </c:pt>
                <c:pt idx="135">
                  <c:v>43535</c:v>
                </c:pt>
                <c:pt idx="136">
                  <c:v>43536</c:v>
                </c:pt>
                <c:pt idx="137">
                  <c:v>43537</c:v>
                </c:pt>
                <c:pt idx="138">
                  <c:v>43538</c:v>
                </c:pt>
                <c:pt idx="139">
                  <c:v>43539</c:v>
                </c:pt>
                <c:pt idx="140">
                  <c:v>43542</c:v>
                </c:pt>
                <c:pt idx="141">
                  <c:v>43543</c:v>
                </c:pt>
                <c:pt idx="142">
                  <c:v>43544</c:v>
                </c:pt>
                <c:pt idx="143">
                  <c:v>43545</c:v>
                </c:pt>
                <c:pt idx="144">
                  <c:v>43546</c:v>
                </c:pt>
                <c:pt idx="145">
                  <c:v>43549</c:v>
                </c:pt>
                <c:pt idx="146">
                  <c:v>43550</c:v>
                </c:pt>
                <c:pt idx="147">
                  <c:v>43551</c:v>
                </c:pt>
                <c:pt idx="148">
                  <c:v>43552</c:v>
                </c:pt>
                <c:pt idx="149">
                  <c:v>43553</c:v>
                </c:pt>
              </c:numCache>
            </c:numRef>
          </c:cat>
          <c:val>
            <c:numRef>
              <c:f>Horo!$S$6:$S$600</c:f>
              <c:numCache>
                <c:formatCode>General</c:formatCode>
                <c:ptCount val="184"/>
                <c:pt idx="4" formatCode="h:mm">
                  <c:v>0.22083333333333335</c:v>
                </c:pt>
                <c:pt idx="9" formatCode="h:mm">
                  <c:v>0.19444444444444445</c:v>
                </c:pt>
                <c:pt idx="14" formatCode="h:mm">
                  <c:v>0.22916666666666666</c:v>
                </c:pt>
                <c:pt idx="19" formatCode="h:mm">
                  <c:v>0.20833333333333334</c:v>
                </c:pt>
                <c:pt idx="24" formatCode="h:mm">
                  <c:v>0.13541666666666666</c:v>
                </c:pt>
                <c:pt idx="29" formatCode="h:mm">
                  <c:v>0.22500000000000001</c:v>
                </c:pt>
                <c:pt idx="34" formatCode="h:mm">
                  <c:v>0.21249999999999999</c:v>
                </c:pt>
                <c:pt idx="39" formatCode="h:mm">
                  <c:v>0.21666666666666665</c:v>
                </c:pt>
                <c:pt idx="44" formatCode="h:mm">
                  <c:v>0.20833333333333334</c:v>
                </c:pt>
                <c:pt idx="49" formatCode="h:mm">
                  <c:v>0.19444444444444445</c:v>
                </c:pt>
                <c:pt idx="54" formatCode="h:mm">
                  <c:v>0.20833333333333334</c:v>
                </c:pt>
                <c:pt idx="59" formatCode="h:mm">
                  <c:v>0.23749999999999999</c:v>
                </c:pt>
                <c:pt idx="64" formatCode="h:mm">
                  <c:v>0.2208333333333333</c:v>
                </c:pt>
                <c:pt idx="69" formatCode="h:mm">
                  <c:v>0.21249999999999999</c:v>
                </c:pt>
                <c:pt idx="74" formatCode="h:mm">
                  <c:v>0.20416666666666669</c:v>
                </c:pt>
                <c:pt idx="79" formatCode="h:mm">
                  <c:v>0.24166666666666664</c:v>
                </c:pt>
                <c:pt idx="84" formatCode="h:mm">
                  <c:v>0.29166666666666663</c:v>
                </c:pt>
                <c:pt idx="89" formatCode="h:mm">
                  <c:v>0.21249999999999999</c:v>
                </c:pt>
                <c:pt idx="94" formatCode="h:mm">
                  <c:v>0.22083333333333335</c:v>
                </c:pt>
                <c:pt idx="99" formatCode="h:mm">
                  <c:v>0.21875</c:v>
                </c:pt>
                <c:pt idx="104" formatCode="h:mm">
                  <c:v>0.27777777777777779</c:v>
                </c:pt>
                <c:pt idx="109" formatCode="h:mm">
                  <c:v>0.2583333333333333</c:v>
                </c:pt>
                <c:pt idx="114" formatCode="h:mm">
                  <c:v>0.29166666666666669</c:v>
                </c:pt>
                <c:pt idx="119" formatCode="h:mm">
                  <c:v>0</c:v>
                </c:pt>
                <c:pt idx="124" formatCode="h:mm">
                  <c:v>0</c:v>
                </c:pt>
                <c:pt idx="129" formatCode="h:mm">
                  <c:v>0</c:v>
                </c:pt>
                <c:pt idx="134" formatCode="h:mm">
                  <c:v>0</c:v>
                </c:pt>
                <c:pt idx="139" formatCode="h:mm">
                  <c:v>0</c:v>
                </c:pt>
                <c:pt idx="144" formatCode="h:mm">
                  <c:v>0</c:v>
                </c:pt>
                <c:pt idx="149" formatCode="h:mm">
                  <c:v>0</c:v>
                </c:pt>
                <c:pt idx="154" formatCode="h:mm">
                  <c:v>0</c:v>
                </c:pt>
                <c:pt idx="159" formatCode="h:mm">
                  <c:v>0</c:v>
                </c:pt>
                <c:pt idx="164" formatCode="h:mm">
                  <c:v>0</c:v>
                </c:pt>
                <c:pt idx="169" formatCode="h:mm">
                  <c:v>0</c:v>
                </c:pt>
                <c:pt idx="174" formatCode="h:mm">
                  <c:v>0</c:v>
                </c:pt>
                <c:pt idx="179" formatCode="h:m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76-44D1-8C72-F45688AB8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358249616"/>
        <c:axId val="358247976"/>
      </c:barChart>
      <c:dateAx>
        <c:axId val="358249616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58247976"/>
        <c:crosses val="autoZero"/>
        <c:auto val="1"/>
        <c:lblOffset val="100"/>
        <c:baseTimeUnit val="days"/>
      </c:dateAx>
      <c:valAx>
        <c:axId val="358247976"/>
        <c:scaling>
          <c:orientation val="minMax"/>
          <c:max val="0.35000000000000003"/>
          <c:min val="0.1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58249616"/>
        <c:crosses val="autoZero"/>
        <c:crossBetween val="between"/>
        <c:majorUnit val="4.1666666666666678E-2"/>
        <c:minorUnit val="1.0416666666000001E-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pds!$D$1</c:f>
              <c:strCache>
                <c:ptCount val="1"/>
              </c:strCache>
            </c:strRef>
          </c:tx>
          <c:marker>
            <c:symbol val="none"/>
          </c:marker>
          <c:trendline>
            <c:trendlineType val="exp"/>
            <c:dispRSqr val="0"/>
            <c:dispEq val="0"/>
          </c:trendline>
          <c:trendline>
            <c:trendlineType val="poly"/>
            <c:order val="5"/>
            <c:dispRSqr val="0"/>
            <c:dispEq val="0"/>
          </c:trendline>
          <c:cat>
            <c:numRef>
              <c:f>pds!$A$2:$A$541</c:f>
              <c:numCache>
                <c:formatCode>d\-mmm</c:formatCode>
                <c:ptCount val="300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43108</c:v>
                </c:pt>
                <c:pt idx="6">
                  <c:v>43109</c:v>
                </c:pt>
                <c:pt idx="7">
                  <c:v>43110</c:v>
                </c:pt>
                <c:pt idx="8">
                  <c:v>43111</c:v>
                </c:pt>
                <c:pt idx="9">
                  <c:v>43112</c:v>
                </c:pt>
                <c:pt idx="10">
                  <c:v>43115</c:v>
                </c:pt>
                <c:pt idx="11">
                  <c:v>43116</c:v>
                </c:pt>
                <c:pt idx="12">
                  <c:v>43117</c:v>
                </c:pt>
                <c:pt idx="13">
                  <c:v>43118</c:v>
                </c:pt>
                <c:pt idx="14">
                  <c:v>43119</c:v>
                </c:pt>
                <c:pt idx="15">
                  <c:v>43122</c:v>
                </c:pt>
                <c:pt idx="16">
                  <c:v>43123</c:v>
                </c:pt>
                <c:pt idx="17">
                  <c:v>43124</c:v>
                </c:pt>
                <c:pt idx="18">
                  <c:v>43125</c:v>
                </c:pt>
                <c:pt idx="19">
                  <c:v>43126</c:v>
                </c:pt>
                <c:pt idx="20">
                  <c:v>43129</c:v>
                </c:pt>
                <c:pt idx="21">
                  <c:v>43130</c:v>
                </c:pt>
                <c:pt idx="22">
                  <c:v>43131</c:v>
                </c:pt>
                <c:pt idx="23">
                  <c:v>43132</c:v>
                </c:pt>
                <c:pt idx="24">
                  <c:v>43133</c:v>
                </c:pt>
                <c:pt idx="25">
                  <c:v>43136</c:v>
                </c:pt>
                <c:pt idx="26">
                  <c:v>43137</c:v>
                </c:pt>
                <c:pt idx="27">
                  <c:v>43138</c:v>
                </c:pt>
                <c:pt idx="28">
                  <c:v>43139</c:v>
                </c:pt>
                <c:pt idx="29">
                  <c:v>43140</c:v>
                </c:pt>
                <c:pt idx="30">
                  <c:v>43143</c:v>
                </c:pt>
                <c:pt idx="31">
                  <c:v>43144</c:v>
                </c:pt>
                <c:pt idx="32">
                  <c:v>43145</c:v>
                </c:pt>
                <c:pt idx="33">
                  <c:v>43146</c:v>
                </c:pt>
                <c:pt idx="34">
                  <c:v>43147</c:v>
                </c:pt>
                <c:pt idx="35">
                  <c:v>43150</c:v>
                </c:pt>
                <c:pt idx="36">
                  <c:v>43151</c:v>
                </c:pt>
                <c:pt idx="37">
                  <c:v>43152</c:v>
                </c:pt>
                <c:pt idx="38">
                  <c:v>43153</c:v>
                </c:pt>
                <c:pt idx="39">
                  <c:v>43154</c:v>
                </c:pt>
                <c:pt idx="40">
                  <c:v>43157</c:v>
                </c:pt>
                <c:pt idx="41">
                  <c:v>43158</c:v>
                </c:pt>
                <c:pt idx="42">
                  <c:v>43159</c:v>
                </c:pt>
                <c:pt idx="43">
                  <c:v>43160</c:v>
                </c:pt>
                <c:pt idx="44">
                  <c:v>43161</c:v>
                </c:pt>
                <c:pt idx="45">
                  <c:v>43164</c:v>
                </c:pt>
                <c:pt idx="46">
                  <c:v>43165</c:v>
                </c:pt>
                <c:pt idx="47">
                  <c:v>43166</c:v>
                </c:pt>
                <c:pt idx="48">
                  <c:v>43167</c:v>
                </c:pt>
                <c:pt idx="49">
                  <c:v>43168</c:v>
                </c:pt>
                <c:pt idx="50">
                  <c:v>43171</c:v>
                </c:pt>
                <c:pt idx="51">
                  <c:v>43172</c:v>
                </c:pt>
                <c:pt idx="52">
                  <c:v>43173</c:v>
                </c:pt>
                <c:pt idx="53">
                  <c:v>43174</c:v>
                </c:pt>
                <c:pt idx="54">
                  <c:v>43175</c:v>
                </c:pt>
                <c:pt idx="55">
                  <c:v>43178</c:v>
                </c:pt>
                <c:pt idx="56">
                  <c:v>43179</c:v>
                </c:pt>
                <c:pt idx="57">
                  <c:v>43180</c:v>
                </c:pt>
                <c:pt idx="58">
                  <c:v>43181</c:v>
                </c:pt>
                <c:pt idx="59">
                  <c:v>43182</c:v>
                </c:pt>
                <c:pt idx="60">
                  <c:v>43185</c:v>
                </c:pt>
                <c:pt idx="61">
                  <c:v>43186</c:v>
                </c:pt>
                <c:pt idx="62">
                  <c:v>43187</c:v>
                </c:pt>
                <c:pt idx="63">
                  <c:v>43188</c:v>
                </c:pt>
                <c:pt idx="64">
                  <c:v>43189</c:v>
                </c:pt>
                <c:pt idx="65">
                  <c:v>43192</c:v>
                </c:pt>
                <c:pt idx="66">
                  <c:v>43193</c:v>
                </c:pt>
                <c:pt idx="67">
                  <c:v>43194</c:v>
                </c:pt>
                <c:pt idx="68">
                  <c:v>43195</c:v>
                </c:pt>
                <c:pt idx="69">
                  <c:v>43196</c:v>
                </c:pt>
                <c:pt idx="70">
                  <c:v>43199</c:v>
                </c:pt>
                <c:pt idx="71">
                  <c:v>43200</c:v>
                </c:pt>
                <c:pt idx="72">
                  <c:v>43201</c:v>
                </c:pt>
                <c:pt idx="73">
                  <c:v>43202</c:v>
                </c:pt>
                <c:pt idx="74">
                  <c:v>43203</c:v>
                </c:pt>
                <c:pt idx="75">
                  <c:v>43206</c:v>
                </c:pt>
                <c:pt idx="76">
                  <c:v>43207</c:v>
                </c:pt>
                <c:pt idx="77">
                  <c:v>43208</c:v>
                </c:pt>
                <c:pt idx="78">
                  <c:v>43209</c:v>
                </c:pt>
                <c:pt idx="79">
                  <c:v>43210</c:v>
                </c:pt>
                <c:pt idx="80">
                  <c:v>43213</c:v>
                </c:pt>
                <c:pt idx="81">
                  <c:v>43214</c:v>
                </c:pt>
                <c:pt idx="82">
                  <c:v>43215</c:v>
                </c:pt>
                <c:pt idx="83">
                  <c:v>43216</c:v>
                </c:pt>
                <c:pt idx="84">
                  <c:v>43217</c:v>
                </c:pt>
                <c:pt idx="85">
                  <c:v>43220</c:v>
                </c:pt>
                <c:pt idx="86">
                  <c:v>43221</c:v>
                </c:pt>
                <c:pt idx="87">
                  <c:v>43222</c:v>
                </c:pt>
                <c:pt idx="88">
                  <c:v>43223</c:v>
                </c:pt>
                <c:pt idx="89">
                  <c:v>43224</c:v>
                </c:pt>
                <c:pt idx="90">
                  <c:v>43227</c:v>
                </c:pt>
                <c:pt idx="91">
                  <c:v>43228</c:v>
                </c:pt>
                <c:pt idx="92">
                  <c:v>43229</c:v>
                </c:pt>
                <c:pt idx="93">
                  <c:v>43230</c:v>
                </c:pt>
                <c:pt idx="94">
                  <c:v>43231</c:v>
                </c:pt>
                <c:pt idx="95">
                  <c:v>43234</c:v>
                </c:pt>
                <c:pt idx="96">
                  <c:v>43235</c:v>
                </c:pt>
                <c:pt idx="97">
                  <c:v>43236</c:v>
                </c:pt>
                <c:pt idx="98">
                  <c:v>43237</c:v>
                </c:pt>
                <c:pt idx="99">
                  <c:v>43238</c:v>
                </c:pt>
                <c:pt idx="100">
                  <c:v>43241</c:v>
                </c:pt>
                <c:pt idx="101">
                  <c:v>43242</c:v>
                </c:pt>
                <c:pt idx="102">
                  <c:v>43243</c:v>
                </c:pt>
                <c:pt idx="103">
                  <c:v>43244</c:v>
                </c:pt>
                <c:pt idx="104">
                  <c:v>43245</c:v>
                </c:pt>
                <c:pt idx="105">
                  <c:v>43248</c:v>
                </c:pt>
                <c:pt idx="106">
                  <c:v>43249</c:v>
                </c:pt>
                <c:pt idx="107">
                  <c:v>43250</c:v>
                </c:pt>
                <c:pt idx="108">
                  <c:v>43251</c:v>
                </c:pt>
                <c:pt idx="109">
                  <c:v>43252</c:v>
                </c:pt>
                <c:pt idx="110">
                  <c:v>43255</c:v>
                </c:pt>
                <c:pt idx="111">
                  <c:v>43256</c:v>
                </c:pt>
                <c:pt idx="112">
                  <c:v>43257</c:v>
                </c:pt>
                <c:pt idx="113">
                  <c:v>43258</c:v>
                </c:pt>
                <c:pt idx="114">
                  <c:v>43259</c:v>
                </c:pt>
                <c:pt idx="115">
                  <c:v>43262</c:v>
                </c:pt>
                <c:pt idx="116">
                  <c:v>43263</c:v>
                </c:pt>
                <c:pt idx="117">
                  <c:v>43264</c:v>
                </c:pt>
                <c:pt idx="118">
                  <c:v>43265</c:v>
                </c:pt>
                <c:pt idx="119">
                  <c:v>43266</c:v>
                </c:pt>
                <c:pt idx="120">
                  <c:v>43269</c:v>
                </c:pt>
                <c:pt idx="121">
                  <c:v>43270</c:v>
                </c:pt>
                <c:pt idx="122">
                  <c:v>43271</c:v>
                </c:pt>
                <c:pt idx="123">
                  <c:v>43272</c:v>
                </c:pt>
                <c:pt idx="124">
                  <c:v>43273</c:v>
                </c:pt>
                <c:pt idx="125">
                  <c:v>43276</c:v>
                </c:pt>
                <c:pt idx="126">
                  <c:v>43277</c:v>
                </c:pt>
                <c:pt idx="127">
                  <c:v>43278</c:v>
                </c:pt>
                <c:pt idx="128">
                  <c:v>43279</c:v>
                </c:pt>
                <c:pt idx="129">
                  <c:v>43280</c:v>
                </c:pt>
                <c:pt idx="130">
                  <c:v>43283</c:v>
                </c:pt>
                <c:pt idx="131">
                  <c:v>43284</c:v>
                </c:pt>
                <c:pt idx="132">
                  <c:v>43285</c:v>
                </c:pt>
                <c:pt idx="133">
                  <c:v>43286</c:v>
                </c:pt>
                <c:pt idx="134">
                  <c:v>43287</c:v>
                </c:pt>
                <c:pt idx="135">
                  <c:v>43290</c:v>
                </c:pt>
                <c:pt idx="136">
                  <c:v>43291</c:v>
                </c:pt>
                <c:pt idx="137">
                  <c:v>43292</c:v>
                </c:pt>
                <c:pt idx="138">
                  <c:v>43293</c:v>
                </c:pt>
                <c:pt idx="139">
                  <c:v>43294</c:v>
                </c:pt>
                <c:pt idx="140">
                  <c:v>43297</c:v>
                </c:pt>
                <c:pt idx="141">
                  <c:v>43298</c:v>
                </c:pt>
                <c:pt idx="142">
                  <c:v>43299</c:v>
                </c:pt>
                <c:pt idx="143">
                  <c:v>43300</c:v>
                </c:pt>
                <c:pt idx="144">
                  <c:v>43301</c:v>
                </c:pt>
                <c:pt idx="145">
                  <c:v>43304</c:v>
                </c:pt>
                <c:pt idx="146">
                  <c:v>43305</c:v>
                </c:pt>
                <c:pt idx="147">
                  <c:v>43306</c:v>
                </c:pt>
                <c:pt idx="148">
                  <c:v>43307</c:v>
                </c:pt>
                <c:pt idx="149">
                  <c:v>43308</c:v>
                </c:pt>
                <c:pt idx="150">
                  <c:v>43311</c:v>
                </c:pt>
                <c:pt idx="151">
                  <c:v>43312</c:v>
                </c:pt>
                <c:pt idx="152">
                  <c:v>43313</c:v>
                </c:pt>
                <c:pt idx="153">
                  <c:v>43314</c:v>
                </c:pt>
                <c:pt idx="154">
                  <c:v>43315</c:v>
                </c:pt>
                <c:pt idx="155">
                  <c:v>43318</c:v>
                </c:pt>
                <c:pt idx="156">
                  <c:v>43319</c:v>
                </c:pt>
                <c:pt idx="157">
                  <c:v>43320</c:v>
                </c:pt>
                <c:pt idx="158">
                  <c:v>43321</c:v>
                </c:pt>
                <c:pt idx="159">
                  <c:v>43322</c:v>
                </c:pt>
                <c:pt idx="160">
                  <c:v>43325</c:v>
                </c:pt>
                <c:pt idx="161">
                  <c:v>43326</c:v>
                </c:pt>
                <c:pt idx="162">
                  <c:v>43327</c:v>
                </c:pt>
                <c:pt idx="163">
                  <c:v>43328</c:v>
                </c:pt>
                <c:pt idx="164">
                  <c:v>43329</c:v>
                </c:pt>
                <c:pt idx="165">
                  <c:v>43332</c:v>
                </c:pt>
                <c:pt idx="166">
                  <c:v>43333</c:v>
                </c:pt>
                <c:pt idx="167">
                  <c:v>43334</c:v>
                </c:pt>
                <c:pt idx="168">
                  <c:v>43335</c:v>
                </c:pt>
                <c:pt idx="169">
                  <c:v>43336</c:v>
                </c:pt>
                <c:pt idx="170">
                  <c:v>43339</c:v>
                </c:pt>
                <c:pt idx="171">
                  <c:v>43340</c:v>
                </c:pt>
                <c:pt idx="172">
                  <c:v>43341</c:v>
                </c:pt>
                <c:pt idx="173">
                  <c:v>43342</c:v>
                </c:pt>
                <c:pt idx="174">
                  <c:v>43343</c:v>
                </c:pt>
                <c:pt idx="175">
                  <c:v>43346</c:v>
                </c:pt>
                <c:pt idx="176">
                  <c:v>43347</c:v>
                </c:pt>
                <c:pt idx="177">
                  <c:v>43348</c:v>
                </c:pt>
                <c:pt idx="178">
                  <c:v>43349</c:v>
                </c:pt>
                <c:pt idx="179">
                  <c:v>43350</c:v>
                </c:pt>
                <c:pt idx="180">
                  <c:v>43353</c:v>
                </c:pt>
                <c:pt idx="181">
                  <c:v>43354</c:v>
                </c:pt>
                <c:pt idx="182">
                  <c:v>43355</c:v>
                </c:pt>
                <c:pt idx="183">
                  <c:v>43356</c:v>
                </c:pt>
                <c:pt idx="184">
                  <c:v>43357</c:v>
                </c:pt>
                <c:pt idx="185">
                  <c:v>43360</c:v>
                </c:pt>
                <c:pt idx="186">
                  <c:v>43361</c:v>
                </c:pt>
                <c:pt idx="187">
                  <c:v>43362</c:v>
                </c:pt>
                <c:pt idx="188">
                  <c:v>43363</c:v>
                </c:pt>
                <c:pt idx="189">
                  <c:v>43364</c:v>
                </c:pt>
                <c:pt idx="190">
                  <c:v>43367</c:v>
                </c:pt>
                <c:pt idx="191">
                  <c:v>43368</c:v>
                </c:pt>
                <c:pt idx="192">
                  <c:v>43369</c:v>
                </c:pt>
                <c:pt idx="193">
                  <c:v>43370</c:v>
                </c:pt>
                <c:pt idx="194">
                  <c:v>43371</c:v>
                </c:pt>
                <c:pt idx="195">
                  <c:v>43374</c:v>
                </c:pt>
                <c:pt idx="196">
                  <c:v>43375</c:v>
                </c:pt>
                <c:pt idx="197">
                  <c:v>43376</c:v>
                </c:pt>
                <c:pt idx="198">
                  <c:v>43377</c:v>
                </c:pt>
                <c:pt idx="199">
                  <c:v>43378</c:v>
                </c:pt>
                <c:pt idx="200">
                  <c:v>43381</c:v>
                </c:pt>
                <c:pt idx="201">
                  <c:v>43382</c:v>
                </c:pt>
                <c:pt idx="202">
                  <c:v>43383</c:v>
                </c:pt>
                <c:pt idx="203">
                  <c:v>43384</c:v>
                </c:pt>
                <c:pt idx="204">
                  <c:v>43385</c:v>
                </c:pt>
                <c:pt idx="205">
                  <c:v>43388</c:v>
                </c:pt>
                <c:pt idx="206">
                  <c:v>43389</c:v>
                </c:pt>
                <c:pt idx="207">
                  <c:v>43390</c:v>
                </c:pt>
                <c:pt idx="208">
                  <c:v>43391</c:v>
                </c:pt>
                <c:pt idx="209">
                  <c:v>43392</c:v>
                </c:pt>
                <c:pt idx="210">
                  <c:v>43395</c:v>
                </c:pt>
                <c:pt idx="211">
                  <c:v>43396</c:v>
                </c:pt>
                <c:pt idx="212">
                  <c:v>43397</c:v>
                </c:pt>
                <c:pt idx="213">
                  <c:v>43398</c:v>
                </c:pt>
                <c:pt idx="214">
                  <c:v>43399</c:v>
                </c:pt>
                <c:pt idx="215">
                  <c:v>43402</c:v>
                </c:pt>
                <c:pt idx="216">
                  <c:v>43403</c:v>
                </c:pt>
                <c:pt idx="217">
                  <c:v>43404</c:v>
                </c:pt>
                <c:pt idx="218">
                  <c:v>43405</c:v>
                </c:pt>
                <c:pt idx="219">
                  <c:v>43406</c:v>
                </c:pt>
                <c:pt idx="220">
                  <c:v>43409</c:v>
                </c:pt>
                <c:pt idx="221">
                  <c:v>43410</c:v>
                </c:pt>
                <c:pt idx="222">
                  <c:v>43411</c:v>
                </c:pt>
                <c:pt idx="223">
                  <c:v>43412</c:v>
                </c:pt>
                <c:pt idx="224">
                  <c:v>43413</c:v>
                </c:pt>
                <c:pt idx="225">
                  <c:v>43416</c:v>
                </c:pt>
                <c:pt idx="226">
                  <c:v>43417</c:v>
                </c:pt>
                <c:pt idx="227">
                  <c:v>43418</c:v>
                </c:pt>
                <c:pt idx="228">
                  <c:v>43419</c:v>
                </c:pt>
                <c:pt idx="229">
                  <c:v>43420</c:v>
                </c:pt>
                <c:pt idx="230">
                  <c:v>43423</c:v>
                </c:pt>
                <c:pt idx="231">
                  <c:v>43424</c:v>
                </c:pt>
                <c:pt idx="232">
                  <c:v>43425</c:v>
                </c:pt>
                <c:pt idx="233">
                  <c:v>43426</c:v>
                </c:pt>
                <c:pt idx="234">
                  <c:v>43427</c:v>
                </c:pt>
                <c:pt idx="235">
                  <c:v>43430</c:v>
                </c:pt>
                <c:pt idx="236">
                  <c:v>43431</c:v>
                </c:pt>
                <c:pt idx="237">
                  <c:v>43432</c:v>
                </c:pt>
                <c:pt idx="238">
                  <c:v>43433</c:v>
                </c:pt>
                <c:pt idx="239">
                  <c:v>43434</c:v>
                </c:pt>
                <c:pt idx="240">
                  <c:v>43437</c:v>
                </c:pt>
                <c:pt idx="241">
                  <c:v>43438</c:v>
                </c:pt>
                <c:pt idx="242">
                  <c:v>43439</c:v>
                </c:pt>
                <c:pt idx="243">
                  <c:v>43440</c:v>
                </c:pt>
                <c:pt idx="244">
                  <c:v>43441</c:v>
                </c:pt>
                <c:pt idx="245">
                  <c:v>43444</c:v>
                </c:pt>
                <c:pt idx="246">
                  <c:v>43445</c:v>
                </c:pt>
                <c:pt idx="247">
                  <c:v>43446</c:v>
                </c:pt>
                <c:pt idx="248">
                  <c:v>43447</c:v>
                </c:pt>
                <c:pt idx="249">
                  <c:v>43448</c:v>
                </c:pt>
                <c:pt idx="250">
                  <c:v>43451</c:v>
                </c:pt>
                <c:pt idx="251">
                  <c:v>43452</c:v>
                </c:pt>
                <c:pt idx="252">
                  <c:v>43453</c:v>
                </c:pt>
                <c:pt idx="253">
                  <c:v>43454</c:v>
                </c:pt>
                <c:pt idx="254">
                  <c:v>43455</c:v>
                </c:pt>
                <c:pt idx="255">
                  <c:v>43458</c:v>
                </c:pt>
                <c:pt idx="256">
                  <c:v>43459</c:v>
                </c:pt>
                <c:pt idx="257">
                  <c:v>43460</c:v>
                </c:pt>
                <c:pt idx="258">
                  <c:v>43461</c:v>
                </c:pt>
                <c:pt idx="259">
                  <c:v>43462</c:v>
                </c:pt>
                <c:pt idx="260">
                  <c:v>43465</c:v>
                </c:pt>
                <c:pt idx="261">
                  <c:v>43466</c:v>
                </c:pt>
                <c:pt idx="262">
                  <c:v>43467</c:v>
                </c:pt>
                <c:pt idx="263">
                  <c:v>43468</c:v>
                </c:pt>
                <c:pt idx="264">
                  <c:v>43469</c:v>
                </c:pt>
                <c:pt idx="265">
                  <c:v>43472</c:v>
                </c:pt>
                <c:pt idx="266">
                  <c:v>43473</c:v>
                </c:pt>
                <c:pt idx="267">
                  <c:v>43474</c:v>
                </c:pt>
                <c:pt idx="268">
                  <c:v>43475</c:v>
                </c:pt>
                <c:pt idx="269">
                  <c:v>43476</c:v>
                </c:pt>
                <c:pt idx="270">
                  <c:v>43479</c:v>
                </c:pt>
                <c:pt idx="271">
                  <c:v>43480</c:v>
                </c:pt>
                <c:pt idx="272">
                  <c:v>43481</c:v>
                </c:pt>
                <c:pt idx="273">
                  <c:v>43482</c:v>
                </c:pt>
                <c:pt idx="274">
                  <c:v>43483</c:v>
                </c:pt>
                <c:pt idx="275">
                  <c:v>43486</c:v>
                </c:pt>
                <c:pt idx="276">
                  <c:v>43487</c:v>
                </c:pt>
                <c:pt idx="277">
                  <c:v>43488</c:v>
                </c:pt>
                <c:pt idx="278">
                  <c:v>43489</c:v>
                </c:pt>
                <c:pt idx="279">
                  <c:v>43490</c:v>
                </c:pt>
                <c:pt idx="280">
                  <c:v>43493</c:v>
                </c:pt>
                <c:pt idx="281">
                  <c:v>43494</c:v>
                </c:pt>
                <c:pt idx="282">
                  <c:v>43495</c:v>
                </c:pt>
                <c:pt idx="283">
                  <c:v>43496</c:v>
                </c:pt>
                <c:pt idx="284">
                  <c:v>43497</c:v>
                </c:pt>
                <c:pt idx="285">
                  <c:v>43500</c:v>
                </c:pt>
                <c:pt idx="286">
                  <c:v>43501</c:v>
                </c:pt>
                <c:pt idx="287">
                  <c:v>43502</c:v>
                </c:pt>
                <c:pt idx="288">
                  <c:v>43503</c:v>
                </c:pt>
                <c:pt idx="289">
                  <c:v>43504</c:v>
                </c:pt>
                <c:pt idx="290">
                  <c:v>43507</c:v>
                </c:pt>
                <c:pt idx="291">
                  <c:v>43508</c:v>
                </c:pt>
                <c:pt idx="292">
                  <c:v>43509</c:v>
                </c:pt>
                <c:pt idx="293">
                  <c:v>43510</c:v>
                </c:pt>
                <c:pt idx="294">
                  <c:v>43511</c:v>
                </c:pt>
                <c:pt idx="295">
                  <c:v>43514</c:v>
                </c:pt>
                <c:pt idx="296">
                  <c:v>43515</c:v>
                </c:pt>
                <c:pt idx="297">
                  <c:v>43516</c:v>
                </c:pt>
                <c:pt idx="298">
                  <c:v>43517</c:v>
                </c:pt>
                <c:pt idx="299">
                  <c:v>43518</c:v>
                </c:pt>
              </c:numCache>
            </c:numRef>
          </c:cat>
          <c:val>
            <c:numRef>
              <c:f>pds!$D$2:$D$541</c:f>
              <c:numCache>
                <c:formatCode>0</c:formatCode>
                <c:ptCount val="300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18</c:v>
                </c:pt>
                <c:pt idx="5">
                  <c:v>18</c:v>
                </c:pt>
                <c:pt idx="6">
                  <c:v>18</c:v>
                </c:pt>
                <c:pt idx="7">
                  <c:v>16</c:v>
                </c:pt>
                <c:pt idx="8">
                  <c:v>16</c:v>
                </c:pt>
                <c:pt idx="9">
                  <c:v>16</c:v>
                </c:pt>
                <c:pt idx="10">
                  <c:v>16</c:v>
                </c:pt>
                <c:pt idx="11">
                  <c:v>16</c:v>
                </c:pt>
                <c:pt idx="12">
                  <c:v>16</c:v>
                </c:pt>
                <c:pt idx="13">
                  <c:v>16</c:v>
                </c:pt>
                <c:pt idx="14">
                  <c:v>16</c:v>
                </c:pt>
                <c:pt idx="15">
                  <c:v>16</c:v>
                </c:pt>
                <c:pt idx="16">
                  <c:v>16</c:v>
                </c:pt>
                <c:pt idx="17">
                  <c:v>16</c:v>
                </c:pt>
                <c:pt idx="18">
                  <c:v>19</c:v>
                </c:pt>
                <c:pt idx="19">
                  <c:v>19</c:v>
                </c:pt>
                <c:pt idx="20">
                  <c:v>19</c:v>
                </c:pt>
                <c:pt idx="21">
                  <c:v>19</c:v>
                </c:pt>
                <c:pt idx="22">
                  <c:v>19</c:v>
                </c:pt>
                <c:pt idx="23">
                  <c:v>19</c:v>
                </c:pt>
                <c:pt idx="24">
                  <c:v>19</c:v>
                </c:pt>
                <c:pt idx="25">
                  <c:v>19</c:v>
                </c:pt>
                <c:pt idx="26">
                  <c:v>19</c:v>
                </c:pt>
                <c:pt idx="27">
                  <c:v>25</c:v>
                </c:pt>
                <c:pt idx="28">
                  <c:v>25</c:v>
                </c:pt>
                <c:pt idx="29">
                  <c:v>25</c:v>
                </c:pt>
                <c:pt idx="30">
                  <c:v>25</c:v>
                </c:pt>
                <c:pt idx="31">
                  <c:v>30</c:v>
                </c:pt>
                <c:pt idx="32">
                  <c:v>30</c:v>
                </c:pt>
                <c:pt idx="33">
                  <c:v>30</c:v>
                </c:pt>
                <c:pt idx="34">
                  <c:v>30</c:v>
                </c:pt>
                <c:pt idx="35">
                  <c:v>27</c:v>
                </c:pt>
                <c:pt idx="36">
                  <c:v>27</c:v>
                </c:pt>
                <c:pt idx="37">
                  <c:v>27</c:v>
                </c:pt>
                <c:pt idx="38">
                  <c:v>27</c:v>
                </c:pt>
                <c:pt idx="39">
                  <c:v>27</c:v>
                </c:pt>
                <c:pt idx="40">
                  <c:v>27</c:v>
                </c:pt>
                <c:pt idx="41">
                  <c:v>27</c:v>
                </c:pt>
                <c:pt idx="42">
                  <c:v>27</c:v>
                </c:pt>
                <c:pt idx="43">
                  <c:v>27</c:v>
                </c:pt>
                <c:pt idx="44">
                  <c:v>27</c:v>
                </c:pt>
                <c:pt idx="45">
                  <c:v>27</c:v>
                </c:pt>
                <c:pt idx="46">
                  <c:v>27</c:v>
                </c:pt>
                <c:pt idx="47">
                  <c:v>27</c:v>
                </c:pt>
                <c:pt idx="48">
                  <c:v>27</c:v>
                </c:pt>
                <c:pt idx="49">
                  <c:v>27</c:v>
                </c:pt>
                <c:pt idx="50">
                  <c:v>34</c:v>
                </c:pt>
                <c:pt idx="51">
                  <c:v>34</c:v>
                </c:pt>
                <c:pt idx="52">
                  <c:v>34</c:v>
                </c:pt>
                <c:pt idx="53">
                  <c:v>34</c:v>
                </c:pt>
                <c:pt idx="54">
                  <c:v>34</c:v>
                </c:pt>
                <c:pt idx="55">
                  <c:v>40</c:v>
                </c:pt>
                <c:pt idx="56">
                  <c:v>40</c:v>
                </c:pt>
                <c:pt idx="57">
                  <c:v>40</c:v>
                </c:pt>
                <c:pt idx="58">
                  <c:v>40</c:v>
                </c:pt>
                <c:pt idx="59">
                  <c:v>40</c:v>
                </c:pt>
                <c:pt idx="60">
                  <c:v>40</c:v>
                </c:pt>
                <c:pt idx="61">
                  <c:v>40</c:v>
                </c:pt>
                <c:pt idx="62">
                  <c:v>49</c:v>
                </c:pt>
                <c:pt idx="63">
                  <c:v>49</c:v>
                </c:pt>
                <c:pt idx="64">
                  <c:v>49</c:v>
                </c:pt>
                <c:pt idx="65">
                  <c:v>49</c:v>
                </c:pt>
                <c:pt idx="66">
                  <c:v>49</c:v>
                </c:pt>
                <c:pt idx="67">
                  <c:v>51</c:v>
                </c:pt>
                <c:pt idx="68">
                  <c:v>51</c:v>
                </c:pt>
                <c:pt idx="69">
                  <c:v>61</c:v>
                </c:pt>
                <c:pt idx="70">
                  <c:v>62</c:v>
                </c:pt>
                <c:pt idx="71">
                  <c:v>61</c:v>
                </c:pt>
                <c:pt idx="72">
                  <c:v>61</c:v>
                </c:pt>
                <c:pt idx="73">
                  <c:v>54</c:v>
                </c:pt>
                <c:pt idx="74">
                  <c:v>54</c:v>
                </c:pt>
                <c:pt idx="75">
                  <c:v>54</c:v>
                </c:pt>
                <c:pt idx="76">
                  <c:v>54</c:v>
                </c:pt>
                <c:pt idx="77">
                  <c:v>54</c:v>
                </c:pt>
                <c:pt idx="78">
                  <c:v>54</c:v>
                </c:pt>
                <c:pt idx="79">
                  <c:v>54</c:v>
                </c:pt>
                <c:pt idx="80">
                  <c:v>54</c:v>
                </c:pt>
                <c:pt idx="81">
                  <c:v>50</c:v>
                </c:pt>
                <c:pt idx="82">
                  <c:v>50</c:v>
                </c:pt>
                <c:pt idx="83">
                  <c:v>50</c:v>
                </c:pt>
                <c:pt idx="84">
                  <c:v>50</c:v>
                </c:pt>
                <c:pt idx="85">
                  <c:v>50</c:v>
                </c:pt>
                <c:pt idx="86">
                  <c:v>50</c:v>
                </c:pt>
                <c:pt idx="87">
                  <c:v>50</c:v>
                </c:pt>
                <c:pt idx="88">
                  <c:v>50</c:v>
                </c:pt>
                <c:pt idx="89">
                  <c:v>50</c:v>
                </c:pt>
                <c:pt idx="90">
                  <c:v>50</c:v>
                </c:pt>
                <c:pt idx="91">
                  <c:v>50</c:v>
                </c:pt>
                <c:pt idx="92">
                  <c:v>53</c:v>
                </c:pt>
                <c:pt idx="93">
                  <c:v>53</c:v>
                </c:pt>
                <c:pt idx="94">
                  <c:v>53</c:v>
                </c:pt>
                <c:pt idx="95">
                  <c:v>48</c:v>
                </c:pt>
                <c:pt idx="96">
                  <c:v>48</c:v>
                </c:pt>
                <c:pt idx="97">
                  <c:v>48</c:v>
                </c:pt>
                <c:pt idx="98">
                  <c:v>48</c:v>
                </c:pt>
                <c:pt idx="99">
                  <c:v>48</c:v>
                </c:pt>
                <c:pt idx="100">
                  <c:v>48</c:v>
                </c:pt>
                <c:pt idx="101">
                  <c:v>48</c:v>
                </c:pt>
                <c:pt idx="102">
                  <c:v>48</c:v>
                </c:pt>
                <c:pt idx="103">
                  <c:v>48</c:v>
                </c:pt>
                <c:pt idx="104">
                  <c:v>47</c:v>
                </c:pt>
                <c:pt idx="105">
                  <c:v>47</c:v>
                </c:pt>
                <c:pt idx="106">
                  <c:v>47</c:v>
                </c:pt>
                <c:pt idx="107">
                  <c:v>47</c:v>
                </c:pt>
                <c:pt idx="108">
                  <c:v>47</c:v>
                </c:pt>
                <c:pt idx="109">
                  <c:v>47</c:v>
                </c:pt>
                <c:pt idx="110">
                  <c:v>47</c:v>
                </c:pt>
                <c:pt idx="111">
                  <c:v>47</c:v>
                </c:pt>
                <c:pt idx="112">
                  <c:v>47</c:v>
                </c:pt>
                <c:pt idx="113">
                  <c:v>47</c:v>
                </c:pt>
                <c:pt idx="114">
                  <c:v>47</c:v>
                </c:pt>
                <c:pt idx="115">
                  <c:v>47</c:v>
                </c:pt>
                <c:pt idx="116">
                  <c:v>47</c:v>
                </c:pt>
                <c:pt idx="117">
                  <c:v>52</c:v>
                </c:pt>
                <c:pt idx="118">
                  <c:v>52</c:v>
                </c:pt>
                <c:pt idx="119">
                  <c:v>52</c:v>
                </c:pt>
                <c:pt idx="120">
                  <c:v>52</c:v>
                </c:pt>
                <c:pt idx="121">
                  <c:v>52</c:v>
                </c:pt>
                <c:pt idx="122">
                  <c:v>52</c:v>
                </c:pt>
                <c:pt idx="123">
                  <c:v>52</c:v>
                </c:pt>
                <c:pt idx="124">
                  <c:v>40</c:v>
                </c:pt>
                <c:pt idx="125">
                  <c:v>40</c:v>
                </c:pt>
                <c:pt idx="126">
                  <c:v>40</c:v>
                </c:pt>
                <c:pt idx="127">
                  <c:v>40</c:v>
                </c:pt>
                <c:pt idx="128">
                  <c:v>40</c:v>
                </c:pt>
                <c:pt idx="129">
                  <c:v>40</c:v>
                </c:pt>
                <c:pt idx="130">
                  <c:v>40</c:v>
                </c:pt>
                <c:pt idx="131">
                  <c:v>40</c:v>
                </c:pt>
                <c:pt idx="132">
                  <c:v>40</c:v>
                </c:pt>
                <c:pt idx="133">
                  <c:v>40</c:v>
                </c:pt>
                <c:pt idx="134">
                  <c:v>40</c:v>
                </c:pt>
                <c:pt idx="135">
                  <c:v>40</c:v>
                </c:pt>
                <c:pt idx="136">
                  <c:v>40</c:v>
                </c:pt>
                <c:pt idx="137">
                  <c:v>46</c:v>
                </c:pt>
                <c:pt idx="138">
                  <c:v>48</c:v>
                </c:pt>
                <c:pt idx="139">
                  <c:v>48</c:v>
                </c:pt>
                <c:pt idx="140">
                  <c:v>50</c:v>
                </c:pt>
                <c:pt idx="141">
                  <c:v>50</c:v>
                </c:pt>
                <c:pt idx="142">
                  <c:v>50</c:v>
                </c:pt>
                <c:pt idx="143">
                  <c:v>45</c:v>
                </c:pt>
                <c:pt idx="144">
                  <c:v>45</c:v>
                </c:pt>
                <c:pt idx="145">
                  <c:v>45</c:v>
                </c:pt>
                <c:pt idx="146">
                  <c:v>45</c:v>
                </c:pt>
                <c:pt idx="147">
                  <c:v>45</c:v>
                </c:pt>
                <c:pt idx="148">
                  <c:v>45</c:v>
                </c:pt>
                <c:pt idx="149">
                  <c:v>38</c:v>
                </c:pt>
                <c:pt idx="150">
                  <c:v>34</c:v>
                </c:pt>
                <c:pt idx="151">
                  <c:v>18</c:v>
                </c:pt>
                <c:pt idx="152">
                  <c:v>18</c:v>
                </c:pt>
                <c:pt idx="153">
                  <c:v>18</c:v>
                </c:pt>
                <c:pt idx="154">
                  <c:v>18</c:v>
                </c:pt>
                <c:pt idx="155">
                  <c:v>18</c:v>
                </c:pt>
                <c:pt idx="156">
                  <c:v>18</c:v>
                </c:pt>
                <c:pt idx="157">
                  <c:v>18</c:v>
                </c:pt>
                <c:pt idx="158">
                  <c:v>18</c:v>
                </c:pt>
                <c:pt idx="159">
                  <c:v>18</c:v>
                </c:pt>
                <c:pt idx="160">
                  <c:v>18</c:v>
                </c:pt>
                <c:pt idx="161">
                  <c:v>18</c:v>
                </c:pt>
                <c:pt idx="162">
                  <c:v>40</c:v>
                </c:pt>
                <c:pt idx="163">
                  <c:v>40</c:v>
                </c:pt>
                <c:pt idx="164">
                  <c:v>40</c:v>
                </c:pt>
                <c:pt idx="165">
                  <c:v>50</c:v>
                </c:pt>
                <c:pt idx="166">
                  <c:v>50</c:v>
                </c:pt>
                <c:pt idx="167">
                  <c:v>50</c:v>
                </c:pt>
                <c:pt idx="168">
                  <c:v>50</c:v>
                </c:pt>
                <c:pt idx="169">
                  <c:v>60</c:v>
                </c:pt>
                <c:pt idx="170">
                  <c:v>60</c:v>
                </c:pt>
                <c:pt idx="171">
                  <c:v>55</c:v>
                </c:pt>
                <c:pt idx="172">
                  <c:v>46</c:v>
                </c:pt>
                <c:pt idx="173">
                  <c:v>37</c:v>
                </c:pt>
                <c:pt idx="174">
                  <c:v>37</c:v>
                </c:pt>
                <c:pt idx="175">
                  <c:v>37</c:v>
                </c:pt>
                <c:pt idx="176">
                  <c:v>37</c:v>
                </c:pt>
                <c:pt idx="177">
                  <c:v>37</c:v>
                </c:pt>
                <c:pt idx="178">
                  <c:v>37</c:v>
                </c:pt>
                <c:pt idx="179">
                  <c:v>37</c:v>
                </c:pt>
                <c:pt idx="180">
                  <c:v>37</c:v>
                </c:pt>
                <c:pt idx="181">
                  <c:v>37</c:v>
                </c:pt>
                <c:pt idx="182">
                  <c:v>37</c:v>
                </c:pt>
                <c:pt idx="183">
                  <c:v>37</c:v>
                </c:pt>
                <c:pt idx="184">
                  <c:v>37</c:v>
                </c:pt>
                <c:pt idx="185">
                  <c:v>38</c:v>
                </c:pt>
                <c:pt idx="186">
                  <c:v>43</c:v>
                </c:pt>
                <c:pt idx="187">
                  <c:v>52</c:v>
                </c:pt>
                <c:pt idx="188">
                  <c:v>52</c:v>
                </c:pt>
                <c:pt idx="189">
                  <c:v>51</c:v>
                </c:pt>
                <c:pt idx="190">
                  <c:v>51</c:v>
                </c:pt>
                <c:pt idx="191">
                  <c:v>51</c:v>
                </c:pt>
                <c:pt idx="192">
                  <c:v>51</c:v>
                </c:pt>
                <c:pt idx="193">
                  <c:v>51</c:v>
                </c:pt>
                <c:pt idx="194">
                  <c:v>51</c:v>
                </c:pt>
                <c:pt idx="195">
                  <c:v>51</c:v>
                </c:pt>
                <c:pt idx="196">
                  <c:v>51</c:v>
                </c:pt>
                <c:pt idx="197">
                  <c:v>51</c:v>
                </c:pt>
                <c:pt idx="198">
                  <c:v>51</c:v>
                </c:pt>
                <c:pt idx="199">
                  <c:v>51</c:v>
                </c:pt>
                <c:pt idx="200">
                  <c:v>51</c:v>
                </c:pt>
                <c:pt idx="201">
                  <c:v>51</c:v>
                </c:pt>
                <c:pt idx="202">
                  <c:v>59</c:v>
                </c:pt>
                <c:pt idx="203">
                  <c:v>59</c:v>
                </c:pt>
                <c:pt idx="204">
                  <c:v>53</c:v>
                </c:pt>
                <c:pt idx="205">
                  <c:v>53</c:v>
                </c:pt>
                <c:pt idx="206">
                  <c:v>53</c:v>
                </c:pt>
                <c:pt idx="207">
                  <c:v>53</c:v>
                </c:pt>
                <c:pt idx="208">
                  <c:v>51</c:v>
                </c:pt>
                <c:pt idx="209">
                  <c:v>43</c:v>
                </c:pt>
                <c:pt idx="210">
                  <c:v>34</c:v>
                </c:pt>
                <c:pt idx="211">
                  <c:v>30</c:v>
                </c:pt>
                <c:pt idx="212">
                  <c:v>30</c:v>
                </c:pt>
                <c:pt idx="213">
                  <c:v>30</c:v>
                </c:pt>
                <c:pt idx="214">
                  <c:v>30</c:v>
                </c:pt>
                <c:pt idx="215">
                  <c:v>30</c:v>
                </c:pt>
                <c:pt idx="216">
                  <c:v>30</c:v>
                </c:pt>
                <c:pt idx="217">
                  <c:v>30</c:v>
                </c:pt>
                <c:pt idx="218">
                  <c:v>30</c:v>
                </c:pt>
                <c:pt idx="219">
                  <c:v>30</c:v>
                </c:pt>
                <c:pt idx="220">
                  <c:v>30</c:v>
                </c:pt>
                <c:pt idx="221">
                  <c:v>30</c:v>
                </c:pt>
                <c:pt idx="222">
                  <c:v>43</c:v>
                </c:pt>
                <c:pt idx="223">
                  <c:v>43</c:v>
                </c:pt>
                <c:pt idx="224">
                  <c:v>43</c:v>
                </c:pt>
                <c:pt idx="225">
                  <c:v>38</c:v>
                </c:pt>
                <c:pt idx="226">
                  <c:v>38</c:v>
                </c:pt>
                <c:pt idx="227">
                  <c:v>38</c:v>
                </c:pt>
                <c:pt idx="228">
                  <c:v>38</c:v>
                </c:pt>
                <c:pt idx="229">
                  <c:v>38</c:v>
                </c:pt>
                <c:pt idx="230">
                  <c:v>38</c:v>
                </c:pt>
                <c:pt idx="231">
                  <c:v>38</c:v>
                </c:pt>
                <c:pt idx="232">
                  <c:v>38</c:v>
                </c:pt>
                <c:pt idx="233">
                  <c:v>38</c:v>
                </c:pt>
                <c:pt idx="234">
                  <c:v>38</c:v>
                </c:pt>
                <c:pt idx="235">
                  <c:v>38</c:v>
                </c:pt>
                <c:pt idx="236">
                  <c:v>43</c:v>
                </c:pt>
                <c:pt idx="237">
                  <c:v>45</c:v>
                </c:pt>
                <c:pt idx="238">
                  <c:v>45</c:v>
                </c:pt>
                <c:pt idx="239">
                  <c:v>45</c:v>
                </c:pt>
                <c:pt idx="240">
                  <c:v>45</c:v>
                </c:pt>
                <c:pt idx="241">
                  <c:v>46</c:v>
                </c:pt>
                <c:pt idx="242">
                  <c:v>51</c:v>
                </c:pt>
                <c:pt idx="243">
                  <c:v>51</c:v>
                </c:pt>
                <c:pt idx="244">
                  <c:v>51</c:v>
                </c:pt>
                <c:pt idx="245">
                  <c:v>51</c:v>
                </c:pt>
                <c:pt idx="246">
                  <c:v>51</c:v>
                </c:pt>
                <c:pt idx="247">
                  <c:v>51</c:v>
                </c:pt>
                <c:pt idx="248">
                  <c:v>51</c:v>
                </c:pt>
                <c:pt idx="249">
                  <c:v>39</c:v>
                </c:pt>
                <c:pt idx="250">
                  <c:v>39</c:v>
                </c:pt>
                <c:pt idx="251">
                  <c:v>39</c:v>
                </c:pt>
                <c:pt idx="252">
                  <c:v>39</c:v>
                </c:pt>
                <c:pt idx="253">
                  <c:v>39</c:v>
                </c:pt>
                <c:pt idx="254">
                  <c:v>39</c:v>
                </c:pt>
                <c:pt idx="255">
                  <c:v>39</c:v>
                </c:pt>
                <c:pt idx="256">
                  <c:v>39</c:v>
                </c:pt>
                <c:pt idx="257">
                  <c:v>39</c:v>
                </c:pt>
                <c:pt idx="258">
                  <c:v>39</c:v>
                </c:pt>
                <c:pt idx="259">
                  <c:v>39</c:v>
                </c:pt>
                <c:pt idx="260">
                  <c:v>43</c:v>
                </c:pt>
                <c:pt idx="261">
                  <c:v>43</c:v>
                </c:pt>
                <c:pt idx="262">
                  <c:v>54</c:v>
                </c:pt>
                <c:pt idx="263">
                  <c:v>54</c:v>
                </c:pt>
                <c:pt idx="264">
                  <c:v>54</c:v>
                </c:pt>
                <c:pt idx="265">
                  <c:v>54</c:v>
                </c:pt>
                <c:pt idx="266">
                  <c:v>62</c:v>
                </c:pt>
                <c:pt idx="267">
                  <c:v>62</c:v>
                </c:pt>
                <c:pt idx="268">
                  <c:v>62</c:v>
                </c:pt>
                <c:pt idx="269">
                  <c:v>62</c:v>
                </c:pt>
                <c:pt idx="270">
                  <c:v>62</c:v>
                </c:pt>
                <c:pt idx="271">
                  <c:v>62</c:v>
                </c:pt>
                <c:pt idx="272">
                  <c:v>62</c:v>
                </c:pt>
                <c:pt idx="273">
                  <c:v>62</c:v>
                </c:pt>
                <c:pt idx="274">
                  <c:v>62</c:v>
                </c:pt>
                <c:pt idx="275">
                  <c:v>63</c:v>
                </c:pt>
                <c:pt idx="276">
                  <c:v>47</c:v>
                </c:pt>
                <c:pt idx="277">
                  <c:v>47</c:v>
                </c:pt>
                <c:pt idx="278">
                  <c:v>47</c:v>
                </c:pt>
                <c:pt idx="279">
                  <c:v>47</c:v>
                </c:pt>
                <c:pt idx="280">
                  <c:v>47</c:v>
                </c:pt>
                <c:pt idx="281">
                  <c:v>47</c:v>
                </c:pt>
                <c:pt idx="282">
                  <c:v>47</c:v>
                </c:pt>
                <c:pt idx="283">
                  <c:v>47</c:v>
                </c:pt>
                <c:pt idx="284">
                  <c:v>47</c:v>
                </c:pt>
                <c:pt idx="285">
                  <c:v>47</c:v>
                </c:pt>
                <c:pt idx="286">
                  <c:v>47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1CF-4BE4-9EAF-4718127CDFC7}"/>
            </c:ext>
          </c:extLst>
        </c:ser>
        <c:ser>
          <c:idx val="2"/>
          <c:order val="1"/>
          <c:tx>
            <c:strRef>
              <c:f>pds!$E$1</c:f>
              <c:strCache>
                <c:ptCount val="1"/>
              </c:strCache>
            </c:strRef>
          </c:tx>
          <c:marker>
            <c:symbol val="none"/>
          </c:marker>
          <c:cat>
            <c:numRef>
              <c:f>pds!$A$2:$A$541</c:f>
              <c:numCache>
                <c:formatCode>d\-mmm</c:formatCode>
                <c:ptCount val="300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43108</c:v>
                </c:pt>
                <c:pt idx="6">
                  <c:v>43109</c:v>
                </c:pt>
                <c:pt idx="7">
                  <c:v>43110</c:v>
                </c:pt>
                <c:pt idx="8">
                  <c:v>43111</c:v>
                </c:pt>
                <c:pt idx="9">
                  <c:v>43112</c:v>
                </c:pt>
                <c:pt idx="10">
                  <c:v>43115</c:v>
                </c:pt>
                <c:pt idx="11">
                  <c:v>43116</c:v>
                </c:pt>
                <c:pt idx="12">
                  <c:v>43117</c:v>
                </c:pt>
                <c:pt idx="13">
                  <c:v>43118</c:v>
                </c:pt>
                <c:pt idx="14">
                  <c:v>43119</c:v>
                </c:pt>
                <c:pt idx="15">
                  <c:v>43122</c:v>
                </c:pt>
                <c:pt idx="16">
                  <c:v>43123</c:v>
                </c:pt>
                <c:pt idx="17">
                  <c:v>43124</c:v>
                </c:pt>
                <c:pt idx="18">
                  <c:v>43125</c:v>
                </c:pt>
                <c:pt idx="19">
                  <c:v>43126</c:v>
                </c:pt>
                <c:pt idx="20">
                  <c:v>43129</c:v>
                </c:pt>
                <c:pt idx="21">
                  <c:v>43130</c:v>
                </c:pt>
                <c:pt idx="22">
                  <c:v>43131</c:v>
                </c:pt>
                <c:pt idx="23">
                  <c:v>43132</c:v>
                </c:pt>
                <c:pt idx="24">
                  <c:v>43133</c:v>
                </c:pt>
                <c:pt idx="25">
                  <c:v>43136</c:v>
                </c:pt>
                <c:pt idx="26">
                  <c:v>43137</c:v>
                </c:pt>
                <c:pt idx="27">
                  <c:v>43138</c:v>
                </c:pt>
                <c:pt idx="28">
                  <c:v>43139</c:v>
                </c:pt>
                <c:pt idx="29">
                  <c:v>43140</c:v>
                </c:pt>
                <c:pt idx="30">
                  <c:v>43143</c:v>
                </c:pt>
                <c:pt idx="31">
                  <c:v>43144</c:v>
                </c:pt>
                <c:pt idx="32">
                  <c:v>43145</c:v>
                </c:pt>
                <c:pt idx="33">
                  <c:v>43146</c:v>
                </c:pt>
                <c:pt idx="34">
                  <c:v>43147</c:v>
                </c:pt>
                <c:pt idx="35">
                  <c:v>43150</c:v>
                </c:pt>
                <c:pt idx="36">
                  <c:v>43151</c:v>
                </c:pt>
                <c:pt idx="37">
                  <c:v>43152</c:v>
                </c:pt>
                <c:pt idx="38">
                  <c:v>43153</c:v>
                </c:pt>
                <c:pt idx="39">
                  <c:v>43154</c:v>
                </c:pt>
                <c:pt idx="40">
                  <c:v>43157</c:v>
                </c:pt>
                <c:pt idx="41">
                  <c:v>43158</c:v>
                </c:pt>
                <c:pt idx="42">
                  <c:v>43159</c:v>
                </c:pt>
                <c:pt idx="43">
                  <c:v>43160</c:v>
                </c:pt>
                <c:pt idx="44">
                  <c:v>43161</c:v>
                </c:pt>
                <c:pt idx="45">
                  <c:v>43164</c:v>
                </c:pt>
                <c:pt idx="46">
                  <c:v>43165</c:v>
                </c:pt>
                <c:pt idx="47">
                  <c:v>43166</c:v>
                </c:pt>
                <c:pt idx="48">
                  <c:v>43167</c:v>
                </c:pt>
                <c:pt idx="49">
                  <c:v>43168</c:v>
                </c:pt>
                <c:pt idx="50">
                  <c:v>43171</c:v>
                </c:pt>
                <c:pt idx="51">
                  <c:v>43172</c:v>
                </c:pt>
                <c:pt idx="52">
                  <c:v>43173</c:v>
                </c:pt>
                <c:pt idx="53">
                  <c:v>43174</c:v>
                </c:pt>
                <c:pt idx="54">
                  <c:v>43175</c:v>
                </c:pt>
                <c:pt idx="55">
                  <c:v>43178</c:v>
                </c:pt>
                <c:pt idx="56">
                  <c:v>43179</c:v>
                </c:pt>
                <c:pt idx="57">
                  <c:v>43180</c:v>
                </c:pt>
                <c:pt idx="58">
                  <c:v>43181</c:v>
                </c:pt>
                <c:pt idx="59">
                  <c:v>43182</c:v>
                </c:pt>
                <c:pt idx="60">
                  <c:v>43185</c:v>
                </c:pt>
                <c:pt idx="61">
                  <c:v>43186</c:v>
                </c:pt>
                <c:pt idx="62">
                  <c:v>43187</c:v>
                </c:pt>
                <c:pt idx="63">
                  <c:v>43188</c:v>
                </c:pt>
                <c:pt idx="64">
                  <c:v>43189</c:v>
                </c:pt>
                <c:pt idx="65">
                  <c:v>43192</c:v>
                </c:pt>
                <c:pt idx="66">
                  <c:v>43193</c:v>
                </c:pt>
                <c:pt idx="67">
                  <c:v>43194</c:v>
                </c:pt>
                <c:pt idx="68">
                  <c:v>43195</c:v>
                </c:pt>
                <c:pt idx="69">
                  <c:v>43196</c:v>
                </c:pt>
                <c:pt idx="70">
                  <c:v>43199</c:v>
                </c:pt>
                <c:pt idx="71">
                  <c:v>43200</c:v>
                </c:pt>
                <c:pt idx="72">
                  <c:v>43201</c:v>
                </c:pt>
                <c:pt idx="73">
                  <c:v>43202</c:v>
                </c:pt>
                <c:pt idx="74">
                  <c:v>43203</c:v>
                </c:pt>
                <c:pt idx="75">
                  <c:v>43206</c:v>
                </c:pt>
                <c:pt idx="76">
                  <c:v>43207</c:v>
                </c:pt>
                <c:pt idx="77">
                  <c:v>43208</c:v>
                </c:pt>
                <c:pt idx="78">
                  <c:v>43209</c:v>
                </c:pt>
                <c:pt idx="79">
                  <c:v>43210</c:v>
                </c:pt>
                <c:pt idx="80">
                  <c:v>43213</c:v>
                </c:pt>
                <c:pt idx="81">
                  <c:v>43214</c:v>
                </c:pt>
                <c:pt idx="82">
                  <c:v>43215</c:v>
                </c:pt>
                <c:pt idx="83">
                  <c:v>43216</c:v>
                </c:pt>
                <c:pt idx="84">
                  <c:v>43217</c:v>
                </c:pt>
                <c:pt idx="85">
                  <c:v>43220</c:v>
                </c:pt>
                <c:pt idx="86">
                  <c:v>43221</c:v>
                </c:pt>
                <c:pt idx="87">
                  <c:v>43222</c:v>
                </c:pt>
                <c:pt idx="88">
                  <c:v>43223</c:v>
                </c:pt>
                <c:pt idx="89">
                  <c:v>43224</c:v>
                </c:pt>
                <c:pt idx="90">
                  <c:v>43227</c:v>
                </c:pt>
                <c:pt idx="91">
                  <c:v>43228</c:v>
                </c:pt>
                <c:pt idx="92">
                  <c:v>43229</c:v>
                </c:pt>
                <c:pt idx="93">
                  <c:v>43230</c:v>
                </c:pt>
                <c:pt idx="94">
                  <c:v>43231</c:v>
                </c:pt>
                <c:pt idx="95">
                  <c:v>43234</c:v>
                </c:pt>
                <c:pt idx="96">
                  <c:v>43235</c:v>
                </c:pt>
                <c:pt idx="97">
                  <c:v>43236</c:v>
                </c:pt>
                <c:pt idx="98">
                  <c:v>43237</c:v>
                </c:pt>
                <c:pt idx="99">
                  <c:v>43238</c:v>
                </c:pt>
                <c:pt idx="100">
                  <c:v>43241</c:v>
                </c:pt>
                <c:pt idx="101">
                  <c:v>43242</c:v>
                </c:pt>
                <c:pt idx="102">
                  <c:v>43243</c:v>
                </c:pt>
                <c:pt idx="103">
                  <c:v>43244</c:v>
                </c:pt>
                <c:pt idx="104">
                  <c:v>43245</c:v>
                </c:pt>
                <c:pt idx="105">
                  <c:v>43248</c:v>
                </c:pt>
                <c:pt idx="106">
                  <c:v>43249</c:v>
                </c:pt>
                <c:pt idx="107">
                  <c:v>43250</c:v>
                </c:pt>
                <c:pt idx="108">
                  <c:v>43251</c:v>
                </c:pt>
                <c:pt idx="109">
                  <c:v>43252</c:v>
                </c:pt>
                <c:pt idx="110">
                  <c:v>43255</c:v>
                </c:pt>
                <c:pt idx="111">
                  <c:v>43256</c:v>
                </c:pt>
                <c:pt idx="112">
                  <c:v>43257</c:v>
                </c:pt>
                <c:pt idx="113">
                  <c:v>43258</c:v>
                </c:pt>
                <c:pt idx="114">
                  <c:v>43259</c:v>
                </c:pt>
                <c:pt idx="115">
                  <c:v>43262</c:v>
                </c:pt>
                <c:pt idx="116">
                  <c:v>43263</c:v>
                </c:pt>
                <c:pt idx="117">
                  <c:v>43264</c:v>
                </c:pt>
                <c:pt idx="118">
                  <c:v>43265</c:v>
                </c:pt>
                <c:pt idx="119">
                  <c:v>43266</c:v>
                </c:pt>
                <c:pt idx="120">
                  <c:v>43269</c:v>
                </c:pt>
                <c:pt idx="121">
                  <c:v>43270</c:v>
                </c:pt>
                <c:pt idx="122">
                  <c:v>43271</c:v>
                </c:pt>
                <c:pt idx="123">
                  <c:v>43272</c:v>
                </c:pt>
                <c:pt idx="124">
                  <c:v>43273</c:v>
                </c:pt>
                <c:pt idx="125">
                  <c:v>43276</c:v>
                </c:pt>
                <c:pt idx="126">
                  <c:v>43277</c:v>
                </c:pt>
                <c:pt idx="127">
                  <c:v>43278</c:v>
                </c:pt>
                <c:pt idx="128">
                  <c:v>43279</c:v>
                </c:pt>
                <c:pt idx="129">
                  <c:v>43280</c:v>
                </c:pt>
                <c:pt idx="130">
                  <c:v>43283</c:v>
                </c:pt>
                <c:pt idx="131">
                  <c:v>43284</c:v>
                </c:pt>
                <c:pt idx="132">
                  <c:v>43285</c:v>
                </c:pt>
                <c:pt idx="133">
                  <c:v>43286</c:v>
                </c:pt>
                <c:pt idx="134">
                  <c:v>43287</c:v>
                </c:pt>
                <c:pt idx="135">
                  <c:v>43290</c:v>
                </c:pt>
                <c:pt idx="136">
                  <c:v>43291</c:v>
                </c:pt>
                <c:pt idx="137">
                  <c:v>43292</c:v>
                </c:pt>
                <c:pt idx="138">
                  <c:v>43293</c:v>
                </c:pt>
                <c:pt idx="139">
                  <c:v>43294</c:v>
                </c:pt>
                <c:pt idx="140">
                  <c:v>43297</c:v>
                </c:pt>
                <c:pt idx="141">
                  <c:v>43298</c:v>
                </c:pt>
                <c:pt idx="142">
                  <c:v>43299</c:v>
                </c:pt>
                <c:pt idx="143">
                  <c:v>43300</c:v>
                </c:pt>
                <c:pt idx="144">
                  <c:v>43301</c:v>
                </c:pt>
                <c:pt idx="145">
                  <c:v>43304</c:v>
                </c:pt>
                <c:pt idx="146">
                  <c:v>43305</c:v>
                </c:pt>
                <c:pt idx="147">
                  <c:v>43306</c:v>
                </c:pt>
                <c:pt idx="148">
                  <c:v>43307</c:v>
                </c:pt>
                <c:pt idx="149">
                  <c:v>43308</c:v>
                </c:pt>
                <c:pt idx="150">
                  <c:v>43311</c:v>
                </c:pt>
                <c:pt idx="151">
                  <c:v>43312</c:v>
                </c:pt>
                <c:pt idx="152">
                  <c:v>43313</c:v>
                </c:pt>
                <c:pt idx="153">
                  <c:v>43314</c:v>
                </c:pt>
                <c:pt idx="154">
                  <c:v>43315</c:v>
                </c:pt>
                <c:pt idx="155">
                  <c:v>43318</c:v>
                </c:pt>
                <c:pt idx="156">
                  <c:v>43319</c:v>
                </c:pt>
                <c:pt idx="157">
                  <c:v>43320</c:v>
                </c:pt>
                <c:pt idx="158">
                  <c:v>43321</c:v>
                </c:pt>
                <c:pt idx="159">
                  <c:v>43322</c:v>
                </c:pt>
                <c:pt idx="160">
                  <c:v>43325</c:v>
                </c:pt>
                <c:pt idx="161">
                  <c:v>43326</c:v>
                </c:pt>
                <c:pt idx="162">
                  <c:v>43327</c:v>
                </c:pt>
                <c:pt idx="163">
                  <c:v>43328</c:v>
                </c:pt>
                <c:pt idx="164">
                  <c:v>43329</c:v>
                </c:pt>
                <c:pt idx="165">
                  <c:v>43332</c:v>
                </c:pt>
                <c:pt idx="166">
                  <c:v>43333</c:v>
                </c:pt>
                <c:pt idx="167">
                  <c:v>43334</c:v>
                </c:pt>
                <c:pt idx="168">
                  <c:v>43335</c:v>
                </c:pt>
                <c:pt idx="169">
                  <c:v>43336</c:v>
                </c:pt>
                <c:pt idx="170">
                  <c:v>43339</c:v>
                </c:pt>
                <c:pt idx="171">
                  <c:v>43340</c:v>
                </c:pt>
                <c:pt idx="172">
                  <c:v>43341</c:v>
                </c:pt>
                <c:pt idx="173">
                  <c:v>43342</c:v>
                </c:pt>
                <c:pt idx="174">
                  <c:v>43343</c:v>
                </c:pt>
                <c:pt idx="175">
                  <c:v>43346</c:v>
                </c:pt>
                <c:pt idx="176">
                  <c:v>43347</c:v>
                </c:pt>
                <c:pt idx="177">
                  <c:v>43348</c:v>
                </c:pt>
                <c:pt idx="178">
                  <c:v>43349</c:v>
                </c:pt>
                <c:pt idx="179">
                  <c:v>43350</c:v>
                </c:pt>
                <c:pt idx="180">
                  <c:v>43353</c:v>
                </c:pt>
                <c:pt idx="181">
                  <c:v>43354</c:v>
                </c:pt>
                <c:pt idx="182">
                  <c:v>43355</c:v>
                </c:pt>
                <c:pt idx="183">
                  <c:v>43356</c:v>
                </c:pt>
                <c:pt idx="184">
                  <c:v>43357</c:v>
                </c:pt>
                <c:pt idx="185">
                  <c:v>43360</c:v>
                </c:pt>
                <c:pt idx="186">
                  <c:v>43361</c:v>
                </c:pt>
                <c:pt idx="187">
                  <c:v>43362</c:v>
                </c:pt>
                <c:pt idx="188">
                  <c:v>43363</c:v>
                </c:pt>
                <c:pt idx="189">
                  <c:v>43364</c:v>
                </c:pt>
                <c:pt idx="190">
                  <c:v>43367</c:v>
                </c:pt>
                <c:pt idx="191">
                  <c:v>43368</c:v>
                </c:pt>
                <c:pt idx="192">
                  <c:v>43369</c:v>
                </c:pt>
                <c:pt idx="193">
                  <c:v>43370</c:v>
                </c:pt>
                <c:pt idx="194">
                  <c:v>43371</c:v>
                </c:pt>
                <c:pt idx="195">
                  <c:v>43374</c:v>
                </c:pt>
                <c:pt idx="196">
                  <c:v>43375</c:v>
                </c:pt>
                <c:pt idx="197">
                  <c:v>43376</c:v>
                </c:pt>
                <c:pt idx="198">
                  <c:v>43377</c:v>
                </c:pt>
                <c:pt idx="199">
                  <c:v>43378</c:v>
                </c:pt>
                <c:pt idx="200">
                  <c:v>43381</c:v>
                </c:pt>
                <c:pt idx="201">
                  <c:v>43382</c:v>
                </c:pt>
                <c:pt idx="202">
                  <c:v>43383</c:v>
                </c:pt>
                <c:pt idx="203">
                  <c:v>43384</c:v>
                </c:pt>
                <c:pt idx="204">
                  <c:v>43385</c:v>
                </c:pt>
                <c:pt idx="205">
                  <c:v>43388</c:v>
                </c:pt>
                <c:pt idx="206">
                  <c:v>43389</c:v>
                </c:pt>
                <c:pt idx="207">
                  <c:v>43390</c:v>
                </c:pt>
                <c:pt idx="208">
                  <c:v>43391</c:v>
                </c:pt>
                <c:pt idx="209">
                  <c:v>43392</c:v>
                </c:pt>
                <c:pt idx="210">
                  <c:v>43395</c:v>
                </c:pt>
                <c:pt idx="211">
                  <c:v>43396</c:v>
                </c:pt>
                <c:pt idx="212">
                  <c:v>43397</c:v>
                </c:pt>
                <c:pt idx="213">
                  <c:v>43398</c:v>
                </c:pt>
                <c:pt idx="214">
                  <c:v>43399</c:v>
                </c:pt>
                <c:pt idx="215">
                  <c:v>43402</c:v>
                </c:pt>
                <c:pt idx="216">
                  <c:v>43403</c:v>
                </c:pt>
                <c:pt idx="217">
                  <c:v>43404</c:v>
                </c:pt>
                <c:pt idx="218">
                  <c:v>43405</c:v>
                </c:pt>
                <c:pt idx="219">
                  <c:v>43406</c:v>
                </c:pt>
                <c:pt idx="220">
                  <c:v>43409</c:v>
                </c:pt>
                <c:pt idx="221">
                  <c:v>43410</c:v>
                </c:pt>
                <c:pt idx="222">
                  <c:v>43411</c:v>
                </c:pt>
                <c:pt idx="223">
                  <c:v>43412</c:v>
                </c:pt>
                <c:pt idx="224">
                  <c:v>43413</c:v>
                </c:pt>
                <c:pt idx="225">
                  <c:v>43416</c:v>
                </c:pt>
                <c:pt idx="226">
                  <c:v>43417</c:v>
                </c:pt>
                <c:pt idx="227">
                  <c:v>43418</c:v>
                </c:pt>
                <c:pt idx="228">
                  <c:v>43419</c:v>
                </c:pt>
                <c:pt idx="229">
                  <c:v>43420</c:v>
                </c:pt>
                <c:pt idx="230">
                  <c:v>43423</c:v>
                </c:pt>
                <c:pt idx="231">
                  <c:v>43424</c:v>
                </c:pt>
                <c:pt idx="232">
                  <c:v>43425</c:v>
                </c:pt>
                <c:pt idx="233">
                  <c:v>43426</c:v>
                </c:pt>
                <c:pt idx="234">
                  <c:v>43427</c:v>
                </c:pt>
                <c:pt idx="235">
                  <c:v>43430</c:v>
                </c:pt>
                <c:pt idx="236">
                  <c:v>43431</c:v>
                </c:pt>
                <c:pt idx="237">
                  <c:v>43432</c:v>
                </c:pt>
                <c:pt idx="238">
                  <c:v>43433</c:v>
                </c:pt>
                <c:pt idx="239">
                  <c:v>43434</c:v>
                </c:pt>
                <c:pt idx="240">
                  <c:v>43437</c:v>
                </c:pt>
                <c:pt idx="241">
                  <c:v>43438</c:v>
                </c:pt>
                <c:pt idx="242">
                  <c:v>43439</c:v>
                </c:pt>
                <c:pt idx="243">
                  <c:v>43440</c:v>
                </c:pt>
                <c:pt idx="244">
                  <c:v>43441</c:v>
                </c:pt>
                <c:pt idx="245">
                  <c:v>43444</c:v>
                </c:pt>
                <c:pt idx="246">
                  <c:v>43445</c:v>
                </c:pt>
                <c:pt idx="247">
                  <c:v>43446</c:v>
                </c:pt>
                <c:pt idx="248">
                  <c:v>43447</c:v>
                </c:pt>
                <c:pt idx="249">
                  <c:v>43448</c:v>
                </c:pt>
                <c:pt idx="250">
                  <c:v>43451</c:v>
                </c:pt>
                <c:pt idx="251">
                  <c:v>43452</c:v>
                </c:pt>
                <c:pt idx="252">
                  <c:v>43453</c:v>
                </c:pt>
                <c:pt idx="253">
                  <c:v>43454</c:v>
                </c:pt>
                <c:pt idx="254">
                  <c:v>43455</c:v>
                </c:pt>
                <c:pt idx="255">
                  <c:v>43458</c:v>
                </c:pt>
                <c:pt idx="256">
                  <c:v>43459</c:v>
                </c:pt>
                <c:pt idx="257">
                  <c:v>43460</c:v>
                </c:pt>
                <c:pt idx="258">
                  <c:v>43461</c:v>
                </c:pt>
                <c:pt idx="259">
                  <c:v>43462</c:v>
                </c:pt>
                <c:pt idx="260">
                  <c:v>43465</c:v>
                </c:pt>
                <c:pt idx="261">
                  <c:v>43466</c:v>
                </c:pt>
                <c:pt idx="262">
                  <c:v>43467</c:v>
                </c:pt>
                <c:pt idx="263">
                  <c:v>43468</c:v>
                </c:pt>
                <c:pt idx="264">
                  <c:v>43469</c:v>
                </c:pt>
                <c:pt idx="265">
                  <c:v>43472</c:v>
                </c:pt>
                <c:pt idx="266">
                  <c:v>43473</c:v>
                </c:pt>
                <c:pt idx="267">
                  <c:v>43474</c:v>
                </c:pt>
                <c:pt idx="268">
                  <c:v>43475</c:v>
                </c:pt>
                <c:pt idx="269">
                  <c:v>43476</c:v>
                </c:pt>
                <c:pt idx="270">
                  <c:v>43479</c:v>
                </c:pt>
                <c:pt idx="271">
                  <c:v>43480</c:v>
                </c:pt>
                <c:pt idx="272">
                  <c:v>43481</c:v>
                </c:pt>
                <c:pt idx="273">
                  <c:v>43482</c:v>
                </c:pt>
                <c:pt idx="274">
                  <c:v>43483</c:v>
                </c:pt>
                <c:pt idx="275">
                  <c:v>43486</c:v>
                </c:pt>
                <c:pt idx="276">
                  <c:v>43487</c:v>
                </c:pt>
                <c:pt idx="277">
                  <c:v>43488</c:v>
                </c:pt>
                <c:pt idx="278">
                  <c:v>43489</c:v>
                </c:pt>
                <c:pt idx="279">
                  <c:v>43490</c:v>
                </c:pt>
                <c:pt idx="280">
                  <c:v>43493</c:v>
                </c:pt>
                <c:pt idx="281">
                  <c:v>43494</c:v>
                </c:pt>
                <c:pt idx="282">
                  <c:v>43495</c:v>
                </c:pt>
                <c:pt idx="283">
                  <c:v>43496</c:v>
                </c:pt>
                <c:pt idx="284">
                  <c:v>43497</c:v>
                </c:pt>
                <c:pt idx="285">
                  <c:v>43500</c:v>
                </c:pt>
                <c:pt idx="286">
                  <c:v>43501</c:v>
                </c:pt>
                <c:pt idx="287">
                  <c:v>43502</c:v>
                </c:pt>
                <c:pt idx="288">
                  <c:v>43503</c:v>
                </c:pt>
                <c:pt idx="289">
                  <c:v>43504</c:v>
                </c:pt>
                <c:pt idx="290">
                  <c:v>43507</c:v>
                </c:pt>
                <c:pt idx="291">
                  <c:v>43508</c:v>
                </c:pt>
                <c:pt idx="292">
                  <c:v>43509</c:v>
                </c:pt>
                <c:pt idx="293">
                  <c:v>43510</c:v>
                </c:pt>
                <c:pt idx="294">
                  <c:v>43511</c:v>
                </c:pt>
                <c:pt idx="295">
                  <c:v>43514</c:v>
                </c:pt>
                <c:pt idx="296">
                  <c:v>43515</c:v>
                </c:pt>
                <c:pt idx="297">
                  <c:v>43516</c:v>
                </c:pt>
                <c:pt idx="298">
                  <c:v>43517</c:v>
                </c:pt>
                <c:pt idx="299">
                  <c:v>43518</c:v>
                </c:pt>
              </c:numCache>
            </c:numRef>
          </c:cat>
          <c:val>
            <c:numRef>
              <c:f>pds!$E$2:$E$541</c:f>
              <c:numCache>
                <c:formatCode>0</c:formatCode>
                <c:ptCount val="300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37</c:v>
                </c:pt>
                <c:pt idx="4">
                  <c:v>35</c:v>
                </c:pt>
                <c:pt idx="5">
                  <c:v>35</c:v>
                </c:pt>
                <c:pt idx="6">
                  <c:v>35</c:v>
                </c:pt>
                <c:pt idx="7">
                  <c:v>35</c:v>
                </c:pt>
                <c:pt idx="8">
                  <c:v>35</c:v>
                </c:pt>
                <c:pt idx="9">
                  <c:v>35</c:v>
                </c:pt>
                <c:pt idx="10">
                  <c:v>35</c:v>
                </c:pt>
                <c:pt idx="11">
                  <c:v>35</c:v>
                </c:pt>
                <c:pt idx="12">
                  <c:v>43</c:v>
                </c:pt>
                <c:pt idx="13">
                  <c:v>43</c:v>
                </c:pt>
                <c:pt idx="14">
                  <c:v>43</c:v>
                </c:pt>
                <c:pt idx="15">
                  <c:v>43</c:v>
                </c:pt>
                <c:pt idx="16">
                  <c:v>43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  <c:pt idx="25">
                  <c:v>50</c:v>
                </c:pt>
                <c:pt idx="26">
                  <c:v>50</c:v>
                </c:pt>
                <c:pt idx="27">
                  <c:v>50</c:v>
                </c:pt>
                <c:pt idx="28">
                  <c:v>49</c:v>
                </c:pt>
                <c:pt idx="29">
                  <c:v>49</c:v>
                </c:pt>
                <c:pt idx="30">
                  <c:v>49</c:v>
                </c:pt>
                <c:pt idx="31">
                  <c:v>49</c:v>
                </c:pt>
                <c:pt idx="32">
                  <c:v>49</c:v>
                </c:pt>
                <c:pt idx="33">
                  <c:v>49</c:v>
                </c:pt>
                <c:pt idx="34">
                  <c:v>49</c:v>
                </c:pt>
                <c:pt idx="35">
                  <c:v>49</c:v>
                </c:pt>
                <c:pt idx="36">
                  <c:v>49</c:v>
                </c:pt>
                <c:pt idx="37">
                  <c:v>49</c:v>
                </c:pt>
                <c:pt idx="38">
                  <c:v>50</c:v>
                </c:pt>
                <c:pt idx="39">
                  <c:v>50</c:v>
                </c:pt>
                <c:pt idx="40">
                  <c:v>50</c:v>
                </c:pt>
                <c:pt idx="41">
                  <c:v>50</c:v>
                </c:pt>
                <c:pt idx="42">
                  <c:v>57</c:v>
                </c:pt>
                <c:pt idx="43">
                  <c:v>57</c:v>
                </c:pt>
                <c:pt idx="44">
                  <c:v>57</c:v>
                </c:pt>
                <c:pt idx="45">
                  <c:v>57</c:v>
                </c:pt>
                <c:pt idx="46">
                  <c:v>57</c:v>
                </c:pt>
                <c:pt idx="47">
                  <c:v>57</c:v>
                </c:pt>
                <c:pt idx="48">
                  <c:v>57</c:v>
                </c:pt>
                <c:pt idx="49">
                  <c:v>57</c:v>
                </c:pt>
                <c:pt idx="50">
                  <c:v>57</c:v>
                </c:pt>
                <c:pt idx="51">
                  <c:v>57</c:v>
                </c:pt>
                <c:pt idx="52">
                  <c:v>57</c:v>
                </c:pt>
                <c:pt idx="53">
                  <c:v>54</c:v>
                </c:pt>
                <c:pt idx="54">
                  <c:v>54</c:v>
                </c:pt>
                <c:pt idx="55">
                  <c:v>54</c:v>
                </c:pt>
                <c:pt idx="56">
                  <c:v>59</c:v>
                </c:pt>
                <c:pt idx="57">
                  <c:v>63</c:v>
                </c:pt>
                <c:pt idx="58">
                  <c:v>63</c:v>
                </c:pt>
                <c:pt idx="59">
                  <c:v>63</c:v>
                </c:pt>
                <c:pt idx="60">
                  <c:v>63</c:v>
                </c:pt>
                <c:pt idx="61">
                  <c:v>63</c:v>
                </c:pt>
                <c:pt idx="62">
                  <c:v>63</c:v>
                </c:pt>
                <c:pt idx="63">
                  <c:v>68</c:v>
                </c:pt>
                <c:pt idx="64">
                  <c:v>68</c:v>
                </c:pt>
                <c:pt idx="65">
                  <c:v>68</c:v>
                </c:pt>
                <c:pt idx="66">
                  <c:v>68</c:v>
                </c:pt>
                <c:pt idx="67">
                  <c:v>85</c:v>
                </c:pt>
                <c:pt idx="68">
                  <c:v>85</c:v>
                </c:pt>
                <c:pt idx="69">
                  <c:v>85</c:v>
                </c:pt>
                <c:pt idx="70">
                  <c:v>85</c:v>
                </c:pt>
                <c:pt idx="71">
                  <c:v>85</c:v>
                </c:pt>
                <c:pt idx="72">
                  <c:v>85</c:v>
                </c:pt>
                <c:pt idx="73">
                  <c:v>85</c:v>
                </c:pt>
                <c:pt idx="74">
                  <c:v>85</c:v>
                </c:pt>
                <c:pt idx="75">
                  <c:v>85</c:v>
                </c:pt>
                <c:pt idx="76">
                  <c:v>85</c:v>
                </c:pt>
                <c:pt idx="77">
                  <c:v>85</c:v>
                </c:pt>
                <c:pt idx="78">
                  <c:v>82</c:v>
                </c:pt>
                <c:pt idx="79">
                  <c:v>79</c:v>
                </c:pt>
                <c:pt idx="80">
                  <c:v>79</c:v>
                </c:pt>
                <c:pt idx="81">
                  <c:v>79</c:v>
                </c:pt>
                <c:pt idx="82">
                  <c:v>79</c:v>
                </c:pt>
                <c:pt idx="83">
                  <c:v>79</c:v>
                </c:pt>
                <c:pt idx="84">
                  <c:v>79</c:v>
                </c:pt>
                <c:pt idx="85">
                  <c:v>79</c:v>
                </c:pt>
                <c:pt idx="86">
                  <c:v>79</c:v>
                </c:pt>
                <c:pt idx="87">
                  <c:v>79</c:v>
                </c:pt>
                <c:pt idx="88">
                  <c:v>69</c:v>
                </c:pt>
                <c:pt idx="89">
                  <c:v>69</c:v>
                </c:pt>
                <c:pt idx="90">
                  <c:v>69</c:v>
                </c:pt>
                <c:pt idx="91">
                  <c:v>69</c:v>
                </c:pt>
                <c:pt idx="92">
                  <c:v>69</c:v>
                </c:pt>
                <c:pt idx="93">
                  <c:v>69</c:v>
                </c:pt>
                <c:pt idx="94">
                  <c:v>69</c:v>
                </c:pt>
                <c:pt idx="95">
                  <c:v>69</c:v>
                </c:pt>
                <c:pt idx="96">
                  <c:v>69</c:v>
                </c:pt>
                <c:pt idx="97">
                  <c:v>69</c:v>
                </c:pt>
                <c:pt idx="98">
                  <c:v>69</c:v>
                </c:pt>
                <c:pt idx="99">
                  <c:v>80</c:v>
                </c:pt>
                <c:pt idx="100">
                  <c:v>80</c:v>
                </c:pt>
                <c:pt idx="101">
                  <c:v>80</c:v>
                </c:pt>
                <c:pt idx="102">
                  <c:v>80</c:v>
                </c:pt>
                <c:pt idx="103">
                  <c:v>80</c:v>
                </c:pt>
                <c:pt idx="104">
                  <c:v>80</c:v>
                </c:pt>
                <c:pt idx="105">
                  <c:v>80</c:v>
                </c:pt>
                <c:pt idx="106">
                  <c:v>80</c:v>
                </c:pt>
                <c:pt idx="107">
                  <c:v>80</c:v>
                </c:pt>
                <c:pt idx="108">
                  <c:v>80</c:v>
                </c:pt>
                <c:pt idx="109">
                  <c:v>80</c:v>
                </c:pt>
                <c:pt idx="110">
                  <c:v>73</c:v>
                </c:pt>
                <c:pt idx="111">
                  <c:v>72</c:v>
                </c:pt>
                <c:pt idx="112">
                  <c:v>72</c:v>
                </c:pt>
                <c:pt idx="113">
                  <c:v>70</c:v>
                </c:pt>
                <c:pt idx="114">
                  <c:v>70</c:v>
                </c:pt>
                <c:pt idx="115">
                  <c:v>70</c:v>
                </c:pt>
                <c:pt idx="116">
                  <c:v>70</c:v>
                </c:pt>
                <c:pt idx="117">
                  <c:v>70</c:v>
                </c:pt>
                <c:pt idx="118">
                  <c:v>70</c:v>
                </c:pt>
                <c:pt idx="119">
                  <c:v>70</c:v>
                </c:pt>
                <c:pt idx="120">
                  <c:v>70</c:v>
                </c:pt>
                <c:pt idx="121">
                  <c:v>70</c:v>
                </c:pt>
                <c:pt idx="122">
                  <c:v>70</c:v>
                </c:pt>
                <c:pt idx="123">
                  <c:v>70</c:v>
                </c:pt>
                <c:pt idx="124">
                  <c:v>70</c:v>
                </c:pt>
                <c:pt idx="125">
                  <c:v>70</c:v>
                </c:pt>
                <c:pt idx="126">
                  <c:v>70</c:v>
                </c:pt>
                <c:pt idx="127">
                  <c:v>70</c:v>
                </c:pt>
                <c:pt idx="128">
                  <c:v>70</c:v>
                </c:pt>
                <c:pt idx="129">
                  <c:v>70</c:v>
                </c:pt>
                <c:pt idx="130">
                  <c:v>65</c:v>
                </c:pt>
                <c:pt idx="131">
                  <c:v>65</c:v>
                </c:pt>
                <c:pt idx="132">
                  <c:v>70</c:v>
                </c:pt>
                <c:pt idx="133">
                  <c:v>70</c:v>
                </c:pt>
                <c:pt idx="134">
                  <c:v>70</c:v>
                </c:pt>
                <c:pt idx="135">
                  <c:v>70</c:v>
                </c:pt>
                <c:pt idx="136">
                  <c:v>70</c:v>
                </c:pt>
                <c:pt idx="137">
                  <c:v>82</c:v>
                </c:pt>
                <c:pt idx="138">
                  <c:v>82</c:v>
                </c:pt>
                <c:pt idx="139">
                  <c:v>82</c:v>
                </c:pt>
                <c:pt idx="140">
                  <c:v>82</c:v>
                </c:pt>
                <c:pt idx="141">
                  <c:v>82</c:v>
                </c:pt>
                <c:pt idx="142">
                  <c:v>82</c:v>
                </c:pt>
                <c:pt idx="143">
                  <c:v>82</c:v>
                </c:pt>
                <c:pt idx="144">
                  <c:v>82</c:v>
                </c:pt>
                <c:pt idx="145">
                  <c:v>82</c:v>
                </c:pt>
                <c:pt idx="146">
                  <c:v>82</c:v>
                </c:pt>
                <c:pt idx="147">
                  <c:v>82</c:v>
                </c:pt>
                <c:pt idx="148">
                  <c:v>79</c:v>
                </c:pt>
                <c:pt idx="149">
                  <c:v>66</c:v>
                </c:pt>
                <c:pt idx="150">
                  <c:v>66</c:v>
                </c:pt>
                <c:pt idx="151">
                  <c:v>66</c:v>
                </c:pt>
                <c:pt idx="152">
                  <c:v>66</c:v>
                </c:pt>
                <c:pt idx="153">
                  <c:v>66</c:v>
                </c:pt>
                <c:pt idx="154">
                  <c:v>66</c:v>
                </c:pt>
                <c:pt idx="155">
                  <c:v>66</c:v>
                </c:pt>
                <c:pt idx="156">
                  <c:v>66</c:v>
                </c:pt>
                <c:pt idx="157">
                  <c:v>66</c:v>
                </c:pt>
                <c:pt idx="158">
                  <c:v>66</c:v>
                </c:pt>
                <c:pt idx="159">
                  <c:v>58</c:v>
                </c:pt>
                <c:pt idx="160">
                  <c:v>58</c:v>
                </c:pt>
                <c:pt idx="161">
                  <c:v>58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68</c:v>
                </c:pt>
                <c:pt idx="167">
                  <c:v>74</c:v>
                </c:pt>
                <c:pt idx="168">
                  <c:v>74</c:v>
                </c:pt>
                <c:pt idx="169">
                  <c:v>74</c:v>
                </c:pt>
                <c:pt idx="170">
                  <c:v>74</c:v>
                </c:pt>
                <c:pt idx="171">
                  <c:v>74</c:v>
                </c:pt>
                <c:pt idx="172">
                  <c:v>74</c:v>
                </c:pt>
                <c:pt idx="173">
                  <c:v>74</c:v>
                </c:pt>
                <c:pt idx="174">
                  <c:v>74</c:v>
                </c:pt>
                <c:pt idx="175">
                  <c:v>74</c:v>
                </c:pt>
                <c:pt idx="176">
                  <c:v>74</c:v>
                </c:pt>
                <c:pt idx="177">
                  <c:v>74</c:v>
                </c:pt>
                <c:pt idx="178">
                  <c:v>68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86</c:v>
                </c:pt>
                <c:pt idx="183">
                  <c:v>86</c:v>
                </c:pt>
                <c:pt idx="184">
                  <c:v>86</c:v>
                </c:pt>
                <c:pt idx="185">
                  <c:v>86</c:v>
                </c:pt>
                <c:pt idx="186">
                  <c:v>86</c:v>
                </c:pt>
                <c:pt idx="187">
                  <c:v>86</c:v>
                </c:pt>
                <c:pt idx="188">
                  <c:v>86</c:v>
                </c:pt>
                <c:pt idx="189">
                  <c:v>86</c:v>
                </c:pt>
                <c:pt idx="190">
                  <c:v>72</c:v>
                </c:pt>
                <c:pt idx="191">
                  <c:v>72</c:v>
                </c:pt>
                <c:pt idx="192">
                  <c:v>72</c:v>
                </c:pt>
                <c:pt idx="193">
                  <c:v>61</c:v>
                </c:pt>
                <c:pt idx="194">
                  <c:v>61</c:v>
                </c:pt>
                <c:pt idx="195">
                  <c:v>87</c:v>
                </c:pt>
                <c:pt idx="196">
                  <c:v>87</c:v>
                </c:pt>
                <c:pt idx="197">
                  <c:v>87</c:v>
                </c:pt>
                <c:pt idx="198">
                  <c:v>87</c:v>
                </c:pt>
                <c:pt idx="199">
                  <c:v>87</c:v>
                </c:pt>
                <c:pt idx="200">
                  <c:v>87</c:v>
                </c:pt>
                <c:pt idx="201">
                  <c:v>87</c:v>
                </c:pt>
                <c:pt idx="202">
                  <c:v>87</c:v>
                </c:pt>
                <c:pt idx="203">
                  <c:v>87</c:v>
                </c:pt>
                <c:pt idx="204">
                  <c:v>87</c:v>
                </c:pt>
                <c:pt idx="205">
                  <c:v>87</c:v>
                </c:pt>
                <c:pt idx="206">
                  <c:v>77</c:v>
                </c:pt>
                <c:pt idx="207">
                  <c:v>77</c:v>
                </c:pt>
                <c:pt idx="208">
                  <c:v>77</c:v>
                </c:pt>
                <c:pt idx="209">
                  <c:v>76</c:v>
                </c:pt>
                <c:pt idx="210">
                  <c:v>76</c:v>
                </c:pt>
                <c:pt idx="211">
                  <c:v>76</c:v>
                </c:pt>
                <c:pt idx="212">
                  <c:v>76</c:v>
                </c:pt>
                <c:pt idx="213">
                  <c:v>74</c:v>
                </c:pt>
                <c:pt idx="214">
                  <c:v>74</c:v>
                </c:pt>
                <c:pt idx="215">
                  <c:v>74</c:v>
                </c:pt>
                <c:pt idx="216">
                  <c:v>74</c:v>
                </c:pt>
                <c:pt idx="217">
                  <c:v>76</c:v>
                </c:pt>
                <c:pt idx="218">
                  <c:v>76</c:v>
                </c:pt>
                <c:pt idx="219">
                  <c:v>76</c:v>
                </c:pt>
                <c:pt idx="220">
                  <c:v>76</c:v>
                </c:pt>
                <c:pt idx="221">
                  <c:v>76</c:v>
                </c:pt>
                <c:pt idx="222">
                  <c:v>76</c:v>
                </c:pt>
                <c:pt idx="223">
                  <c:v>76</c:v>
                </c:pt>
                <c:pt idx="224">
                  <c:v>76</c:v>
                </c:pt>
                <c:pt idx="225">
                  <c:v>76</c:v>
                </c:pt>
                <c:pt idx="226">
                  <c:v>76</c:v>
                </c:pt>
                <c:pt idx="227">
                  <c:v>76</c:v>
                </c:pt>
                <c:pt idx="228">
                  <c:v>65</c:v>
                </c:pt>
                <c:pt idx="229">
                  <c:v>65</c:v>
                </c:pt>
                <c:pt idx="230">
                  <c:v>65</c:v>
                </c:pt>
                <c:pt idx="231">
                  <c:v>65</c:v>
                </c:pt>
                <c:pt idx="232">
                  <c:v>69</c:v>
                </c:pt>
                <c:pt idx="233">
                  <c:v>69</c:v>
                </c:pt>
                <c:pt idx="234">
                  <c:v>69</c:v>
                </c:pt>
                <c:pt idx="235">
                  <c:v>69</c:v>
                </c:pt>
                <c:pt idx="236">
                  <c:v>69</c:v>
                </c:pt>
                <c:pt idx="237">
                  <c:v>69</c:v>
                </c:pt>
                <c:pt idx="238">
                  <c:v>69</c:v>
                </c:pt>
                <c:pt idx="239">
                  <c:v>69</c:v>
                </c:pt>
                <c:pt idx="240">
                  <c:v>69</c:v>
                </c:pt>
                <c:pt idx="241">
                  <c:v>69</c:v>
                </c:pt>
                <c:pt idx="242">
                  <c:v>69</c:v>
                </c:pt>
                <c:pt idx="243">
                  <c:v>67</c:v>
                </c:pt>
                <c:pt idx="244">
                  <c:v>67</c:v>
                </c:pt>
                <c:pt idx="245">
                  <c:v>67</c:v>
                </c:pt>
                <c:pt idx="246">
                  <c:v>67</c:v>
                </c:pt>
                <c:pt idx="247">
                  <c:v>69</c:v>
                </c:pt>
                <c:pt idx="248">
                  <c:v>69</c:v>
                </c:pt>
                <c:pt idx="249">
                  <c:v>69</c:v>
                </c:pt>
                <c:pt idx="250">
                  <c:v>69</c:v>
                </c:pt>
                <c:pt idx="251">
                  <c:v>69</c:v>
                </c:pt>
                <c:pt idx="252">
                  <c:v>69</c:v>
                </c:pt>
                <c:pt idx="253">
                  <c:v>69</c:v>
                </c:pt>
                <c:pt idx="254">
                  <c:v>69</c:v>
                </c:pt>
                <c:pt idx="255">
                  <c:v>69</c:v>
                </c:pt>
                <c:pt idx="256">
                  <c:v>69</c:v>
                </c:pt>
                <c:pt idx="257">
                  <c:v>69</c:v>
                </c:pt>
                <c:pt idx="258">
                  <c:v>79</c:v>
                </c:pt>
                <c:pt idx="259">
                  <c:v>79</c:v>
                </c:pt>
                <c:pt idx="260">
                  <c:v>79</c:v>
                </c:pt>
                <c:pt idx="261">
                  <c:v>79</c:v>
                </c:pt>
                <c:pt idx="262">
                  <c:v>84</c:v>
                </c:pt>
                <c:pt idx="263">
                  <c:v>84</c:v>
                </c:pt>
                <c:pt idx="264">
                  <c:v>84</c:v>
                </c:pt>
                <c:pt idx="265">
                  <c:v>84</c:v>
                </c:pt>
                <c:pt idx="266">
                  <c:v>84</c:v>
                </c:pt>
                <c:pt idx="267">
                  <c:v>84</c:v>
                </c:pt>
                <c:pt idx="268">
                  <c:v>84</c:v>
                </c:pt>
                <c:pt idx="269">
                  <c:v>84</c:v>
                </c:pt>
                <c:pt idx="270">
                  <c:v>84</c:v>
                </c:pt>
                <c:pt idx="271">
                  <c:v>84</c:v>
                </c:pt>
                <c:pt idx="272">
                  <c:v>84</c:v>
                </c:pt>
                <c:pt idx="273">
                  <c:v>72</c:v>
                </c:pt>
                <c:pt idx="274">
                  <c:v>72</c:v>
                </c:pt>
                <c:pt idx="275">
                  <c:v>72</c:v>
                </c:pt>
                <c:pt idx="276">
                  <c:v>72</c:v>
                </c:pt>
                <c:pt idx="277">
                  <c:v>72</c:v>
                </c:pt>
                <c:pt idx="278">
                  <c:v>72</c:v>
                </c:pt>
                <c:pt idx="279">
                  <c:v>72</c:v>
                </c:pt>
                <c:pt idx="280">
                  <c:v>72</c:v>
                </c:pt>
                <c:pt idx="281">
                  <c:v>72</c:v>
                </c:pt>
                <c:pt idx="282">
                  <c:v>72</c:v>
                </c:pt>
                <c:pt idx="283">
                  <c:v>72</c:v>
                </c:pt>
                <c:pt idx="284">
                  <c:v>63</c:v>
                </c:pt>
                <c:pt idx="285">
                  <c:v>56</c:v>
                </c:pt>
                <c:pt idx="286">
                  <c:v>56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71CF-4BE4-9EAF-4718127CDFC7}"/>
            </c:ext>
          </c:extLst>
        </c:ser>
        <c:ser>
          <c:idx val="1"/>
          <c:order val="2"/>
          <c:marker>
            <c:symbol val="none"/>
          </c:marker>
          <c:cat>
            <c:numRef>
              <c:f>pds!$A$2:$A$541</c:f>
              <c:numCache>
                <c:formatCode>d\-mmm</c:formatCode>
                <c:ptCount val="300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43108</c:v>
                </c:pt>
                <c:pt idx="6">
                  <c:v>43109</c:v>
                </c:pt>
                <c:pt idx="7">
                  <c:v>43110</c:v>
                </c:pt>
                <c:pt idx="8">
                  <c:v>43111</c:v>
                </c:pt>
                <c:pt idx="9">
                  <c:v>43112</c:v>
                </c:pt>
                <c:pt idx="10">
                  <c:v>43115</c:v>
                </c:pt>
                <c:pt idx="11">
                  <c:v>43116</c:v>
                </c:pt>
                <c:pt idx="12">
                  <c:v>43117</c:v>
                </c:pt>
                <c:pt idx="13">
                  <c:v>43118</c:v>
                </c:pt>
                <c:pt idx="14">
                  <c:v>43119</c:v>
                </c:pt>
                <c:pt idx="15">
                  <c:v>43122</c:v>
                </c:pt>
                <c:pt idx="16">
                  <c:v>43123</c:v>
                </c:pt>
                <c:pt idx="17">
                  <c:v>43124</c:v>
                </c:pt>
                <c:pt idx="18">
                  <c:v>43125</c:v>
                </c:pt>
                <c:pt idx="19">
                  <c:v>43126</c:v>
                </c:pt>
                <c:pt idx="20">
                  <c:v>43129</c:v>
                </c:pt>
                <c:pt idx="21">
                  <c:v>43130</c:v>
                </c:pt>
                <c:pt idx="22">
                  <c:v>43131</c:v>
                </c:pt>
                <c:pt idx="23">
                  <c:v>43132</c:v>
                </c:pt>
                <c:pt idx="24">
                  <c:v>43133</c:v>
                </c:pt>
                <c:pt idx="25">
                  <c:v>43136</c:v>
                </c:pt>
                <c:pt idx="26">
                  <c:v>43137</c:v>
                </c:pt>
                <c:pt idx="27">
                  <c:v>43138</c:v>
                </c:pt>
                <c:pt idx="28">
                  <c:v>43139</c:v>
                </c:pt>
                <c:pt idx="29">
                  <c:v>43140</c:v>
                </c:pt>
                <c:pt idx="30">
                  <c:v>43143</c:v>
                </c:pt>
                <c:pt idx="31">
                  <c:v>43144</c:v>
                </c:pt>
                <c:pt idx="32">
                  <c:v>43145</c:v>
                </c:pt>
                <c:pt idx="33">
                  <c:v>43146</c:v>
                </c:pt>
                <c:pt idx="34">
                  <c:v>43147</c:v>
                </c:pt>
                <c:pt idx="35">
                  <c:v>43150</c:v>
                </c:pt>
                <c:pt idx="36">
                  <c:v>43151</c:v>
                </c:pt>
                <c:pt idx="37">
                  <c:v>43152</c:v>
                </c:pt>
                <c:pt idx="38">
                  <c:v>43153</c:v>
                </c:pt>
                <c:pt idx="39">
                  <c:v>43154</c:v>
                </c:pt>
                <c:pt idx="40">
                  <c:v>43157</c:v>
                </c:pt>
                <c:pt idx="41">
                  <c:v>43158</c:v>
                </c:pt>
                <c:pt idx="42">
                  <c:v>43159</c:v>
                </c:pt>
                <c:pt idx="43">
                  <c:v>43160</c:v>
                </c:pt>
                <c:pt idx="44">
                  <c:v>43161</c:v>
                </c:pt>
                <c:pt idx="45">
                  <c:v>43164</c:v>
                </c:pt>
                <c:pt idx="46">
                  <c:v>43165</c:v>
                </c:pt>
                <c:pt idx="47">
                  <c:v>43166</c:v>
                </c:pt>
                <c:pt idx="48">
                  <c:v>43167</c:v>
                </c:pt>
                <c:pt idx="49">
                  <c:v>43168</c:v>
                </c:pt>
                <c:pt idx="50">
                  <c:v>43171</c:v>
                </c:pt>
                <c:pt idx="51">
                  <c:v>43172</c:v>
                </c:pt>
                <c:pt idx="52">
                  <c:v>43173</c:v>
                </c:pt>
                <c:pt idx="53">
                  <c:v>43174</c:v>
                </c:pt>
                <c:pt idx="54">
                  <c:v>43175</c:v>
                </c:pt>
                <c:pt idx="55">
                  <c:v>43178</c:v>
                </c:pt>
                <c:pt idx="56">
                  <c:v>43179</c:v>
                </c:pt>
                <c:pt idx="57">
                  <c:v>43180</c:v>
                </c:pt>
                <c:pt idx="58">
                  <c:v>43181</c:v>
                </c:pt>
                <c:pt idx="59">
                  <c:v>43182</c:v>
                </c:pt>
                <c:pt idx="60">
                  <c:v>43185</c:v>
                </c:pt>
                <c:pt idx="61">
                  <c:v>43186</c:v>
                </c:pt>
                <c:pt idx="62">
                  <c:v>43187</c:v>
                </c:pt>
                <c:pt idx="63">
                  <c:v>43188</c:v>
                </c:pt>
                <c:pt idx="64">
                  <c:v>43189</c:v>
                </c:pt>
                <c:pt idx="65">
                  <c:v>43192</c:v>
                </c:pt>
                <c:pt idx="66">
                  <c:v>43193</c:v>
                </c:pt>
                <c:pt idx="67">
                  <c:v>43194</c:v>
                </c:pt>
                <c:pt idx="68">
                  <c:v>43195</c:v>
                </c:pt>
                <c:pt idx="69">
                  <c:v>43196</c:v>
                </c:pt>
                <c:pt idx="70">
                  <c:v>43199</c:v>
                </c:pt>
                <c:pt idx="71">
                  <c:v>43200</c:v>
                </c:pt>
                <c:pt idx="72">
                  <c:v>43201</c:v>
                </c:pt>
                <c:pt idx="73">
                  <c:v>43202</c:v>
                </c:pt>
                <c:pt idx="74">
                  <c:v>43203</c:v>
                </c:pt>
                <c:pt idx="75">
                  <c:v>43206</c:v>
                </c:pt>
                <c:pt idx="76">
                  <c:v>43207</c:v>
                </c:pt>
                <c:pt idx="77">
                  <c:v>43208</c:v>
                </c:pt>
                <c:pt idx="78">
                  <c:v>43209</c:v>
                </c:pt>
                <c:pt idx="79">
                  <c:v>43210</c:v>
                </c:pt>
                <c:pt idx="80">
                  <c:v>43213</c:v>
                </c:pt>
                <c:pt idx="81">
                  <c:v>43214</c:v>
                </c:pt>
                <c:pt idx="82">
                  <c:v>43215</c:v>
                </c:pt>
                <c:pt idx="83">
                  <c:v>43216</c:v>
                </c:pt>
                <c:pt idx="84">
                  <c:v>43217</c:v>
                </c:pt>
                <c:pt idx="85">
                  <c:v>43220</c:v>
                </c:pt>
                <c:pt idx="86">
                  <c:v>43221</c:v>
                </c:pt>
                <c:pt idx="87">
                  <c:v>43222</c:v>
                </c:pt>
                <c:pt idx="88">
                  <c:v>43223</c:v>
                </c:pt>
                <c:pt idx="89">
                  <c:v>43224</c:v>
                </c:pt>
                <c:pt idx="90">
                  <c:v>43227</c:v>
                </c:pt>
                <c:pt idx="91">
                  <c:v>43228</c:v>
                </c:pt>
                <c:pt idx="92">
                  <c:v>43229</c:v>
                </c:pt>
                <c:pt idx="93">
                  <c:v>43230</c:v>
                </c:pt>
                <c:pt idx="94">
                  <c:v>43231</c:v>
                </c:pt>
                <c:pt idx="95">
                  <c:v>43234</c:v>
                </c:pt>
                <c:pt idx="96">
                  <c:v>43235</c:v>
                </c:pt>
                <c:pt idx="97">
                  <c:v>43236</c:v>
                </c:pt>
                <c:pt idx="98">
                  <c:v>43237</c:v>
                </c:pt>
                <c:pt idx="99">
                  <c:v>43238</c:v>
                </c:pt>
                <c:pt idx="100">
                  <c:v>43241</c:v>
                </c:pt>
                <c:pt idx="101">
                  <c:v>43242</c:v>
                </c:pt>
                <c:pt idx="102">
                  <c:v>43243</c:v>
                </c:pt>
                <c:pt idx="103">
                  <c:v>43244</c:v>
                </c:pt>
                <c:pt idx="104">
                  <c:v>43245</c:v>
                </c:pt>
                <c:pt idx="105">
                  <c:v>43248</c:v>
                </c:pt>
                <c:pt idx="106">
                  <c:v>43249</c:v>
                </c:pt>
                <c:pt idx="107">
                  <c:v>43250</c:v>
                </c:pt>
                <c:pt idx="108">
                  <c:v>43251</c:v>
                </c:pt>
                <c:pt idx="109">
                  <c:v>43252</c:v>
                </c:pt>
                <c:pt idx="110">
                  <c:v>43255</c:v>
                </c:pt>
                <c:pt idx="111">
                  <c:v>43256</c:v>
                </c:pt>
                <c:pt idx="112">
                  <c:v>43257</c:v>
                </c:pt>
                <c:pt idx="113">
                  <c:v>43258</c:v>
                </c:pt>
                <c:pt idx="114">
                  <c:v>43259</c:v>
                </c:pt>
                <c:pt idx="115">
                  <c:v>43262</c:v>
                </c:pt>
                <c:pt idx="116">
                  <c:v>43263</c:v>
                </c:pt>
                <c:pt idx="117">
                  <c:v>43264</c:v>
                </c:pt>
                <c:pt idx="118">
                  <c:v>43265</c:v>
                </c:pt>
                <c:pt idx="119">
                  <c:v>43266</c:v>
                </c:pt>
                <c:pt idx="120">
                  <c:v>43269</c:v>
                </c:pt>
                <c:pt idx="121">
                  <c:v>43270</c:v>
                </c:pt>
                <c:pt idx="122">
                  <c:v>43271</c:v>
                </c:pt>
                <c:pt idx="123">
                  <c:v>43272</c:v>
                </c:pt>
                <c:pt idx="124">
                  <c:v>43273</c:v>
                </c:pt>
                <c:pt idx="125">
                  <c:v>43276</c:v>
                </c:pt>
                <c:pt idx="126">
                  <c:v>43277</c:v>
                </c:pt>
                <c:pt idx="127">
                  <c:v>43278</c:v>
                </c:pt>
                <c:pt idx="128">
                  <c:v>43279</c:v>
                </c:pt>
                <c:pt idx="129">
                  <c:v>43280</c:v>
                </c:pt>
                <c:pt idx="130">
                  <c:v>43283</c:v>
                </c:pt>
                <c:pt idx="131">
                  <c:v>43284</c:v>
                </c:pt>
                <c:pt idx="132">
                  <c:v>43285</c:v>
                </c:pt>
                <c:pt idx="133">
                  <c:v>43286</c:v>
                </c:pt>
                <c:pt idx="134">
                  <c:v>43287</c:v>
                </c:pt>
                <c:pt idx="135">
                  <c:v>43290</c:v>
                </c:pt>
                <c:pt idx="136">
                  <c:v>43291</c:v>
                </c:pt>
                <c:pt idx="137">
                  <c:v>43292</c:v>
                </c:pt>
                <c:pt idx="138">
                  <c:v>43293</c:v>
                </c:pt>
                <c:pt idx="139">
                  <c:v>43294</c:v>
                </c:pt>
                <c:pt idx="140">
                  <c:v>43297</c:v>
                </c:pt>
                <c:pt idx="141">
                  <c:v>43298</c:v>
                </c:pt>
                <c:pt idx="142">
                  <c:v>43299</c:v>
                </c:pt>
                <c:pt idx="143">
                  <c:v>43300</c:v>
                </c:pt>
                <c:pt idx="144">
                  <c:v>43301</c:v>
                </c:pt>
                <c:pt idx="145">
                  <c:v>43304</c:v>
                </c:pt>
                <c:pt idx="146">
                  <c:v>43305</c:v>
                </c:pt>
                <c:pt idx="147">
                  <c:v>43306</c:v>
                </c:pt>
                <c:pt idx="148">
                  <c:v>43307</c:v>
                </c:pt>
                <c:pt idx="149">
                  <c:v>43308</c:v>
                </c:pt>
                <c:pt idx="150">
                  <c:v>43311</c:v>
                </c:pt>
                <c:pt idx="151">
                  <c:v>43312</c:v>
                </c:pt>
                <c:pt idx="152">
                  <c:v>43313</c:v>
                </c:pt>
                <c:pt idx="153">
                  <c:v>43314</c:v>
                </c:pt>
                <c:pt idx="154">
                  <c:v>43315</c:v>
                </c:pt>
                <c:pt idx="155">
                  <c:v>43318</c:v>
                </c:pt>
                <c:pt idx="156">
                  <c:v>43319</c:v>
                </c:pt>
                <c:pt idx="157">
                  <c:v>43320</c:v>
                </c:pt>
                <c:pt idx="158">
                  <c:v>43321</c:v>
                </c:pt>
                <c:pt idx="159">
                  <c:v>43322</c:v>
                </c:pt>
                <c:pt idx="160">
                  <c:v>43325</c:v>
                </c:pt>
                <c:pt idx="161">
                  <c:v>43326</c:v>
                </c:pt>
                <c:pt idx="162">
                  <c:v>43327</c:v>
                </c:pt>
                <c:pt idx="163">
                  <c:v>43328</c:v>
                </c:pt>
                <c:pt idx="164">
                  <c:v>43329</c:v>
                </c:pt>
                <c:pt idx="165">
                  <c:v>43332</c:v>
                </c:pt>
                <c:pt idx="166">
                  <c:v>43333</c:v>
                </c:pt>
                <c:pt idx="167">
                  <c:v>43334</c:v>
                </c:pt>
                <c:pt idx="168">
                  <c:v>43335</c:v>
                </c:pt>
                <c:pt idx="169">
                  <c:v>43336</c:v>
                </c:pt>
                <c:pt idx="170">
                  <c:v>43339</c:v>
                </c:pt>
                <c:pt idx="171">
                  <c:v>43340</c:v>
                </c:pt>
                <c:pt idx="172">
                  <c:v>43341</c:v>
                </c:pt>
                <c:pt idx="173">
                  <c:v>43342</c:v>
                </c:pt>
                <c:pt idx="174">
                  <c:v>43343</c:v>
                </c:pt>
                <c:pt idx="175">
                  <c:v>43346</c:v>
                </c:pt>
                <c:pt idx="176">
                  <c:v>43347</c:v>
                </c:pt>
                <c:pt idx="177">
                  <c:v>43348</c:v>
                </c:pt>
                <c:pt idx="178">
                  <c:v>43349</c:v>
                </c:pt>
                <c:pt idx="179">
                  <c:v>43350</c:v>
                </c:pt>
                <c:pt idx="180">
                  <c:v>43353</c:v>
                </c:pt>
                <c:pt idx="181">
                  <c:v>43354</c:v>
                </c:pt>
                <c:pt idx="182">
                  <c:v>43355</c:v>
                </c:pt>
                <c:pt idx="183">
                  <c:v>43356</c:v>
                </c:pt>
                <c:pt idx="184">
                  <c:v>43357</c:v>
                </c:pt>
                <c:pt idx="185">
                  <c:v>43360</c:v>
                </c:pt>
                <c:pt idx="186">
                  <c:v>43361</c:v>
                </c:pt>
                <c:pt idx="187">
                  <c:v>43362</c:v>
                </c:pt>
                <c:pt idx="188">
                  <c:v>43363</c:v>
                </c:pt>
                <c:pt idx="189">
                  <c:v>43364</c:v>
                </c:pt>
                <c:pt idx="190">
                  <c:v>43367</c:v>
                </c:pt>
                <c:pt idx="191">
                  <c:v>43368</c:v>
                </c:pt>
                <c:pt idx="192">
                  <c:v>43369</c:v>
                </c:pt>
                <c:pt idx="193">
                  <c:v>43370</c:v>
                </c:pt>
                <c:pt idx="194">
                  <c:v>43371</c:v>
                </c:pt>
                <c:pt idx="195">
                  <c:v>43374</c:v>
                </c:pt>
                <c:pt idx="196">
                  <c:v>43375</c:v>
                </c:pt>
                <c:pt idx="197">
                  <c:v>43376</c:v>
                </c:pt>
                <c:pt idx="198">
                  <c:v>43377</c:v>
                </c:pt>
                <c:pt idx="199">
                  <c:v>43378</c:v>
                </c:pt>
                <c:pt idx="200">
                  <c:v>43381</c:v>
                </c:pt>
                <c:pt idx="201">
                  <c:v>43382</c:v>
                </c:pt>
                <c:pt idx="202">
                  <c:v>43383</c:v>
                </c:pt>
                <c:pt idx="203">
                  <c:v>43384</c:v>
                </c:pt>
                <c:pt idx="204">
                  <c:v>43385</c:v>
                </c:pt>
                <c:pt idx="205">
                  <c:v>43388</c:v>
                </c:pt>
                <c:pt idx="206">
                  <c:v>43389</c:v>
                </c:pt>
                <c:pt idx="207">
                  <c:v>43390</c:v>
                </c:pt>
                <c:pt idx="208">
                  <c:v>43391</c:v>
                </c:pt>
                <c:pt idx="209">
                  <c:v>43392</c:v>
                </c:pt>
                <c:pt idx="210">
                  <c:v>43395</c:v>
                </c:pt>
                <c:pt idx="211">
                  <c:v>43396</c:v>
                </c:pt>
                <c:pt idx="212">
                  <c:v>43397</c:v>
                </c:pt>
                <c:pt idx="213">
                  <c:v>43398</c:v>
                </c:pt>
                <c:pt idx="214">
                  <c:v>43399</c:v>
                </c:pt>
                <c:pt idx="215">
                  <c:v>43402</c:v>
                </c:pt>
                <c:pt idx="216">
                  <c:v>43403</c:v>
                </c:pt>
                <c:pt idx="217">
                  <c:v>43404</c:v>
                </c:pt>
                <c:pt idx="218">
                  <c:v>43405</c:v>
                </c:pt>
                <c:pt idx="219">
                  <c:v>43406</c:v>
                </c:pt>
                <c:pt idx="220">
                  <c:v>43409</c:v>
                </c:pt>
                <c:pt idx="221">
                  <c:v>43410</c:v>
                </c:pt>
                <c:pt idx="222">
                  <c:v>43411</c:v>
                </c:pt>
                <c:pt idx="223">
                  <c:v>43412</c:v>
                </c:pt>
                <c:pt idx="224">
                  <c:v>43413</c:v>
                </c:pt>
                <c:pt idx="225">
                  <c:v>43416</c:v>
                </c:pt>
                <c:pt idx="226">
                  <c:v>43417</c:v>
                </c:pt>
                <c:pt idx="227">
                  <c:v>43418</c:v>
                </c:pt>
                <c:pt idx="228">
                  <c:v>43419</c:v>
                </c:pt>
                <c:pt idx="229">
                  <c:v>43420</c:v>
                </c:pt>
                <c:pt idx="230">
                  <c:v>43423</c:v>
                </c:pt>
                <c:pt idx="231">
                  <c:v>43424</c:v>
                </c:pt>
                <c:pt idx="232">
                  <c:v>43425</c:v>
                </c:pt>
                <c:pt idx="233">
                  <c:v>43426</c:v>
                </c:pt>
                <c:pt idx="234">
                  <c:v>43427</c:v>
                </c:pt>
                <c:pt idx="235">
                  <c:v>43430</c:v>
                </c:pt>
                <c:pt idx="236">
                  <c:v>43431</c:v>
                </c:pt>
                <c:pt idx="237">
                  <c:v>43432</c:v>
                </c:pt>
                <c:pt idx="238">
                  <c:v>43433</c:v>
                </c:pt>
                <c:pt idx="239">
                  <c:v>43434</c:v>
                </c:pt>
                <c:pt idx="240">
                  <c:v>43437</c:v>
                </c:pt>
                <c:pt idx="241">
                  <c:v>43438</c:v>
                </c:pt>
                <c:pt idx="242">
                  <c:v>43439</c:v>
                </c:pt>
                <c:pt idx="243">
                  <c:v>43440</c:v>
                </c:pt>
                <c:pt idx="244">
                  <c:v>43441</c:v>
                </c:pt>
                <c:pt idx="245">
                  <c:v>43444</c:v>
                </c:pt>
                <c:pt idx="246">
                  <c:v>43445</c:v>
                </c:pt>
                <c:pt idx="247">
                  <c:v>43446</c:v>
                </c:pt>
                <c:pt idx="248">
                  <c:v>43447</c:v>
                </c:pt>
                <c:pt idx="249">
                  <c:v>43448</c:v>
                </c:pt>
                <c:pt idx="250">
                  <c:v>43451</c:v>
                </c:pt>
                <c:pt idx="251">
                  <c:v>43452</c:v>
                </c:pt>
                <c:pt idx="252">
                  <c:v>43453</c:v>
                </c:pt>
                <c:pt idx="253">
                  <c:v>43454</c:v>
                </c:pt>
                <c:pt idx="254">
                  <c:v>43455</c:v>
                </c:pt>
                <c:pt idx="255">
                  <c:v>43458</c:v>
                </c:pt>
                <c:pt idx="256">
                  <c:v>43459</c:v>
                </c:pt>
                <c:pt idx="257">
                  <c:v>43460</c:v>
                </c:pt>
                <c:pt idx="258">
                  <c:v>43461</c:v>
                </c:pt>
                <c:pt idx="259">
                  <c:v>43462</c:v>
                </c:pt>
                <c:pt idx="260">
                  <c:v>43465</c:v>
                </c:pt>
                <c:pt idx="261">
                  <c:v>43466</c:v>
                </c:pt>
                <c:pt idx="262">
                  <c:v>43467</c:v>
                </c:pt>
                <c:pt idx="263">
                  <c:v>43468</c:v>
                </c:pt>
                <c:pt idx="264">
                  <c:v>43469</c:v>
                </c:pt>
                <c:pt idx="265">
                  <c:v>43472</c:v>
                </c:pt>
                <c:pt idx="266">
                  <c:v>43473</c:v>
                </c:pt>
                <c:pt idx="267">
                  <c:v>43474</c:v>
                </c:pt>
                <c:pt idx="268">
                  <c:v>43475</c:v>
                </c:pt>
                <c:pt idx="269">
                  <c:v>43476</c:v>
                </c:pt>
                <c:pt idx="270">
                  <c:v>43479</c:v>
                </c:pt>
                <c:pt idx="271">
                  <c:v>43480</c:v>
                </c:pt>
                <c:pt idx="272">
                  <c:v>43481</c:v>
                </c:pt>
                <c:pt idx="273">
                  <c:v>43482</c:v>
                </c:pt>
                <c:pt idx="274">
                  <c:v>43483</c:v>
                </c:pt>
                <c:pt idx="275">
                  <c:v>43486</c:v>
                </c:pt>
                <c:pt idx="276">
                  <c:v>43487</c:v>
                </c:pt>
                <c:pt idx="277">
                  <c:v>43488</c:v>
                </c:pt>
                <c:pt idx="278">
                  <c:v>43489</c:v>
                </c:pt>
                <c:pt idx="279">
                  <c:v>43490</c:v>
                </c:pt>
                <c:pt idx="280">
                  <c:v>43493</c:v>
                </c:pt>
                <c:pt idx="281">
                  <c:v>43494</c:v>
                </c:pt>
                <c:pt idx="282">
                  <c:v>43495</c:v>
                </c:pt>
                <c:pt idx="283">
                  <c:v>43496</c:v>
                </c:pt>
                <c:pt idx="284">
                  <c:v>43497</c:v>
                </c:pt>
                <c:pt idx="285">
                  <c:v>43500</c:v>
                </c:pt>
                <c:pt idx="286">
                  <c:v>43501</c:v>
                </c:pt>
                <c:pt idx="287">
                  <c:v>43502</c:v>
                </c:pt>
                <c:pt idx="288">
                  <c:v>43503</c:v>
                </c:pt>
                <c:pt idx="289">
                  <c:v>43504</c:v>
                </c:pt>
                <c:pt idx="290">
                  <c:v>43507</c:v>
                </c:pt>
                <c:pt idx="291">
                  <c:v>43508</c:v>
                </c:pt>
                <c:pt idx="292">
                  <c:v>43509</c:v>
                </c:pt>
                <c:pt idx="293">
                  <c:v>43510</c:v>
                </c:pt>
                <c:pt idx="294">
                  <c:v>43511</c:v>
                </c:pt>
                <c:pt idx="295">
                  <c:v>43514</c:v>
                </c:pt>
                <c:pt idx="296">
                  <c:v>43515</c:v>
                </c:pt>
                <c:pt idx="297">
                  <c:v>43516</c:v>
                </c:pt>
                <c:pt idx="298">
                  <c:v>43517</c:v>
                </c:pt>
                <c:pt idx="299">
                  <c:v>43518</c:v>
                </c:pt>
              </c:numCache>
            </c:numRef>
          </c:cat>
          <c:val>
            <c:numRef>
              <c:f>pds!$F:$F</c:f>
              <c:numCache>
                <c:formatCode>0</c:formatCode>
                <c:ptCount val="1048336"/>
                <c:pt idx="172">
                  <c:v>55</c:v>
                </c:pt>
                <c:pt idx="173">
                  <c:v>55</c:v>
                </c:pt>
                <c:pt idx="174">
                  <c:v>55</c:v>
                </c:pt>
                <c:pt idx="175">
                  <c:v>55</c:v>
                </c:pt>
                <c:pt idx="176">
                  <c:v>55</c:v>
                </c:pt>
                <c:pt idx="177">
                  <c:v>55</c:v>
                </c:pt>
                <c:pt idx="178">
                  <c:v>55</c:v>
                </c:pt>
                <c:pt idx="179">
                  <c:v>55</c:v>
                </c:pt>
                <c:pt idx="180">
                  <c:v>55</c:v>
                </c:pt>
                <c:pt idx="181">
                  <c:v>55</c:v>
                </c:pt>
                <c:pt idx="182">
                  <c:v>59</c:v>
                </c:pt>
                <c:pt idx="183">
                  <c:v>59</c:v>
                </c:pt>
                <c:pt idx="184">
                  <c:v>59</c:v>
                </c:pt>
                <c:pt idx="185">
                  <c:v>59</c:v>
                </c:pt>
                <c:pt idx="186">
                  <c:v>59</c:v>
                </c:pt>
                <c:pt idx="187">
                  <c:v>59</c:v>
                </c:pt>
                <c:pt idx="188">
                  <c:v>59</c:v>
                </c:pt>
                <c:pt idx="189">
                  <c:v>59</c:v>
                </c:pt>
                <c:pt idx="190">
                  <c:v>59</c:v>
                </c:pt>
                <c:pt idx="191">
                  <c:v>59</c:v>
                </c:pt>
                <c:pt idx="192">
                  <c:v>59</c:v>
                </c:pt>
                <c:pt idx="193">
                  <c:v>59</c:v>
                </c:pt>
                <c:pt idx="194">
                  <c:v>59</c:v>
                </c:pt>
                <c:pt idx="195">
                  <c:v>59</c:v>
                </c:pt>
                <c:pt idx="196">
                  <c:v>59</c:v>
                </c:pt>
                <c:pt idx="197">
                  <c:v>69</c:v>
                </c:pt>
                <c:pt idx="198">
                  <c:v>69</c:v>
                </c:pt>
                <c:pt idx="199">
                  <c:v>69</c:v>
                </c:pt>
                <c:pt idx="200">
                  <c:v>69</c:v>
                </c:pt>
                <c:pt idx="201">
                  <c:v>69</c:v>
                </c:pt>
                <c:pt idx="202">
                  <c:v>69</c:v>
                </c:pt>
                <c:pt idx="203">
                  <c:v>69</c:v>
                </c:pt>
                <c:pt idx="204">
                  <c:v>69</c:v>
                </c:pt>
                <c:pt idx="205">
                  <c:v>69</c:v>
                </c:pt>
                <c:pt idx="206">
                  <c:v>69</c:v>
                </c:pt>
                <c:pt idx="207">
                  <c:v>69</c:v>
                </c:pt>
                <c:pt idx="208">
                  <c:v>59</c:v>
                </c:pt>
                <c:pt idx="209">
                  <c:v>59</c:v>
                </c:pt>
                <c:pt idx="210">
                  <c:v>59</c:v>
                </c:pt>
                <c:pt idx="211">
                  <c:v>59</c:v>
                </c:pt>
                <c:pt idx="212">
                  <c:v>59</c:v>
                </c:pt>
                <c:pt idx="213">
                  <c:v>53</c:v>
                </c:pt>
                <c:pt idx="214">
                  <c:v>53</c:v>
                </c:pt>
                <c:pt idx="215">
                  <c:v>53</c:v>
                </c:pt>
                <c:pt idx="216">
                  <c:v>53</c:v>
                </c:pt>
                <c:pt idx="217">
                  <c:v>53</c:v>
                </c:pt>
                <c:pt idx="218">
                  <c:v>50</c:v>
                </c:pt>
                <c:pt idx="219">
                  <c:v>50</c:v>
                </c:pt>
                <c:pt idx="220">
                  <c:v>50</c:v>
                </c:pt>
                <c:pt idx="221">
                  <c:v>50</c:v>
                </c:pt>
                <c:pt idx="222">
                  <c:v>50</c:v>
                </c:pt>
                <c:pt idx="223">
                  <c:v>47</c:v>
                </c:pt>
                <c:pt idx="224">
                  <c:v>47</c:v>
                </c:pt>
                <c:pt idx="225">
                  <c:v>47</c:v>
                </c:pt>
                <c:pt idx="226">
                  <c:v>47</c:v>
                </c:pt>
                <c:pt idx="227">
                  <c:v>47</c:v>
                </c:pt>
                <c:pt idx="228">
                  <c:v>46</c:v>
                </c:pt>
                <c:pt idx="229">
                  <c:v>46</c:v>
                </c:pt>
                <c:pt idx="230">
                  <c:v>46</c:v>
                </c:pt>
                <c:pt idx="231">
                  <c:v>46</c:v>
                </c:pt>
                <c:pt idx="232">
                  <c:v>46</c:v>
                </c:pt>
                <c:pt idx="233">
                  <c:v>43</c:v>
                </c:pt>
                <c:pt idx="234">
                  <c:v>43</c:v>
                </c:pt>
                <c:pt idx="235">
                  <c:v>43</c:v>
                </c:pt>
                <c:pt idx="236">
                  <c:v>43</c:v>
                </c:pt>
                <c:pt idx="237">
                  <c:v>48</c:v>
                </c:pt>
                <c:pt idx="238">
                  <c:v>48</c:v>
                </c:pt>
                <c:pt idx="239">
                  <c:v>48</c:v>
                </c:pt>
                <c:pt idx="240">
                  <c:v>48</c:v>
                </c:pt>
                <c:pt idx="241">
                  <c:v>48</c:v>
                </c:pt>
                <c:pt idx="242">
                  <c:v>48</c:v>
                </c:pt>
                <c:pt idx="243">
                  <c:v>48</c:v>
                </c:pt>
                <c:pt idx="244">
                  <c:v>48</c:v>
                </c:pt>
                <c:pt idx="245">
                  <c:v>48</c:v>
                </c:pt>
                <c:pt idx="246">
                  <c:v>48</c:v>
                </c:pt>
                <c:pt idx="247">
                  <c:v>48</c:v>
                </c:pt>
                <c:pt idx="248">
                  <c:v>48</c:v>
                </c:pt>
                <c:pt idx="249">
                  <c:v>48</c:v>
                </c:pt>
                <c:pt idx="250">
                  <c:v>48</c:v>
                </c:pt>
                <c:pt idx="251">
                  <c:v>48</c:v>
                </c:pt>
                <c:pt idx="252">
                  <c:v>48</c:v>
                </c:pt>
                <c:pt idx="253">
                  <c:v>45</c:v>
                </c:pt>
                <c:pt idx="254">
                  <c:v>45</c:v>
                </c:pt>
                <c:pt idx="255">
                  <c:v>45</c:v>
                </c:pt>
                <c:pt idx="256">
                  <c:v>45</c:v>
                </c:pt>
                <c:pt idx="257">
                  <c:v>72</c:v>
                </c:pt>
                <c:pt idx="258">
                  <c:v>72</c:v>
                </c:pt>
                <c:pt idx="259">
                  <c:v>72</c:v>
                </c:pt>
                <c:pt idx="260">
                  <c:v>72</c:v>
                </c:pt>
                <c:pt idx="261">
                  <c:v>72</c:v>
                </c:pt>
                <c:pt idx="262">
                  <c:v>72</c:v>
                </c:pt>
                <c:pt idx="263">
                  <c:v>72</c:v>
                </c:pt>
                <c:pt idx="264">
                  <c:v>72</c:v>
                </c:pt>
                <c:pt idx="265">
                  <c:v>72</c:v>
                </c:pt>
                <c:pt idx="266">
                  <c:v>72</c:v>
                </c:pt>
                <c:pt idx="267">
                  <c:v>72</c:v>
                </c:pt>
                <c:pt idx="268">
                  <c:v>62</c:v>
                </c:pt>
                <c:pt idx="269">
                  <c:v>62</c:v>
                </c:pt>
                <c:pt idx="270">
                  <c:v>62</c:v>
                </c:pt>
                <c:pt idx="271">
                  <c:v>62</c:v>
                </c:pt>
                <c:pt idx="272">
                  <c:v>62</c:v>
                </c:pt>
                <c:pt idx="273">
                  <c:v>57</c:v>
                </c:pt>
                <c:pt idx="274">
                  <c:v>57</c:v>
                </c:pt>
                <c:pt idx="275">
                  <c:v>57</c:v>
                </c:pt>
                <c:pt idx="276">
                  <c:v>57</c:v>
                </c:pt>
                <c:pt idx="277">
                  <c:v>57</c:v>
                </c:pt>
                <c:pt idx="278">
                  <c:v>53</c:v>
                </c:pt>
                <c:pt idx="279">
                  <c:v>53</c:v>
                </c:pt>
                <c:pt idx="280">
                  <c:v>53</c:v>
                </c:pt>
                <c:pt idx="281">
                  <c:v>53</c:v>
                </c:pt>
                <c:pt idx="282">
                  <c:v>53</c:v>
                </c:pt>
                <c:pt idx="283">
                  <c:v>50</c:v>
                </c:pt>
                <c:pt idx="284">
                  <c:v>50</c:v>
                </c:pt>
                <c:pt idx="285">
                  <c:v>50</c:v>
                </c:pt>
                <c:pt idx="286">
                  <c:v>50</c:v>
                </c:pt>
                <c:pt idx="287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00A-4C2A-ACAB-1E60E69A48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867072"/>
        <c:axId val="58877056"/>
      </c:lineChart>
      <c:dateAx>
        <c:axId val="588670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58877056"/>
        <c:crosses val="autoZero"/>
        <c:auto val="1"/>
        <c:lblOffset val="100"/>
        <c:baseTimeUnit val="days"/>
      </c:dateAx>
      <c:valAx>
        <c:axId val="58877056"/>
        <c:scaling>
          <c:orientation val="minMax"/>
          <c:max val="90"/>
          <c:min val="0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58867072"/>
        <c:crosses val="autoZero"/>
        <c:crossBetween val="between"/>
        <c:majorUnit val="10"/>
        <c:minorUnit val="5"/>
      </c:valAx>
    </c:plotArea>
    <c:plotVisOnly val="1"/>
    <c:dispBlanksAs val="gap"/>
    <c:showDLblsOverMax val="0"/>
  </c:chart>
  <c:printSettings>
    <c:headerFooter/>
    <c:pageMargins b="0.75000000000001066" l="0.70000000000000062" r="0.70000000000000062" t="0.750000000000010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sal!$B$1:$B$78</c:f>
              <c:numCache>
                <c:formatCode>mmm\-yy</c:formatCode>
                <c:ptCount val="78"/>
                <c:pt idx="0">
                  <c:v>41518</c:v>
                </c:pt>
                <c:pt idx="1">
                  <c:v>41548</c:v>
                </c:pt>
                <c:pt idx="2">
                  <c:v>41579</c:v>
                </c:pt>
                <c:pt idx="3">
                  <c:v>41609</c:v>
                </c:pt>
                <c:pt idx="4">
                  <c:v>41640</c:v>
                </c:pt>
                <c:pt idx="5">
                  <c:v>41671</c:v>
                </c:pt>
                <c:pt idx="6">
                  <c:v>41699</c:v>
                </c:pt>
                <c:pt idx="7">
                  <c:v>41730</c:v>
                </c:pt>
                <c:pt idx="8">
                  <c:v>41760</c:v>
                </c:pt>
                <c:pt idx="9">
                  <c:v>41791</c:v>
                </c:pt>
                <c:pt idx="10">
                  <c:v>41821</c:v>
                </c:pt>
                <c:pt idx="11">
                  <c:v>41852</c:v>
                </c:pt>
                <c:pt idx="12">
                  <c:v>41883</c:v>
                </c:pt>
                <c:pt idx="13">
                  <c:v>41913</c:v>
                </c:pt>
                <c:pt idx="14">
                  <c:v>41944</c:v>
                </c:pt>
                <c:pt idx="15">
                  <c:v>41974</c:v>
                </c:pt>
                <c:pt idx="16">
                  <c:v>42005</c:v>
                </c:pt>
                <c:pt idx="17">
                  <c:v>42036</c:v>
                </c:pt>
                <c:pt idx="18">
                  <c:v>42064</c:v>
                </c:pt>
                <c:pt idx="19">
                  <c:v>42095</c:v>
                </c:pt>
                <c:pt idx="20">
                  <c:v>42125</c:v>
                </c:pt>
                <c:pt idx="21">
                  <c:v>42156</c:v>
                </c:pt>
                <c:pt idx="22">
                  <c:v>42186</c:v>
                </c:pt>
                <c:pt idx="23">
                  <c:v>42217</c:v>
                </c:pt>
                <c:pt idx="24">
                  <c:v>42248</c:v>
                </c:pt>
                <c:pt idx="25">
                  <c:v>42278</c:v>
                </c:pt>
                <c:pt idx="26">
                  <c:v>42309</c:v>
                </c:pt>
                <c:pt idx="27">
                  <c:v>42339</c:v>
                </c:pt>
                <c:pt idx="28">
                  <c:v>42370</c:v>
                </c:pt>
                <c:pt idx="29">
                  <c:v>42401</c:v>
                </c:pt>
                <c:pt idx="30">
                  <c:v>42430</c:v>
                </c:pt>
                <c:pt idx="31">
                  <c:v>42461</c:v>
                </c:pt>
                <c:pt idx="32">
                  <c:v>42491</c:v>
                </c:pt>
                <c:pt idx="33">
                  <c:v>42522</c:v>
                </c:pt>
                <c:pt idx="34">
                  <c:v>42552</c:v>
                </c:pt>
                <c:pt idx="35">
                  <c:v>42583</c:v>
                </c:pt>
                <c:pt idx="36">
                  <c:v>42614</c:v>
                </c:pt>
                <c:pt idx="37">
                  <c:v>42644</c:v>
                </c:pt>
                <c:pt idx="38">
                  <c:v>42675</c:v>
                </c:pt>
                <c:pt idx="39">
                  <c:v>42705</c:v>
                </c:pt>
                <c:pt idx="40">
                  <c:v>42736</c:v>
                </c:pt>
                <c:pt idx="41">
                  <c:v>42767</c:v>
                </c:pt>
                <c:pt idx="42">
                  <c:v>42795</c:v>
                </c:pt>
                <c:pt idx="43">
                  <c:v>42826</c:v>
                </c:pt>
                <c:pt idx="44">
                  <c:v>42856</c:v>
                </c:pt>
                <c:pt idx="45">
                  <c:v>42887</c:v>
                </c:pt>
                <c:pt idx="46">
                  <c:v>42917</c:v>
                </c:pt>
                <c:pt idx="47">
                  <c:v>42948</c:v>
                </c:pt>
                <c:pt idx="48">
                  <c:v>42979</c:v>
                </c:pt>
                <c:pt idx="49">
                  <c:v>43009</c:v>
                </c:pt>
                <c:pt idx="50">
                  <c:v>43040</c:v>
                </c:pt>
                <c:pt idx="51">
                  <c:v>43070</c:v>
                </c:pt>
                <c:pt idx="52">
                  <c:v>43101</c:v>
                </c:pt>
                <c:pt idx="53">
                  <c:v>43132</c:v>
                </c:pt>
                <c:pt idx="54">
                  <c:v>43160</c:v>
                </c:pt>
                <c:pt idx="55">
                  <c:v>43191</c:v>
                </c:pt>
                <c:pt idx="56">
                  <c:v>43221</c:v>
                </c:pt>
                <c:pt idx="57">
                  <c:v>43252</c:v>
                </c:pt>
                <c:pt idx="58">
                  <c:v>43282</c:v>
                </c:pt>
                <c:pt idx="59">
                  <c:v>43313</c:v>
                </c:pt>
                <c:pt idx="60">
                  <c:v>43344</c:v>
                </c:pt>
                <c:pt idx="61">
                  <c:v>43374</c:v>
                </c:pt>
                <c:pt idx="62">
                  <c:v>43405</c:v>
                </c:pt>
                <c:pt idx="63">
                  <c:v>43435</c:v>
                </c:pt>
                <c:pt idx="64">
                  <c:v>43466</c:v>
                </c:pt>
                <c:pt idx="65">
                  <c:v>43497</c:v>
                </c:pt>
                <c:pt idx="66">
                  <c:v>43525</c:v>
                </c:pt>
                <c:pt idx="67">
                  <c:v>43556</c:v>
                </c:pt>
                <c:pt idx="68">
                  <c:v>43586</c:v>
                </c:pt>
                <c:pt idx="69">
                  <c:v>43617</c:v>
                </c:pt>
                <c:pt idx="70">
                  <c:v>43647</c:v>
                </c:pt>
                <c:pt idx="71">
                  <c:v>43678</c:v>
                </c:pt>
                <c:pt idx="72">
                  <c:v>43709</c:v>
                </c:pt>
                <c:pt idx="73">
                  <c:v>43739</c:v>
                </c:pt>
                <c:pt idx="74">
                  <c:v>43770</c:v>
                </c:pt>
                <c:pt idx="75">
                  <c:v>43800</c:v>
                </c:pt>
                <c:pt idx="76">
                  <c:v>43831</c:v>
                </c:pt>
                <c:pt idx="77">
                  <c:v>43862</c:v>
                </c:pt>
              </c:numCache>
            </c:numRef>
          </c:cat>
          <c:val>
            <c:numRef>
              <c:f>sal!$G$1:$G$78</c:f>
              <c:numCache>
                <c:formatCode>#\ ##0.0</c:formatCode>
                <c:ptCount val="78"/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79.417749999999998</c:v>
                </c:pt>
                <c:pt idx="25">
                  <c:v>82.454250000000002</c:v>
                </c:pt>
                <c:pt idx="26">
                  <c:v>85.409499999999994</c:v>
                </c:pt>
                <c:pt idx="27">
                  <c:v>88.44599999999997</c:v>
                </c:pt>
                <c:pt idx="28">
                  <c:v>91.482499999999987</c:v>
                </c:pt>
                <c:pt idx="29">
                  <c:v>94.356499999999969</c:v>
                </c:pt>
                <c:pt idx="30">
                  <c:v>97.392999999999972</c:v>
                </c:pt>
                <c:pt idx="31">
                  <c:v>100.34824999999999</c:v>
                </c:pt>
                <c:pt idx="32">
                  <c:v>103.38474999999998</c:v>
                </c:pt>
                <c:pt idx="33">
                  <c:v>106.33999999999997</c:v>
                </c:pt>
                <c:pt idx="34">
                  <c:v>109.37649999999998</c:v>
                </c:pt>
                <c:pt idx="35">
                  <c:v>112.41299999999997</c:v>
                </c:pt>
                <c:pt idx="36">
                  <c:v>110.95049999999998</c:v>
                </c:pt>
                <c:pt idx="37">
                  <c:v>110.95049999999998</c:v>
                </c:pt>
                <c:pt idx="38">
                  <c:v>110.95049999999998</c:v>
                </c:pt>
                <c:pt idx="39">
                  <c:v>111.60774999999998</c:v>
                </c:pt>
                <c:pt idx="40">
                  <c:v>113.74999999999997</c:v>
                </c:pt>
                <c:pt idx="41">
                  <c:v>115.757375</c:v>
                </c:pt>
                <c:pt idx="42">
                  <c:v>119.0113125</c:v>
                </c:pt>
                <c:pt idx="43">
                  <c:v>117.8370625</c:v>
                </c:pt>
                <c:pt idx="44">
                  <c:v>119.92568750000001</c:v>
                </c:pt>
                <c:pt idx="45">
                  <c:v>119.68368750000003</c:v>
                </c:pt>
                <c:pt idx="46">
                  <c:v>122.00537500000003</c:v>
                </c:pt>
                <c:pt idx="47">
                  <c:v>118.73356250000002</c:v>
                </c:pt>
                <c:pt idx="48">
                  <c:v>117.24075000000001</c:v>
                </c:pt>
                <c:pt idx="49">
                  <c:v>116.3445</c:v>
                </c:pt>
                <c:pt idx="50">
                  <c:v>116.92787499999999</c:v>
                </c:pt>
                <c:pt idx="51">
                  <c:v>116.77274999999997</c:v>
                </c:pt>
                <c:pt idx="52">
                  <c:v>112.80199999999996</c:v>
                </c:pt>
                <c:pt idx="53">
                  <c:v>109.12862499999999</c:v>
                </c:pt>
                <c:pt idx="54">
                  <c:v>104.04618749999997</c:v>
                </c:pt>
                <c:pt idx="55">
                  <c:v>103.47318749999997</c:v>
                </c:pt>
                <c:pt idx="56">
                  <c:v>99.556062499999996</c:v>
                </c:pt>
                <c:pt idx="57">
                  <c:v>98.050812500000006</c:v>
                </c:pt>
                <c:pt idx="58">
                  <c:v>93.900625000000005</c:v>
                </c:pt>
                <c:pt idx="59">
                  <c:v>95.34393750000001</c:v>
                </c:pt>
                <c:pt idx="60">
                  <c:v>95.089500000000001</c:v>
                </c:pt>
                <c:pt idx="61">
                  <c:v>94.157250000000019</c:v>
                </c:pt>
                <c:pt idx="62">
                  <c:v>91.826625000000021</c:v>
                </c:pt>
                <c:pt idx="63">
                  <c:v>89.496000000000009</c:v>
                </c:pt>
                <c:pt idx="64">
                  <c:v>89.496000000000009</c:v>
                </c:pt>
                <c:pt idx="65">
                  <c:v>89.496000000000009</c:v>
                </c:pt>
                <c:pt idx="66">
                  <c:v>89.496000000000009</c:v>
                </c:pt>
                <c:pt idx="67">
                  <c:v>89.496000000000009</c:v>
                </c:pt>
                <c:pt idx="68">
                  <c:v>89.496000000000009</c:v>
                </c:pt>
                <c:pt idx="69">
                  <c:v>89.496000000000009</c:v>
                </c:pt>
                <c:pt idx="70">
                  <c:v>89.496000000000009</c:v>
                </c:pt>
                <c:pt idx="71">
                  <c:v>89.496000000000009</c:v>
                </c:pt>
                <c:pt idx="72">
                  <c:v>89.496000000000009</c:v>
                </c:pt>
                <c:pt idx="73">
                  <c:v>89.496000000000009</c:v>
                </c:pt>
                <c:pt idx="74">
                  <c:v>89.496000000000009</c:v>
                </c:pt>
                <c:pt idx="75">
                  <c:v>89.496000000000009</c:v>
                </c:pt>
                <c:pt idx="76">
                  <c:v>89.496000000000009</c:v>
                </c:pt>
                <c:pt idx="77">
                  <c:v>90.816000000000017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E-41A6-9663-47C68FB9E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643136"/>
        <c:axId val="53644672"/>
      </c:lineChart>
      <c:dateAx>
        <c:axId val="5364313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53644672"/>
        <c:crosses val="autoZero"/>
        <c:auto val="1"/>
        <c:lblOffset val="100"/>
        <c:baseTimeUnit val="months"/>
      </c:dateAx>
      <c:valAx>
        <c:axId val="53644672"/>
        <c:scaling>
          <c:orientation val="minMax"/>
          <c:max val="125"/>
          <c:min val="70"/>
        </c:scaling>
        <c:delete val="0"/>
        <c:axPos val="l"/>
        <c:majorGridlines/>
        <c:numFmt formatCode="#\ ##0.0" sourceLinked="1"/>
        <c:majorTickMark val="out"/>
        <c:minorTickMark val="none"/>
        <c:tickLblPos val="nextTo"/>
        <c:crossAx val="53643136"/>
        <c:crosses val="autoZero"/>
        <c:crossBetween val="between"/>
        <c:minorUnit val="1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15240</xdr:colOff>
      <xdr:row>501</xdr:row>
      <xdr:rowOff>121920</xdr:rowOff>
    </xdr:from>
    <xdr:to>
      <xdr:col>31</xdr:col>
      <xdr:colOff>716280</xdr:colOff>
      <xdr:row>516</xdr:row>
      <xdr:rowOff>121920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8042D759-4BC4-4ACA-AFFD-2B3AEB4DBE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546735</xdr:colOff>
      <xdr:row>485</xdr:row>
      <xdr:rowOff>127635</xdr:rowOff>
    </xdr:from>
    <xdr:to>
      <xdr:col>17</xdr:col>
      <xdr:colOff>335281</xdr:colOff>
      <xdr:row>525</xdr:row>
      <xdr:rowOff>40005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180974</xdr:colOff>
      <xdr:row>12</xdr:row>
      <xdr:rowOff>47625</xdr:rowOff>
    </xdr:from>
    <xdr:to>
      <xdr:col>25</xdr:col>
      <xdr:colOff>361949</xdr:colOff>
      <xdr:row>26</xdr:row>
      <xdr:rowOff>123825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W800"/>
  <sheetViews>
    <sheetView tabSelected="1" topLeftCell="A504" workbookViewId="0">
      <selection activeCell="M528" sqref="M528"/>
    </sheetView>
  </sheetViews>
  <sheetFormatPr baseColWidth="10" defaultRowHeight="14.4" x14ac:dyDescent="0.3"/>
  <cols>
    <col min="1" max="1" width="6.5546875" style="50" bestFit="1" customWidth="1"/>
    <col min="2" max="2" width="9.33203125" bestFit="1" customWidth="1"/>
    <col min="3" max="3" width="8" bestFit="1" customWidth="1"/>
    <col min="4" max="4" width="11.88671875" bestFit="1" customWidth="1"/>
    <col min="5" max="6" width="5.5546875" bestFit="1" customWidth="1"/>
    <col min="7" max="7" width="3" bestFit="1" customWidth="1"/>
    <col min="8" max="8" width="4" bestFit="1" customWidth="1"/>
    <col min="9" max="9" width="3.77734375" style="133" bestFit="1" customWidth="1"/>
    <col min="10" max="10" width="4.88671875" style="151" bestFit="1" customWidth="1"/>
    <col min="11" max="12" width="4" style="33" bestFit="1" customWidth="1"/>
    <col min="13" max="13" width="5.6640625" bestFit="1" customWidth="1"/>
    <col min="14" max="14" width="5" bestFit="1" customWidth="1"/>
    <col min="15" max="15" width="4.33203125" style="144" customWidth="1"/>
    <col min="16" max="16" width="4.5546875" style="32" customWidth="1"/>
    <col min="17" max="17" width="8.109375" style="122" bestFit="1" customWidth="1"/>
    <col min="18" max="18" width="5.5546875" bestFit="1" customWidth="1"/>
    <col min="19" max="19" width="5.5546875" customWidth="1"/>
    <col min="20" max="20" width="3" bestFit="1" customWidth="1"/>
    <col min="21" max="21" width="10.77734375" bestFit="1" customWidth="1"/>
    <col min="22" max="22" width="3" bestFit="1" customWidth="1"/>
    <col min="23" max="23" width="5" bestFit="1" customWidth="1"/>
  </cols>
  <sheetData>
    <row r="1" spans="1:22" x14ac:dyDescent="0.3">
      <c r="B1" s="76">
        <v>1.6041666666666667</v>
      </c>
      <c r="C1" s="76">
        <f>B1/5</f>
        <v>0.32083333333333336</v>
      </c>
      <c r="D1" s="76">
        <f>A541</f>
        <v>0.14722222222219916</v>
      </c>
      <c r="E1" s="1">
        <v>0.34583333333333338</v>
      </c>
      <c r="F1" s="1">
        <v>1.3888888888888888E-2</v>
      </c>
      <c r="K1" s="33" t="s">
        <v>7</v>
      </c>
      <c r="L1" s="33" t="s">
        <v>6</v>
      </c>
      <c r="M1" t="s">
        <v>5</v>
      </c>
      <c r="O1" s="140"/>
      <c r="P1" s="91"/>
      <c r="Q1" s="257">
        <f>E1*5</f>
        <v>1.729166666666667</v>
      </c>
      <c r="R1" s="42"/>
      <c r="S1" s="1">
        <v>5.2083333333333336E-2</v>
      </c>
      <c r="U1" s="192">
        <v>43348.083333333336</v>
      </c>
      <c r="V1">
        <v>26.5</v>
      </c>
    </row>
    <row r="2" spans="1:22" hidden="1" x14ac:dyDescent="0.3">
      <c r="A2" s="51">
        <f>J2</f>
        <v>2.9166666666666619E-2</v>
      </c>
      <c r="B2" s="2" t="s">
        <v>0</v>
      </c>
      <c r="C2" s="3">
        <v>42765</v>
      </c>
      <c r="D2" s="3"/>
      <c r="E2" s="4">
        <v>0.38194444444444442</v>
      </c>
      <c r="F2" s="4">
        <v>0.78472222222222221</v>
      </c>
      <c r="G2" s="5">
        <v>2</v>
      </c>
      <c r="H2" s="2">
        <v>1</v>
      </c>
      <c r="I2" s="134" t="str">
        <f t="shared" ref="I2:I65" si="0">IF(J2&lt;0,-J2,"")</f>
        <v/>
      </c>
      <c r="J2" s="152">
        <f>IF(H2=1,F2-E2-MAX(G2,1)*$F$1-$E$1,F2-E2-$E$1*H2)</f>
        <v>2.9166666666666619E-2</v>
      </c>
      <c r="K2" s="34">
        <v>118</v>
      </c>
      <c r="L2" s="34">
        <v>112</v>
      </c>
      <c r="M2" s="6">
        <v>0.3125</v>
      </c>
      <c r="N2" s="7"/>
      <c r="O2" s="141"/>
      <c r="P2" s="45"/>
      <c r="Q2" s="123">
        <f>SUM(E$2:E2)/COUNTA(E$2:E2)</f>
        <v>0.38194444444444442</v>
      </c>
      <c r="R2" s="46">
        <f>(SUM(H$2:H2)*E$1+A2)/SUM(H$2:H2)</f>
        <v>0.375</v>
      </c>
      <c r="S2" s="61"/>
    </row>
    <row r="3" spans="1:22" hidden="1" x14ac:dyDescent="0.3">
      <c r="A3" s="52">
        <f>A2+J3</f>
        <v>2.7083333333333126E-2</v>
      </c>
      <c r="B3" s="8" t="s">
        <v>1</v>
      </c>
      <c r="C3" s="9">
        <v>42766</v>
      </c>
      <c r="D3" s="9"/>
      <c r="E3" s="10">
        <v>0.37847222222222227</v>
      </c>
      <c r="F3" s="10">
        <v>0.76388888888888884</v>
      </c>
      <c r="G3" s="11">
        <v>3</v>
      </c>
      <c r="H3" s="8">
        <v>1</v>
      </c>
      <c r="I3" s="135">
        <f t="shared" si="0"/>
        <v>2.0833333333334925E-3</v>
      </c>
      <c r="J3" s="153">
        <f t="shared" ref="J3:J66" si="1">IF(H3=1,F3-E3-MAX(G3,1)*$F$1-$E$1,F3-E3-$E$1*H3)</f>
        <v>-2.0833333333334925E-3</v>
      </c>
      <c r="K3" s="35" t="s">
        <v>408</v>
      </c>
      <c r="L3" s="40">
        <v>106</v>
      </c>
      <c r="M3" s="12">
        <v>0.16666666666666666</v>
      </c>
      <c r="N3" s="7">
        <f>SUM(H2:H3)</f>
        <v>2</v>
      </c>
      <c r="O3" s="141"/>
      <c r="P3" s="45"/>
      <c r="Q3" s="123">
        <f>SUM(E$2:E3)/COUNTA(E$2:E3)</f>
        <v>0.38020833333333337</v>
      </c>
      <c r="R3" s="46">
        <f>(SUM(H$2:H3)*E$1+A3)/SUM(H$2:H3)</f>
        <v>0.35937499999999994</v>
      </c>
      <c r="S3" s="62"/>
    </row>
    <row r="4" spans="1:22" hidden="1" x14ac:dyDescent="0.3">
      <c r="A4" s="52">
        <f t="shared" ref="A4:A67" si="2">A3+J4</f>
        <v>4.9305555555555325E-2</v>
      </c>
      <c r="B4" s="8" t="s">
        <v>2</v>
      </c>
      <c r="C4" s="9">
        <v>42767</v>
      </c>
      <c r="D4" s="9"/>
      <c r="E4" s="10">
        <v>0.375</v>
      </c>
      <c r="F4" s="10">
        <v>0.77083333333333337</v>
      </c>
      <c r="G4" s="11">
        <v>2</v>
      </c>
      <c r="H4" s="8">
        <v>1</v>
      </c>
      <c r="I4" s="135" t="str">
        <f t="shared" si="0"/>
        <v/>
      </c>
      <c r="J4" s="153">
        <f>IF(H4=1,F4-E4-MAX(G4,1)*$F$1-$E$1,F4-E4-$E$1*H4)</f>
        <v>2.2222222222222199E-2</v>
      </c>
      <c r="K4" s="35" t="s">
        <v>408</v>
      </c>
      <c r="L4" s="40">
        <v>106</v>
      </c>
      <c r="M4" s="12">
        <v>0.25</v>
      </c>
      <c r="N4" s="7"/>
      <c r="O4" s="141"/>
      <c r="P4" s="45"/>
      <c r="Q4" s="123">
        <f>SUM(E$2:E4)/COUNTA(E$2:E4)</f>
        <v>0.37847222222222227</v>
      </c>
      <c r="R4" s="46">
        <f>(SUM(H$2:H4)*E$1+A4)/SUM(H$2:H4)</f>
        <v>0.36226851851851843</v>
      </c>
      <c r="S4" s="62"/>
    </row>
    <row r="5" spans="1:22" hidden="1" x14ac:dyDescent="0.3">
      <c r="A5" s="52">
        <f t="shared" si="2"/>
        <v>4.3749999999999623E-2</v>
      </c>
      <c r="B5" s="8" t="s">
        <v>3</v>
      </c>
      <c r="C5" s="9">
        <v>42768</v>
      </c>
      <c r="D5" s="9"/>
      <c r="E5" s="10">
        <v>0.36805555555555558</v>
      </c>
      <c r="F5" s="10">
        <v>0.76388888888888884</v>
      </c>
      <c r="G5" s="11">
        <v>4</v>
      </c>
      <c r="H5" s="8">
        <v>1</v>
      </c>
      <c r="I5" s="135">
        <f t="shared" si="0"/>
        <v>5.5555555555557024E-3</v>
      </c>
      <c r="J5" s="153">
        <f>IF(H5=1,F5-E5-MAX(G5,1)*$F$1-$E$1,F5-E5-$E$1*H5)</f>
        <v>-5.5555555555557024E-3</v>
      </c>
      <c r="K5" s="35" t="s">
        <v>408</v>
      </c>
      <c r="L5" s="35">
        <v>112</v>
      </c>
      <c r="M5" s="12">
        <v>0.27083333333333331</v>
      </c>
      <c r="N5" s="7"/>
      <c r="O5" s="141"/>
      <c r="P5" s="45"/>
      <c r="Q5" s="123">
        <f>SUM(E$2:E5)/COUNTA(E$2:E5)</f>
        <v>0.37586805555555558</v>
      </c>
      <c r="R5" s="46">
        <f>(SUM(H$2:H5)*E$1+A5)/SUM(H$2:H5)</f>
        <v>0.35677083333333326</v>
      </c>
      <c r="S5" s="61"/>
    </row>
    <row r="6" spans="1:22" hidden="1" x14ac:dyDescent="0.3">
      <c r="A6" s="53">
        <f t="shared" si="2"/>
        <v>-3.12500000000005E-2</v>
      </c>
      <c r="B6" s="13" t="s">
        <v>4</v>
      </c>
      <c r="C6" s="14">
        <v>42769</v>
      </c>
      <c r="D6" s="14"/>
      <c r="E6" s="15">
        <v>0.38194444444444442</v>
      </c>
      <c r="F6" s="15">
        <v>0.68055555555555547</v>
      </c>
      <c r="G6" s="16">
        <v>2</v>
      </c>
      <c r="H6" s="17">
        <v>1</v>
      </c>
      <c r="I6" s="136">
        <f>IF(J6&lt;0,-J6,"")</f>
        <v>7.5000000000000122E-2</v>
      </c>
      <c r="J6" s="154">
        <f t="shared" si="1"/>
        <v>-7.5000000000000122E-2</v>
      </c>
      <c r="K6" s="36" t="s">
        <v>408</v>
      </c>
      <c r="L6" s="36">
        <v>112</v>
      </c>
      <c r="M6" s="18">
        <v>0.16666666666666666</v>
      </c>
      <c r="N6" s="7"/>
      <c r="O6" s="141"/>
      <c r="P6" s="137">
        <f>A6-A1</f>
        <v>-3.12500000000005E-2</v>
      </c>
      <c r="Q6" s="123">
        <f>SUM(E$2:E6)/COUNTA(E$2:E6)</f>
        <v>0.37708333333333333</v>
      </c>
      <c r="R6" s="46">
        <f>(SUM(H$2:H6)*E$1+A6)/SUM(H$2:H6)</f>
        <v>0.33958333333333329</v>
      </c>
      <c r="S6" s="41">
        <f>SUM(M2:M6)/COUNTA(M2:M6)</f>
        <v>0.23333333333333334</v>
      </c>
    </row>
    <row r="7" spans="1:22" hidden="1" x14ac:dyDescent="0.3">
      <c r="A7" s="51">
        <f t="shared" si="2"/>
        <v>-4.7222222222222721E-2</v>
      </c>
      <c r="B7" s="2" t="s">
        <v>0</v>
      </c>
      <c r="C7" s="3">
        <f>C2+7</f>
        <v>42772</v>
      </c>
      <c r="D7" s="3"/>
      <c r="E7" s="4">
        <v>0.38194444444444442</v>
      </c>
      <c r="F7" s="4">
        <v>0.76736111111111116</v>
      </c>
      <c r="G7" s="5">
        <v>4</v>
      </c>
      <c r="H7" s="2">
        <v>1</v>
      </c>
      <c r="I7" s="134">
        <f t="shared" si="0"/>
        <v>1.5972222222222221E-2</v>
      </c>
      <c r="J7" s="152">
        <f>IF(H7=1,F7-E7-MAX(G7,1)*$F$1-$E$1,F7-E7-$E$1*H7)</f>
        <v>-1.5972222222222221E-2</v>
      </c>
      <c r="K7" s="34" t="s">
        <v>408</v>
      </c>
      <c r="L7" s="34">
        <v>109</v>
      </c>
      <c r="M7" s="6">
        <v>0.22916666666666666</v>
      </c>
      <c r="N7" s="7"/>
      <c r="O7" s="141"/>
      <c r="P7" s="45"/>
      <c r="Q7" s="123">
        <f>SUM(E$2:E7)/COUNTA(E$2:E7)</f>
        <v>0.37789351851851855</v>
      </c>
      <c r="R7" s="46">
        <f>(SUM(H$2:H7)*E$1+A7)/SUM(H$2:H7)</f>
        <v>0.33796296296296297</v>
      </c>
      <c r="S7" s="61"/>
    </row>
    <row r="8" spans="1:22" hidden="1" x14ac:dyDescent="0.3">
      <c r="A8" s="52">
        <f t="shared" si="2"/>
        <v>-3.5416666666667151E-2</v>
      </c>
      <c r="B8" s="8" t="s">
        <v>1</v>
      </c>
      <c r="C8" s="9">
        <f t="shared" ref="C8:C71" si="3">C3+7</f>
        <v>42773</v>
      </c>
      <c r="D8" s="9"/>
      <c r="E8" s="10">
        <v>0.38194444444444442</v>
      </c>
      <c r="F8" s="10">
        <v>0.76736111111111116</v>
      </c>
      <c r="G8" s="11">
        <v>2</v>
      </c>
      <c r="H8" s="8">
        <v>1</v>
      </c>
      <c r="I8" s="135" t="str">
        <f t="shared" si="0"/>
        <v/>
      </c>
      <c r="J8" s="153">
        <f t="shared" si="1"/>
        <v>1.1805555555555569E-2</v>
      </c>
      <c r="K8" s="35" t="s">
        <v>408</v>
      </c>
      <c r="L8" s="35">
        <v>107</v>
      </c>
      <c r="M8" s="12">
        <v>0.25</v>
      </c>
      <c r="N8" s="7"/>
      <c r="O8" s="141"/>
      <c r="P8" s="45"/>
      <c r="Q8" s="123">
        <f>SUM(E$2:E8)/COUNTA(E$2:E8)</f>
        <v>0.37847222222222221</v>
      </c>
      <c r="R8" s="46">
        <f>(SUM(H$2:H8)*E$1+A8)/SUM(H$2:H8)</f>
        <v>0.34077380952380948</v>
      </c>
      <c r="S8" s="62"/>
    </row>
    <row r="9" spans="1:22" hidden="1" x14ac:dyDescent="0.3">
      <c r="A9" s="52">
        <f t="shared" si="2"/>
        <v>-2.3611111111111527E-2</v>
      </c>
      <c r="B9" s="8" t="s">
        <v>2</v>
      </c>
      <c r="C9" s="9">
        <f t="shared" si="3"/>
        <v>42774</v>
      </c>
      <c r="D9" s="9"/>
      <c r="E9" s="10">
        <v>0.37152777777777773</v>
      </c>
      <c r="F9" s="10">
        <v>0.75694444444444453</v>
      </c>
      <c r="G9" s="11">
        <v>2</v>
      </c>
      <c r="H9" s="8">
        <v>1</v>
      </c>
      <c r="I9" s="135" t="str">
        <f t="shared" si="0"/>
        <v/>
      </c>
      <c r="J9" s="153">
        <f t="shared" si="1"/>
        <v>1.1805555555555625E-2</v>
      </c>
      <c r="K9" s="35" t="s">
        <v>408</v>
      </c>
      <c r="L9" s="35" t="s">
        <v>408</v>
      </c>
      <c r="M9" s="12">
        <v>0.20833333333333334</v>
      </c>
      <c r="N9" s="7"/>
      <c r="O9" s="141"/>
      <c r="P9" s="45"/>
      <c r="Q9" s="123">
        <f>SUM(E$2:E9)/COUNTA(E$2:E9)</f>
        <v>0.37760416666666663</v>
      </c>
      <c r="R9" s="46">
        <f>(SUM(H$2:H9)*E$1+A9)/SUM(H$2:H9)</f>
        <v>0.34288194444444442</v>
      </c>
      <c r="S9" s="62"/>
    </row>
    <row r="10" spans="1:22" hidden="1" x14ac:dyDescent="0.3">
      <c r="A10" s="52">
        <f t="shared" si="2"/>
        <v>-2.2222222222222698E-2</v>
      </c>
      <c r="B10" s="8" t="s">
        <v>3</v>
      </c>
      <c r="C10" s="9">
        <f t="shared" si="3"/>
        <v>42775</v>
      </c>
      <c r="D10" s="9"/>
      <c r="E10" s="10">
        <v>0.36805555555555558</v>
      </c>
      <c r="F10" s="10">
        <v>0.77083333333333337</v>
      </c>
      <c r="G10" s="11">
        <v>4</v>
      </c>
      <c r="H10" s="8">
        <v>1</v>
      </c>
      <c r="I10" s="135" t="str">
        <f t="shared" si="0"/>
        <v/>
      </c>
      <c r="J10" s="153">
        <f t="shared" si="1"/>
        <v>1.3888888888888284E-3</v>
      </c>
      <c r="K10" s="35" t="s">
        <v>408</v>
      </c>
      <c r="L10" s="35">
        <v>115</v>
      </c>
      <c r="M10" s="12">
        <v>0.25</v>
      </c>
      <c r="N10" s="7"/>
      <c r="O10" s="141"/>
      <c r="P10" s="45"/>
      <c r="Q10" s="123">
        <f>SUM(E$2:E10)/COUNTA(E$2:E10)</f>
        <v>0.37654320987654316</v>
      </c>
      <c r="R10" s="46">
        <f>(SUM(H$2:H10)*E$1+A10)/SUM(H$2:H10)</f>
        <v>0.34336419753086417</v>
      </c>
      <c r="S10" s="61"/>
    </row>
    <row r="11" spans="1:22" hidden="1" x14ac:dyDescent="0.3">
      <c r="A11" s="52">
        <f t="shared" si="2"/>
        <v>-7.986111111111166E-2</v>
      </c>
      <c r="B11" s="13" t="s">
        <v>4</v>
      </c>
      <c r="C11" s="14">
        <f t="shared" si="3"/>
        <v>42776</v>
      </c>
      <c r="D11" s="14"/>
      <c r="E11" s="15">
        <v>0.38541666666666669</v>
      </c>
      <c r="F11" s="15">
        <v>0.6875</v>
      </c>
      <c r="G11" s="16">
        <v>1</v>
      </c>
      <c r="H11" s="17">
        <v>1</v>
      </c>
      <c r="I11" s="136">
        <f>IF(J11&lt;0,-J11,"")</f>
        <v>5.7638888888888962E-2</v>
      </c>
      <c r="J11" s="154">
        <f t="shared" si="1"/>
        <v>-5.7638888888888962E-2</v>
      </c>
      <c r="K11" s="36">
        <v>115</v>
      </c>
      <c r="L11" s="36">
        <v>112</v>
      </c>
      <c r="M11" s="18">
        <v>0.33333333333333331</v>
      </c>
      <c r="N11" s="7"/>
      <c r="O11" s="141"/>
      <c r="P11" s="137">
        <f>A11-A6</f>
        <v>-4.861111111111116E-2</v>
      </c>
      <c r="Q11" s="123">
        <f>SUM(E$2:E11)/COUNTA(E$2:E11)</f>
        <v>0.37743055555555549</v>
      </c>
      <c r="R11" s="46">
        <f>(SUM(H$2:H11)*E$1+A11)/SUM(H$2:H11)</f>
        <v>0.33784722222222224</v>
      </c>
      <c r="S11" s="41">
        <f>SUM(M7:M11)/COUNTA(M7:M11)</f>
        <v>0.25416666666666665</v>
      </c>
    </row>
    <row r="12" spans="1:22" hidden="1" x14ac:dyDescent="0.3">
      <c r="A12" s="51">
        <f t="shared" si="2"/>
        <v>-4.7222222222222832E-2</v>
      </c>
      <c r="B12" s="2" t="s">
        <v>0</v>
      </c>
      <c r="C12" s="3">
        <f t="shared" si="3"/>
        <v>42779</v>
      </c>
      <c r="D12" s="3"/>
      <c r="E12" s="4">
        <v>0.3923611111111111</v>
      </c>
      <c r="F12" s="4">
        <v>0.78472222222222221</v>
      </c>
      <c r="G12" s="5">
        <v>1</v>
      </c>
      <c r="H12" s="2">
        <v>1</v>
      </c>
      <c r="I12" s="134" t="str">
        <f t="shared" si="0"/>
        <v/>
      </c>
      <c r="J12" s="152">
        <f>IF(H12=1,F12-E12-MAX(G12,1)*$F$1-$E$1,F12-E12-$E$1*H12)</f>
        <v>3.2638888888888828E-2</v>
      </c>
      <c r="K12" s="34">
        <v>123</v>
      </c>
      <c r="L12" s="34">
        <v>118</v>
      </c>
      <c r="M12" s="6">
        <v>0.27083333333333331</v>
      </c>
      <c r="N12" s="7"/>
      <c r="O12" s="141"/>
      <c r="P12" s="45"/>
      <c r="Q12" s="123">
        <f>SUM(E$2:E12)/COUNTA(E$2:E12)</f>
        <v>0.37878787878787873</v>
      </c>
      <c r="R12" s="46">
        <f>(SUM(H$2:H12)*E$1+A12)/SUM(H$2:H12)</f>
        <v>0.34154040404040403</v>
      </c>
      <c r="S12" s="61"/>
    </row>
    <row r="13" spans="1:22" hidden="1" x14ac:dyDescent="0.3">
      <c r="A13" s="52">
        <f t="shared" si="2"/>
        <v>-1.1111111111111738E-2</v>
      </c>
      <c r="B13" s="8" t="s">
        <v>1</v>
      </c>
      <c r="C13" s="9">
        <f t="shared" si="3"/>
        <v>42780</v>
      </c>
      <c r="D13" s="9"/>
      <c r="E13" s="10">
        <v>0.38194444444444442</v>
      </c>
      <c r="F13" s="10">
        <v>0.77777777777777779</v>
      </c>
      <c r="G13" s="11">
        <v>1</v>
      </c>
      <c r="H13" s="45">
        <v>1</v>
      </c>
      <c r="I13" s="135" t="str">
        <f t="shared" si="0"/>
        <v/>
      </c>
      <c r="J13" s="153">
        <f t="shared" si="1"/>
        <v>3.6111111111111094E-2</v>
      </c>
      <c r="K13" s="35">
        <v>118</v>
      </c>
      <c r="L13" s="35" t="s">
        <v>408</v>
      </c>
      <c r="M13" s="12">
        <v>0.25</v>
      </c>
      <c r="N13" s="7"/>
      <c r="O13" s="141"/>
      <c r="P13" s="45"/>
      <c r="Q13" s="123">
        <f>SUM(E$2:E13)/COUNTA(E$2:E13)</f>
        <v>0.37905092592592587</v>
      </c>
      <c r="R13" s="46">
        <f>(SUM(H$2:H13)*E$1+A13)/SUM(H$2:H13)</f>
        <v>0.34490740740740738</v>
      </c>
      <c r="S13" s="61"/>
    </row>
    <row r="14" spans="1:22" hidden="1" x14ac:dyDescent="0.3">
      <c r="A14" s="52">
        <f t="shared" si="2"/>
        <v>-4.7916666666667329E-2</v>
      </c>
      <c r="B14" s="8" t="s">
        <v>2</v>
      </c>
      <c r="C14" s="9">
        <f t="shared" si="3"/>
        <v>42781</v>
      </c>
      <c r="D14" s="9"/>
      <c r="E14" s="10">
        <v>0.37152777777777773</v>
      </c>
      <c r="F14" s="10">
        <v>0.76388888888888884</v>
      </c>
      <c r="G14" s="11">
        <v>6</v>
      </c>
      <c r="H14" s="45">
        <v>1</v>
      </c>
      <c r="I14" s="135">
        <f t="shared" si="0"/>
        <v>3.6805555555555591E-2</v>
      </c>
      <c r="J14" s="153">
        <f t="shared" si="1"/>
        <v>-3.6805555555555591E-2</v>
      </c>
      <c r="K14" s="35">
        <v>112</v>
      </c>
      <c r="L14" s="35">
        <v>112</v>
      </c>
      <c r="M14" s="12">
        <v>0.25</v>
      </c>
      <c r="N14" s="7"/>
      <c r="O14" s="141"/>
      <c r="P14" s="45"/>
      <c r="Q14" s="123">
        <f>SUM(E$2:E14)/COUNTA(E$2:E14)</f>
        <v>0.37847222222222221</v>
      </c>
      <c r="R14" s="46">
        <f>(SUM(H$2:H14)*E$1+A14)/SUM(H$2:H14)</f>
        <v>0.34214743589743585</v>
      </c>
      <c r="S14" s="62"/>
    </row>
    <row r="15" spans="1:22" hidden="1" x14ac:dyDescent="0.3">
      <c r="A15" s="52">
        <f t="shared" si="2"/>
        <v>-6.736111111111176E-2</v>
      </c>
      <c r="B15" s="8" t="s">
        <v>3</v>
      </c>
      <c r="C15" s="9">
        <f t="shared" si="3"/>
        <v>42782</v>
      </c>
      <c r="D15" s="9"/>
      <c r="E15" s="10">
        <v>0.375</v>
      </c>
      <c r="F15" s="10">
        <v>0.75694444444444453</v>
      </c>
      <c r="G15" s="11">
        <v>4</v>
      </c>
      <c r="H15" s="45">
        <v>1</v>
      </c>
      <c r="I15" s="135">
        <f t="shared" si="0"/>
        <v>1.9444444444444431E-2</v>
      </c>
      <c r="J15" s="153">
        <f t="shared" si="1"/>
        <v>-1.9444444444444431E-2</v>
      </c>
      <c r="K15" s="35" t="s">
        <v>408</v>
      </c>
      <c r="L15" s="40">
        <v>104</v>
      </c>
      <c r="M15" s="12">
        <v>0.33333333333333331</v>
      </c>
      <c r="N15" s="7"/>
      <c r="O15" s="141"/>
      <c r="P15" s="45"/>
      <c r="Q15" s="123">
        <f>SUM(E$2:E15)/COUNTA(E$2:E15)</f>
        <v>0.37822420634920634</v>
      </c>
      <c r="R15" s="46">
        <f>(SUM(H$2:H15)*E$1+A15)/SUM(H$2:H15)</f>
        <v>0.34102182539682546</v>
      </c>
      <c r="S15" s="61"/>
    </row>
    <row r="16" spans="1:22" hidden="1" x14ac:dyDescent="0.3">
      <c r="A16" s="52">
        <f t="shared" si="2"/>
        <v>-0.11111111111111188</v>
      </c>
      <c r="B16" s="13" t="s">
        <v>4</v>
      </c>
      <c r="C16" s="14">
        <f t="shared" si="3"/>
        <v>42783</v>
      </c>
      <c r="D16" s="14"/>
      <c r="E16" s="15">
        <v>0.36805555555555558</v>
      </c>
      <c r="F16" s="15">
        <v>0.69791666666666663</v>
      </c>
      <c r="G16" s="16">
        <v>2</v>
      </c>
      <c r="H16" s="17">
        <v>1</v>
      </c>
      <c r="I16" s="136">
        <f>IF(J16&lt;0,-J16,"")</f>
        <v>4.3750000000000122E-2</v>
      </c>
      <c r="J16" s="154">
        <f t="shared" si="1"/>
        <v>-4.3750000000000122E-2</v>
      </c>
      <c r="K16" s="36" t="s">
        <v>408</v>
      </c>
      <c r="L16" s="36">
        <v>119</v>
      </c>
      <c r="M16" s="18">
        <v>0.1875</v>
      </c>
      <c r="N16" s="7"/>
      <c r="O16" s="141"/>
      <c r="P16" s="137">
        <f>A16-A11</f>
        <v>-3.1250000000000222E-2</v>
      </c>
      <c r="Q16" s="123">
        <f>SUM(E$2:E16)/COUNTA(E$2:E16)</f>
        <v>0.37754629629629627</v>
      </c>
      <c r="R16" s="46">
        <f>(SUM(H$2:H16)*E$1+A16)/SUM(H$2:H16)</f>
        <v>0.33842592592592596</v>
      </c>
      <c r="S16" s="41">
        <f>SUM(M12:M16)/COUNTA(M12:M16)</f>
        <v>0.2583333333333333</v>
      </c>
    </row>
    <row r="17" spans="1:19" hidden="1" x14ac:dyDescent="0.3">
      <c r="A17" s="51">
        <f t="shared" si="2"/>
        <v>-8.1944444444445264E-2</v>
      </c>
      <c r="B17" s="2" t="s">
        <v>0</v>
      </c>
      <c r="C17" s="3">
        <f>C12+7</f>
        <v>42786</v>
      </c>
      <c r="D17" s="3"/>
      <c r="E17" s="4">
        <v>0.375</v>
      </c>
      <c r="F17" s="4">
        <v>0.77777777777777779</v>
      </c>
      <c r="G17" s="5">
        <v>2</v>
      </c>
      <c r="H17" s="2">
        <v>1</v>
      </c>
      <c r="I17" s="134" t="str">
        <f t="shared" si="0"/>
        <v/>
      </c>
      <c r="J17" s="152">
        <f>IF(H17=1,F17-E17-MAX(G17,1)*$F$1-$E$1,F17-E17-$E$1*H17)</f>
        <v>2.9166666666666619E-2</v>
      </c>
      <c r="K17" s="34" t="s">
        <v>408</v>
      </c>
      <c r="L17" s="34">
        <v>105</v>
      </c>
      <c r="M17" s="6">
        <v>0.29166666666666669</v>
      </c>
      <c r="N17" s="7"/>
      <c r="O17" s="141"/>
      <c r="P17" s="45"/>
      <c r="Q17" s="123">
        <f>SUM(E$2:E17)/COUNTA(E$2:E17)</f>
        <v>0.37738715277777773</v>
      </c>
      <c r="R17" s="46">
        <f>(SUM(H$2:H17)*E$1+A17)/SUM(H$2:H17)</f>
        <v>0.34071180555555558</v>
      </c>
      <c r="S17" s="61"/>
    </row>
    <row r="18" spans="1:19" hidden="1" x14ac:dyDescent="0.3">
      <c r="A18" s="52">
        <f t="shared" si="2"/>
        <v>-6.3194444444445275E-2</v>
      </c>
      <c r="B18" s="8" t="s">
        <v>1</v>
      </c>
      <c r="C18" s="9">
        <f t="shared" si="3"/>
        <v>42787</v>
      </c>
      <c r="D18" s="9"/>
      <c r="E18" s="10">
        <v>0.375</v>
      </c>
      <c r="F18" s="10">
        <v>0.76736111111111116</v>
      </c>
      <c r="G18" s="11">
        <v>2</v>
      </c>
      <c r="H18" s="45">
        <v>1</v>
      </c>
      <c r="I18" s="135" t="str">
        <f t="shared" si="0"/>
        <v/>
      </c>
      <c r="J18" s="153">
        <f t="shared" si="1"/>
        <v>1.8749999999999989E-2</v>
      </c>
      <c r="K18" s="35">
        <v>105</v>
      </c>
      <c r="L18" s="35">
        <v>105</v>
      </c>
      <c r="M18" s="12">
        <v>0.22916666666666666</v>
      </c>
      <c r="N18" s="7"/>
      <c r="O18" s="141"/>
      <c r="P18" s="45"/>
      <c r="Q18" s="123">
        <f>SUM(E$2:E18)/COUNTA(E$2:E18)</f>
        <v>0.37724673202614373</v>
      </c>
      <c r="R18" s="46">
        <f>(SUM(H$2:H18)*E$1+A18)/SUM(H$2:H18)</f>
        <v>0.34211601307189543</v>
      </c>
      <c r="S18" s="62"/>
    </row>
    <row r="19" spans="1:19" hidden="1" x14ac:dyDescent="0.3">
      <c r="A19" s="52">
        <f t="shared" si="2"/>
        <v>-4.4444444444445397E-2</v>
      </c>
      <c r="B19" s="8" t="s">
        <v>2</v>
      </c>
      <c r="C19" s="9">
        <f t="shared" si="3"/>
        <v>42788</v>
      </c>
      <c r="D19" s="9"/>
      <c r="E19" s="10">
        <v>0.38541666666666669</v>
      </c>
      <c r="F19" s="10">
        <v>0.76388888888888884</v>
      </c>
      <c r="G19" s="11">
        <v>1</v>
      </c>
      <c r="H19" s="45">
        <v>1</v>
      </c>
      <c r="I19" s="135" t="str">
        <f t="shared" si="0"/>
        <v/>
      </c>
      <c r="J19" s="153">
        <f t="shared" si="1"/>
        <v>1.8749999999999878E-2</v>
      </c>
      <c r="K19" s="40">
        <v>103</v>
      </c>
      <c r="L19" s="35">
        <v>103</v>
      </c>
      <c r="M19" s="12">
        <v>8.3333333333333329E-2</v>
      </c>
      <c r="N19" s="7"/>
      <c r="O19" s="141"/>
      <c r="P19" s="45"/>
      <c r="Q19" s="123">
        <f>SUM(E$2:E19)/COUNTA(E$2:E19)</f>
        <v>0.3777006172839506</v>
      </c>
      <c r="R19" s="46">
        <f>(SUM(H$2:H19)*E$1+A19)/SUM(H$2:H19)</f>
        <v>0.34336419753086417</v>
      </c>
      <c r="S19" s="62"/>
    </row>
    <row r="20" spans="1:19" hidden="1" x14ac:dyDescent="0.3">
      <c r="A20" s="52">
        <f t="shared" si="2"/>
        <v>-9.1666666666667729E-2</v>
      </c>
      <c r="B20" s="8" t="s">
        <v>3</v>
      </c>
      <c r="C20" s="9">
        <f t="shared" si="3"/>
        <v>42789</v>
      </c>
      <c r="D20" s="9"/>
      <c r="E20" s="10">
        <v>0.40972222222222227</v>
      </c>
      <c r="F20" s="10">
        <v>0.76388888888888884</v>
      </c>
      <c r="G20" s="11">
        <v>4</v>
      </c>
      <c r="H20" s="45">
        <v>1</v>
      </c>
      <c r="I20" s="135">
        <f t="shared" si="0"/>
        <v>4.7222222222222332E-2</v>
      </c>
      <c r="J20" s="153">
        <f t="shared" si="1"/>
        <v>-4.7222222222222332E-2</v>
      </c>
      <c r="K20" s="40">
        <v>96</v>
      </c>
      <c r="L20" s="35" t="s">
        <v>408</v>
      </c>
      <c r="M20" s="12">
        <v>0.10416666666666667</v>
      </c>
      <c r="N20" s="7"/>
      <c r="O20" s="141"/>
      <c r="P20" s="45"/>
      <c r="Q20" s="123">
        <f>SUM(E$2:E20)/COUNTA(E$2:E20)</f>
        <v>0.37938596491228066</v>
      </c>
      <c r="R20" s="46">
        <f>(SUM(H$2:H20)*E$1+A20)/SUM(H$2:H20)</f>
        <v>0.34100877192982459</v>
      </c>
      <c r="S20" s="61"/>
    </row>
    <row r="21" spans="1:19" hidden="1" x14ac:dyDescent="0.3">
      <c r="A21" s="52">
        <f t="shared" si="2"/>
        <v>-9.1666666666667729E-2</v>
      </c>
      <c r="B21" s="13" t="s">
        <v>4</v>
      </c>
      <c r="C21" s="65">
        <f t="shared" si="3"/>
        <v>42790</v>
      </c>
      <c r="D21" s="65"/>
      <c r="E21" s="15"/>
      <c r="F21" s="15"/>
      <c r="G21" s="16"/>
      <c r="H21" s="17"/>
      <c r="I21" s="136" t="str">
        <f>IF(J21&lt;0,-J21,"")</f>
        <v/>
      </c>
      <c r="J21" s="154">
        <f t="shared" si="1"/>
        <v>0</v>
      </c>
      <c r="K21" s="36" t="s">
        <v>408</v>
      </c>
      <c r="L21" s="36" t="s">
        <v>408</v>
      </c>
      <c r="M21" s="18">
        <v>0.47916666666666669</v>
      </c>
      <c r="N21" s="7"/>
      <c r="O21" s="141"/>
      <c r="P21" s="137">
        <f>A21-A16</f>
        <v>1.9444444444444153E-2</v>
      </c>
      <c r="Q21" s="123">
        <f>SUM(E$2:E21)/COUNTA(E$2:E21)</f>
        <v>0.37938596491228066</v>
      </c>
      <c r="R21" s="46">
        <f>(SUM(H$2:H21)*E$1+A21)/SUM(H$2:H21)</f>
        <v>0.34100877192982459</v>
      </c>
      <c r="S21" s="41">
        <f>SUM(M17:M21)/COUNTA(M17:M21)</f>
        <v>0.23749999999999999</v>
      </c>
    </row>
    <row r="22" spans="1:19" hidden="1" x14ac:dyDescent="0.3">
      <c r="A22" s="69">
        <f>J22</f>
        <v>0.7465277777777779</v>
      </c>
      <c r="B22" s="70" t="s">
        <v>0</v>
      </c>
      <c r="C22" s="71">
        <f t="shared" si="3"/>
        <v>42793</v>
      </c>
      <c r="D22" s="71" t="s">
        <v>115</v>
      </c>
      <c r="E22" s="67">
        <v>0.3888888888888889</v>
      </c>
      <c r="F22" s="67">
        <v>1.1493055555555556</v>
      </c>
      <c r="G22" s="70">
        <v>1</v>
      </c>
      <c r="H22" s="70">
        <v>0</v>
      </c>
      <c r="I22" s="134" t="str">
        <f t="shared" si="0"/>
        <v/>
      </c>
      <c r="J22" s="152">
        <f>IF(H22=1,F22-E22-MAX(G22,1)*$F$1-$E$1,F22-E22-$E$1*H22-MAX(G22,1)*$F$1)</f>
        <v>0.7465277777777779</v>
      </c>
      <c r="K22" s="34" t="s">
        <v>408</v>
      </c>
      <c r="L22" s="66">
        <v>94</v>
      </c>
      <c r="M22" s="6">
        <v>0.16666666666666666</v>
      </c>
      <c r="N22" s="7"/>
      <c r="O22" s="141"/>
      <c r="P22" s="45"/>
      <c r="Q22" s="123"/>
      <c r="R22" s="46">
        <f>(SUM(H$2:H22)*E$1+A22)/SUM(H$2:H22)</f>
        <v>0.38512426900584801</v>
      </c>
      <c r="S22" s="61"/>
    </row>
    <row r="23" spans="1:19" hidden="1" x14ac:dyDescent="0.3">
      <c r="A23" s="72">
        <f t="shared" si="2"/>
        <v>1.2465277777777779</v>
      </c>
      <c r="B23" s="73" t="s">
        <v>1</v>
      </c>
      <c r="C23" s="74">
        <f t="shared" si="3"/>
        <v>42794</v>
      </c>
      <c r="D23" s="74" t="s">
        <v>116</v>
      </c>
      <c r="E23" s="68">
        <v>0.44097222222222227</v>
      </c>
      <c r="F23" s="68">
        <v>1.1493055555555556</v>
      </c>
      <c r="G23" s="73">
        <f>1+14</f>
        <v>15</v>
      </c>
      <c r="H23" s="73">
        <v>0</v>
      </c>
      <c r="I23" s="135" t="str">
        <f t="shared" si="0"/>
        <v/>
      </c>
      <c r="J23" s="153">
        <f>IF(H23=1,F23-E23-MAX(G23,1)*$F$1-$E$1,F23-E23-$E$1*H23-MAX(G23,1)*$F$1)</f>
        <v>0.49999999999999994</v>
      </c>
      <c r="K23" s="35" t="s">
        <v>408</v>
      </c>
      <c r="L23" s="35" t="s">
        <v>408</v>
      </c>
      <c r="M23" s="12">
        <v>0.125</v>
      </c>
      <c r="N23" s="7">
        <f>SUM(H4:H23)</f>
        <v>17</v>
      </c>
      <c r="O23" s="141"/>
      <c r="P23" s="45"/>
      <c r="Q23" s="123"/>
      <c r="R23" s="46">
        <f>(SUM(H$2:H23)*E$1+A23)/SUM(H$2:H23)</f>
        <v>0.41144005847953224</v>
      </c>
      <c r="S23" s="62"/>
    </row>
    <row r="24" spans="1:19" hidden="1" x14ac:dyDescent="0.3">
      <c r="A24" s="72">
        <f t="shared" si="2"/>
        <v>1.791666666666667</v>
      </c>
      <c r="B24" s="73" t="s">
        <v>2</v>
      </c>
      <c r="C24" s="74">
        <f t="shared" si="3"/>
        <v>42795</v>
      </c>
      <c r="D24" s="74" t="s">
        <v>117</v>
      </c>
      <c r="E24" s="68">
        <v>0.27430555555555552</v>
      </c>
      <c r="F24" s="68">
        <v>0.86111111111111116</v>
      </c>
      <c r="G24" s="73">
        <f>1+2</f>
        <v>3</v>
      </c>
      <c r="H24" s="73">
        <v>0</v>
      </c>
      <c r="I24" s="135" t="str">
        <f t="shared" si="0"/>
        <v/>
      </c>
      <c r="J24" s="153">
        <f>IF(H24=1,F24-E24-MAX(G24,1)*$F$1-$E$1,F24-E24-$E$1*H24-MAX(G24,1)*$F$1)</f>
        <v>0.54513888888888895</v>
      </c>
      <c r="K24" s="35" t="s">
        <v>408</v>
      </c>
      <c r="L24" s="35">
        <v>95</v>
      </c>
      <c r="M24" s="12">
        <v>0.14583333333333334</v>
      </c>
      <c r="N24" s="7"/>
      <c r="O24" s="141"/>
      <c r="P24" s="45"/>
      <c r="Q24" s="123"/>
      <c r="R24" s="46">
        <f>(SUM(H$2:H24)*E$1+A24)/SUM(H$2:H24)</f>
        <v>0.44013157894736848</v>
      </c>
      <c r="S24" s="62"/>
    </row>
    <row r="25" spans="1:19" hidden="1" x14ac:dyDescent="0.3">
      <c r="A25" s="52">
        <f>A21+J25</f>
        <v>-0.11805555555555669</v>
      </c>
      <c r="B25" s="8" t="s">
        <v>3</v>
      </c>
      <c r="C25" s="9">
        <f t="shared" si="3"/>
        <v>42796</v>
      </c>
      <c r="D25" s="9" t="s">
        <v>118</v>
      </c>
      <c r="E25" s="10">
        <v>0.3888888888888889</v>
      </c>
      <c r="F25" s="10">
        <v>0.76388888888888884</v>
      </c>
      <c r="G25" s="11">
        <v>4</v>
      </c>
      <c r="H25" s="45">
        <v>1</v>
      </c>
      <c r="I25" s="135">
        <f t="shared" si="0"/>
        <v>2.6388888888888962E-2</v>
      </c>
      <c r="J25" s="153">
        <f>IF(H25=1,F25-E25-MAX(G25,1)*$F$1-$E$1,F25-E25-$E$1*H25)</f>
        <v>-2.6388888888888962E-2</v>
      </c>
      <c r="K25" s="40">
        <v>90</v>
      </c>
      <c r="L25" s="40">
        <v>90</v>
      </c>
      <c r="M25" s="12">
        <v>0.22916666666666666</v>
      </c>
      <c r="N25" s="7"/>
      <c r="O25" s="141"/>
      <c r="P25" s="45"/>
      <c r="Q25" s="123">
        <f>(SUM(E$2:E$21)+SUM(E$25:E25))/(COUNTA(E$2:E25)-3)</f>
        <v>0.37986111111111109</v>
      </c>
      <c r="R25" s="46">
        <f>(SUM(H$2:H25)*E$1+A25)/SUM(H$2:H25)</f>
        <v>0.33993055555555551</v>
      </c>
      <c r="S25" s="61"/>
    </row>
    <row r="26" spans="1:19" hidden="1" x14ac:dyDescent="0.3">
      <c r="A26" s="52">
        <f t="shared" si="2"/>
        <v>-0.12430555555555675</v>
      </c>
      <c r="B26" s="13" t="s">
        <v>4</v>
      </c>
      <c r="C26" s="14">
        <f t="shared" si="3"/>
        <v>42797</v>
      </c>
      <c r="D26" s="14" t="s">
        <v>119</v>
      </c>
      <c r="E26" s="15">
        <v>0.375</v>
      </c>
      <c r="F26" s="15">
        <v>0.54166666666666663</v>
      </c>
      <c r="G26" s="16">
        <v>0</v>
      </c>
      <c r="H26" s="17">
        <v>0.5</v>
      </c>
      <c r="I26" s="136">
        <f>IF(J26&lt;0,-J26,"")</f>
        <v>6.2500000000000611E-3</v>
      </c>
      <c r="J26" s="154">
        <f t="shared" si="1"/>
        <v>-6.2500000000000611E-3</v>
      </c>
      <c r="K26" s="75">
        <v>90</v>
      </c>
      <c r="L26" s="36">
        <v>92</v>
      </c>
      <c r="M26" s="18">
        <v>0.25</v>
      </c>
      <c r="N26" s="7"/>
      <c r="O26" s="141"/>
      <c r="P26" s="137">
        <f>A26-A21</f>
        <v>-3.2638888888889023E-2</v>
      </c>
      <c r="Q26" s="123">
        <f>(SUM(E$2:E$21)+SUM(E$25:E26))/(COUNTA(E$2:E26)-3)</f>
        <v>0.37962962962962959</v>
      </c>
      <c r="R26" s="46">
        <f>(SUM(H$2:H26)*E$1+A26)/SUM(H$2:H26)</f>
        <v>0.33976964769647694</v>
      </c>
      <c r="S26" s="41">
        <f>SUM(M22:M26)/COUNTA(M22:M26)</f>
        <v>0.18333333333333332</v>
      </c>
    </row>
    <row r="27" spans="1:19" hidden="1" x14ac:dyDescent="0.3">
      <c r="A27" s="51">
        <f t="shared" si="2"/>
        <v>-0.11250000000000129</v>
      </c>
      <c r="B27" s="2" t="s">
        <v>0</v>
      </c>
      <c r="C27" s="3">
        <f>C22+7</f>
        <v>42800</v>
      </c>
      <c r="D27" s="3" t="s">
        <v>120</v>
      </c>
      <c r="E27" s="4">
        <v>0.3923611111111111</v>
      </c>
      <c r="F27" s="4">
        <v>0.76388888888888884</v>
      </c>
      <c r="G27" s="5">
        <v>1</v>
      </c>
      <c r="H27" s="2">
        <v>1</v>
      </c>
      <c r="I27" s="134" t="str">
        <f t="shared" si="0"/>
        <v/>
      </c>
      <c r="J27" s="152">
        <f>IF(H27=1,F27-E27-MAX(G27,1)*$F$1-$E$1,F27-E27-$E$1*H27)</f>
        <v>1.1805555555555458E-2</v>
      </c>
      <c r="K27" s="34">
        <v>106</v>
      </c>
      <c r="L27" s="34">
        <v>102</v>
      </c>
      <c r="M27" s="6">
        <v>0.125</v>
      </c>
      <c r="N27" s="7"/>
      <c r="O27" s="141"/>
      <c r="P27" s="45"/>
      <c r="Q27" s="123">
        <f>(SUM(E$2:E$21)+SUM(E$25:E27))/(COUNTA(E$2:E27)-3)</f>
        <v>0.38020833333333326</v>
      </c>
      <c r="R27" s="46">
        <f>(SUM(H$2:H27)*E$1+A27)/SUM(H$2:H27)</f>
        <v>0.34060077519379844</v>
      </c>
      <c r="S27" s="61"/>
    </row>
    <row r="28" spans="1:19" hidden="1" x14ac:dyDescent="0.3">
      <c r="A28" s="52">
        <f t="shared" si="2"/>
        <v>-0.11111111111111252</v>
      </c>
      <c r="B28" s="8" t="s">
        <v>1</v>
      </c>
      <c r="C28" s="9">
        <f t="shared" si="3"/>
        <v>42801</v>
      </c>
      <c r="D28" s="9" t="s">
        <v>121</v>
      </c>
      <c r="E28" s="10">
        <v>0.38541666666666669</v>
      </c>
      <c r="F28" s="10">
        <v>0.76041666666666663</v>
      </c>
      <c r="G28" s="11">
        <v>2</v>
      </c>
      <c r="H28" s="45">
        <v>1</v>
      </c>
      <c r="I28" s="135" t="str">
        <f t="shared" si="0"/>
        <v/>
      </c>
      <c r="J28" s="153">
        <f t="shared" si="1"/>
        <v>1.3888888888887729E-3</v>
      </c>
      <c r="K28" s="35">
        <v>93</v>
      </c>
      <c r="L28" s="35">
        <v>93</v>
      </c>
      <c r="M28" s="12">
        <v>0.375</v>
      </c>
      <c r="N28" s="7"/>
      <c r="O28" s="141"/>
      <c r="P28" s="45"/>
      <c r="Q28" s="123">
        <f>(SUM(E$2:E$21)+SUM(E$25:E28))/(COUNTA(E$2:E28)-3)</f>
        <v>0.38043478260869568</v>
      </c>
      <c r="R28" s="46">
        <f>(SUM(H$2:H28)*E$1+A28)/SUM(H$2:H28)</f>
        <v>0.34089506172839507</v>
      </c>
      <c r="S28" s="62"/>
    </row>
    <row r="29" spans="1:19" hidden="1" x14ac:dyDescent="0.3">
      <c r="A29" s="52">
        <f t="shared" si="2"/>
        <v>-0.11666666666666817</v>
      </c>
      <c r="B29" s="8" t="s">
        <v>2</v>
      </c>
      <c r="C29" s="9">
        <f t="shared" si="3"/>
        <v>42802</v>
      </c>
      <c r="D29" s="9" t="s">
        <v>122</v>
      </c>
      <c r="E29" s="10">
        <v>0.38541666666666669</v>
      </c>
      <c r="F29" s="10">
        <v>0.75347222222222221</v>
      </c>
      <c r="G29" s="11">
        <v>2</v>
      </c>
      <c r="H29" s="45">
        <v>1</v>
      </c>
      <c r="I29" s="135">
        <f t="shared" si="0"/>
        <v>5.5555555555556468E-3</v>
      </c>
      <c r="J29" s="153">
        <f t="shared" si="1"/>
        <v>-5.5555555555556468E-3</v>
      </c>
      <c r="K29" s="35">
        <v>93</v>
      </c>
      <c r="L29" s="35">
        <v>97</v>
      </c>
      <c r="M29" s="12">
        <v>0.3125</v>
      </c>
      <c r="N29" s="7"/>
      <c r="O29" s="141"/>
      <c r="P29" s="45"/>
      <c r="Q29" s="123">
        <f>(SUM(E$2:E$21)+SUM(E$25:E29))/(COUNTA(E$2:E29)-3)</f>
        <v>0.3806423611111111</v>
      </c>
      <c r="R29" s="46">
        <f>(SUM(H$2:H29)*E$1+A29)/SUM(H$2:H29)</f>
        <v>0.34086879432624112</v>
      </c>
      <c r="S29" s="62"/>
    </row>
    <row r="30" spans="1:19" hidden="1" x14ac:dyDescent="0.3">
      <c r="A30" s="52">
        <f t="shared" si="2"/>
        <v>-7.7083333333334919E-2</v>
      </c>
      <c r="B30" s="8" t="s">
        <v>3</v>
      </c>
      <c r="C30" s="9">
        <f t="shared" si="3"/>
        <v>42803</v>
      </c>
      <c r="D30" s="9" t="s">
        <v>123</v>
      </c>
      <c r="E30" s="10">
        <v>0.43055555555555558</v>
      </c>
      <c r="F30" s="10">
        <v>0.88541666666666663</v>
      </c>
      <c r="G30" s="11">
        <v>5</v>
      </c>
      <c r="H30" s="45">
        <v>1</v>
      </c>
      <c r="I30" s="135" t="str">
        <f t="shared" si="0"/>
        <v/>
      </c>
      <c r="J30" s="153">
        <f t="shared" si="1"/>
        <v>3.9583333333333248E-2</v>
      </c>
      <c r="K30" s="35" t="s">
        <v>408</v>
      </c>
      <c r="L30" s="77">
        <v>74</v>
      </c>
      <c r="M30" s="12">
        <v>0.20833333333333334</v>
      </c>
      <c r="N30" s="7"/>
      <c r="O30" s="141"/>
      <c r="P30" s="45"/>
      <c r="Q30" s="123">
        <f>(SUM(E$2:E$21)+SUM(E$25:E30))/(COUNTA(E$2:E30)-3)</f>
        <v>0.38263888888888886</v>
      </c>
      <c r="R30" s="46">
        <f>(SUM(H$2:H30)*E$1+A30)/SUM(H$2:H30)</f>
        <v>0.34268707482993199</v>
      </c>
      <c r="S30" s="61"/>
    </row>
    <row r="31" spans="1:19" hidden="1" x14ac:dyDescent="0.3">
      <c r="A31" s="52">
        <f t="shared" si="2"/>
        <v>-9.6527777777779461E-2</v>
      </c>
      <c r="B31" s="13" t="s">
        <v>4</v>
      </c>
      <c r="C31" s="14">
        <f t="shared" si="3"/>
        <v>42804</v>
      </c>
      <c r="D31" s="14" t="s">
        <v>124</v>
      </c>
      <c r="E31" s="15">
        <v>0.37847222222222227</v>
      </c>
      <c r="F31" s="15">
        <v>0.71875</v>
      </c>
      <c r="G31" s="16">
        <v>1</v>
      </c>
      <c r="H31" s="17">
        <v>1</v>
      </c>
      <c r="I31" s="136">
        <f>IF(J31&lt;0,-J31,"")</f>
        <v>1.9444444444444542E-2</v>
      </c>
      <c r="J31" s="154">
        <f t="shared" si="1"/>
        <v>-1.9444444444444542E-2</v>
      </c>
      <c r="K31" s="75">
        <v>86</v>
      </c>
      <c r="L31" s="75">
        <v>85</v>
      </c>
      <c r="M31" s="18">
        <v>0.27083333333333331</v>
      </c>
      <c r="N31" s="7"/>
      <c r="O31" s="141"/>
      <c r="P31" s="137">
        <f>A31-A26</f>
        <v>2.7777777777777291E-2</v>
      </c>
      <c r="Q31" s="123">
        <f>(SUM(E$2:E$21)+SUM(E$25:E31))/(COUNTA(E$2:E31)-3)</f>
        <v>0.38247863247863251</v>
      </c>
      <c r="R31" s="46">
        <f>(SUM(H$2:H31)*E$1+A31)/SUM(H$2:H31)</f>
        <v>0.34204793028322439</v>
      </c>
      <c r="S31" s="41">
        <f>SUM(M27:M31)/COUNTA(M27:M31)</f>
        <v>0.2583333333333333</v>
      </c>
    </row>
    <row r="32" spans="1:19" hidden="1" x14ac:dyDescent="0.3">
      <c r="A32" s="51">
        <f t="shared" si="2"/>
        <v>-7.0833333333335163E-2</v>
      </c>
      <c r="B32" s="2" t="s">
        <v>0</v>
      </c>
      <c r="C32" s="3">
        <f t="shared" si="3"/>
        <v>42807</v>
      </c>
      <c r="D32" s="3" t="s">
        <v>125</v>
      </c>
      <c r="E32" s="4">
        <v>0.37847222222222227</v>
      </c>
      <c r="F32" s="4">
        <v>0.76388888888888884</v>
      </c>
      <c r="G32" s="5">
        <v>1</v>
      </c>
      <c r="H32" s="2">
        <v>1</v>
      </c>
      <c r="I32" s="134" t="str">
        <f t="shared" si="0"/>
        <v/>
      </c>
      <c r="J32" s="152">
        <f>IF(H32=1,F32-E32-MAX(G32,1)*$F$1-$E$1,F32-E32-$E$1*H32)</f>
        <v>2.5694444444444298E-2</v>
      </c>
      <c r="K32" s="34">
        <v>94</v>
      </c>
      <c r="L32" s="34">
        <v>94</v>
      </c>
      <c r="M32" s="6">
        <v>0.3125</v>
      </c>
      <c r="N32" s="7"/>
      <c r="O32" s="141"/>
      <c r="P32" s="45"/>
      <c r="Q32" s="123">
        <f>(SUM(E$2:E$21)+SUM(E$25:E32))/(COUNTA(E$2:E32)-3)</f>
        <v>0.38233024691358031</v>
      </c>
      <c r="R32" s="46">
        <f>(SUM(H$2:H32)*E$1+A32)/SUM(H$2:H32)</f>
        <v>0.34316037735849059</v>
      </c>
      <c r="S32" s="61"/>
    </row>
    <row r="33" spans="1:19" hidden="1" x14ac:dyDescent="0.3">
      <c r="A33" s="52">
        <f t="shared" si="2"/>
        <v>-7.6388888888890699E-2</v>
      </c>
      <c r="B33" s="8" t="s">
        <v>1</v>
      </c>
      <c r="C33" s="9">
        <f t="shared" si="3"/>
        <v>42808</v>
      </c>
      <c r="D33" s="9" t="s">
        <v>126</v>
      </c>
      <c r="E33" s="10">
        <v>0.3888888888888889</v>
      </c>
      <c r="F33" s="10">
        <v>0.75694444444444453</v>
      </c>
      <c r="G33" s="11">
        <v>2</v>
      </c>
      <c r="H33" s="45">
        <v>1</v>
      </c>
      <c r="I33" s="135">
        <f t="shared" si="0"/>
        <v>5.5555555555555358E-3</v>
      </c>
      <c r="J33" s="153">
        <f t="shared" si="1"/>
        <v>-5.5555555555555358E-3</v>
      </c>
      <c r="K33" s="35">
        <v>89</v>
      </c>
      <c r="L33" s="35" t="s">
        <v>408</v>
      </c>
      <c r="M33" s="12">
        <v>0.25</v>
      </c>
      <c r="N33" s="7"/>
      <c r="O33" s="141"/>
      <c r="P33" s="45"/>
      <c r="Q33" s="123">
        <f>(SUM(E$2:E$21)+SUM(E$25:E33))/(COUNTA(E$2:E33)-3)</f>
        <v>0.38256448412698413</v>
      </c>
      <c r="R33" s="46">
        <f>(SUM(H$2:H33)*E$1+A33)/SUM(H$2:H33)</f>
        <v>0.3430555555555555</v>
      </c>
      <c r="S33" s="62"/>
    </row>
    <row r="34" spans="1:19" hidden="1" x14ac:dyDescent="0.3">
      <c r="A34" s="52">
        <f t="shared" si="2"/>
        <v>-6.8055555555557395E-2</v>
      </c>
      <c r="B34" s="8" t="s">
        <v>2</v>
      </c>
      <c r="C34" s="9">
        <f t="shared" si="3"/>
        <v>42809</v>
      </c>
      <c r="D34" s="9" t="s">
        <v>127</v>
      </c>
      <c r="E34" s="10">
        <v>0.39930555555555558</v>
      </c>
      <c r="F34" s="10">
        <v>0.76736111111111116</v>
      </c>
      <c r="G34" s="11">
        <v>1</v>
      </c>
      <c r="H34" s="45">
        <v>1</v>
      </c>
      <c r="I34" s="135" t="str">
        <f t="shared" si="0"/>
        <v/>
      </c>
      <c r="J34" s="153">
        <f t="shared" si="1"/>
        <v>8.3333333333333037E-3</v>
      </c>
      <c r="K34" s="35">
        <v>92</v>
      </c>
      <c r="L34" s="40">
        <v>83</v>
      </c>
      <c r="M34" s="12">
        <v>0.25</v>
      </c>
      <c r="N34" s="7"/>
      <c r="O34" s="141"/>
      <c r="P34" s="45"/>
      <c r="Q34" s="123">
        <f>(SUM(E$2:E$21)+SUM(E$25:E34))/(COUNTA(E$2:E34)-3)</f>
        <v>0.38314176245210729</v>
      </c>
      <c r="R34" s="46">
        <f>(SUM(H$2:H34)*E$1+A34)/SUM(H$2:H34)</f>
        <v>0.34344541910331378</v>
      </c>
      <c r="S34" s="62"/>
    </row>
    <row r="35" spans="1:19" hidden="1" x14ac:dyDescent="0.3">
      <c r="A35" s="52">
        <f t="shared" si="2"/>
        <v>-6.6666666666668678E-2</v>
      </c>
      <c r="B35" s="8" t="s">
        <v>3</v>
      </c>
      <c r="C35" s="9">
        <f t="shared" si="3"/>
        <v>42810</v>
      </c>
      <c r="D35" s="9" t="s">
        <v>128</v>
      </c>
      <c r="E35" s="10">
        <v>0.38541666666666669</v>
      </c>
      <c r="F35" s="10">
        <v>0.77430555555555547</v>
      </c>
      <c r="G35" s="11">
        <v>3</v>
      </c>
      <c r="H35" s="45">
        <v>1</v>
      </c>
      <c r="I35" s="135" t="str">
        <f t="shared" si="0"/>
        <v/>
      </c>
      <c r="J35" s="153">
        <f t="shared" si="1"/>
        <v>1.3888888888887174E-3</v>
      </c>
      <c r="K35" s="40">
        <v>83</v>
      </c>
      <c r="L35" s="40">
        <v>83</v>
      </c>
      <c r="M35" s="12">
        <v>0.16666666666666666</v>
      </c>
      <c r="N35" s="7"/>
      <c r="O35" s="141"/>
      <c r="P35" s="45"/>
      <c r="Q35" s="123">
        <f>(SUM(E$2:E$21)+SUM(E$25:E35))/(COUNTA(E$2:E35)-3)</f>
        <v>0.38321759259259264</v>
      </c>
      <c r="R35" s="46">
        <f>(SUM(H$2:H35)*E$1+A35)/SUM(H$2:H35)</f>
        <v>0.34357344632768361</v>
      </c>
      <c r="S35" s="61"/>
    </row>
    <row r="36" spans="1:19" hidden="1" x14ac:dyDescent="0.3">
      <c r="A36" s="52">
        <f t="shared" si="2"/>
        <v>-8.263888888889101E-2</v>
      </c>
      <c r="B36" s="13" t="s">
        <v>4</v>
      </c>
      <c r="C36" s="14">
        <f t="shared" si="3"/>
        <v>42811</v>
      </c>
      <c r="D36" s="14" t="s">
        <v>129</v>
      </c>
      <c r="E36" s="15">
        <v>0.38541666666666669</v>
      </c>
      <c r="F36" s="15">
        <v>0.72916666666666663</v>
      </c>
      <c r="G36" s="16">
        <v>0</v>
      </c>
      <c r="H36" s="17">
        <v>1</v>
      </c>
      <c r="I36" s="136">
        <f>IF(J36&lt;0,-J36,"")</f>
        <v>1.5972222222222332E-2</v>
      </c>
      <c r="J36" s="154">
        <f t="shared" si="1"/>
        <v>-1.5972222222222332E-2</v>
      </c>
      <c r="K36" s="36" t="s">
        <v>408</v>
      </c>
      <c r="L36" s="75">
        <v>79</v>
      </c>
      <c r="M36" s="18">
        <v>0.22916666666666666</v>
      </c>
      <c r="N36" s="7"/>
      <c r="O36" s="141"/>
      <c r="P36" s="137">
        <f>A36-A31</f>
        <v>1.3888888888888451E-2</v>
      </c>
      <c r="Q36" s="123">
        <f>(SUM(E$2:E$21)+SUM(E$25:E36))/(COUNTA(E$2:E36)-3)</f>
        <v>0.38328853046594991</v>
      </c>
      <c r="R36" s="46">
        <f>(SUM(H$2:H36)*E$1+A36)/SUM(H$2:H36)</f>
        <v>0.3431238615664845</v>
      </c>
      <c r="S36" s="41">
        <f>SUM(M32:M36)/COUNTA(M32:M36)</f>
        <v>0.24166666666666664</v>
      </c>
    </row>
    <row r="37" spans="1:19" hidden="1" x14ac:dyDescent="0.3">
      <c r="A37" s="51">
        <f t="shared" si="2"/>
        <v>-8.1250000000002293E-2</v>
      </c>
      <c r="B37" s="2" t="s">
        <v>0</v>
      </c>
      <c r="C37" s="3">
        <f>C32+7</f>
        <v>42814</v>
      </c>
      <c r="D37" s="3" t="s">
        <v>8</v>
      </c>
      <c r="E37" s="4">
        <v>0.38541666666666669</v>
      </c>
      <c r="F37" s="4">
        <v>0.77430555555555547</v>
      </c>
      <c r="G37" s="5">
        <v>3</v>
      </c>
      <c r="H37" s="2">
        <v>1</v>
      </c>
      <c r="I37" s="134" t="str">
        <f t="shared" si="0"/>
        <v/>
      </c>
      <c r="J37" s="152">
        <f>IF(H37=1,F37-E37-MAX(G37,1)*$F$1-$E$1,F37-E37-$E$1*H37)</f>
        <v>1.3888888888887174E-3</v>
      </c>
      <c r="K37" s="34">
        <v>90</v>
      </c>
      <c r="L37" s="34">
        <v>80</v>
      </c>
      <c r="M37" s="6">
        <v>0.27083333333333331</v>
      </c>
      <c r="N37" s="7"/>
      <c r="O37" s="141"/>
      <c r="P37" s="45"/>
      <c r="Q37" s="123">
        <f>(SUM(E$2:E$21)+SUM(E$25:E37))/(COUNTA(E$2:E37)-3)</f>
        <v>0.38335503472222227</v>
      </c>
      <c r="R37" s="46">
        <f>(SUM(H$2:H37)*E$1+A37)/SUM(H$2:H37)</f>
        <v>0.3432539682539682</v>
      </c>
      <c r="S37" s="61"/>
    </row>
    <row r="38" spans="1:19" hidden="1" x14ac:dyDescent="0.3">
      <c r="A38" s="52">
        <f t="shared" si="2"/>
        <v>-7.2916666666669044E-2</v>
      </c>
      <c r="B38" s="8" t="s">
        <v>1</v>
      </c>
      <c r="C38" s="9">
        <f t="shared" si="3"/>
        <v>42815</v>
      </c>
      <c r="D38" s="9" t="s">
        <v>9</v>
      </c>
      <c r="E38" s="10">
        <v>0.38194444444444442</v>
      </c>
      <c r="F38" s="10">
        <v>0.76388888888888884</v>
      </c>
      <c r="G38" s="11">
        <v>2</v>
      </c>
      <c r="H38" s="45">
        <v>1</v>
      </c>
      <c r="I38" s="135" t="str">
        <f t="shared" si="0"/>
        <v/>
      </c>
      <c r="J38" s="153">
        <f t="shared" si="1"/>
        <v>8.3333333333332482E-3</v>
      </c>
      <c r="K38" s="35" t="s">
        <v>408</v>
      </c>
      <c r="L38" s="40">
        <v>78</v>
      </c>
      <c r="M38" s="12">
        <v>0.20833333333333334</v>
      </c>
      <c r="N38" s="7"/>
      <c r="O38" s="141"/>
      <c r="P38" s="45"/>
      <c r="Q38" s="123">
        <f>(SUM(E$2:E$21)+SUM(E$25:E38))/(COUNTA(E$2:E38)-3)</f>
        <v>0.38331228956228963</v>
      </c>
      <c r="R38" s="46">
        <f>(SUM(H$2:H38)*E$1+A38)/SUM(H$2:H38)</f>
        <v>0.34358974358974359</v>
      </c>
      <c r="S38" s="62"/>
    </row>
    <row r="39" spans="1:19" hidden="1" x14ac:dyDescent="0.3">
      <c r="A39" s="52">
        <f t="shared" si="2"/>
        <v>-5.7638888888891376E-2</v>
      </c>
      <c r="B39" s="8" t="s">
        <v>2</v>
      </c>
      <c r="C39" s="9">
        <f t="shared" si="3"/>
        <v>42816</v>
      </c>
      <c r="D39" s="9" t="s">
        <v>10</v>
      </c>
      <c r="E39" s="10">
        <v>0.375</v>
      </c>
      <c r="F39" s="10">
        <v>0.76388888888888884</v>
      </c>
      <c r="G39" s="11">
        <v>2</v>
      </c>
      <c r="H39" s="45">
        <v>1</v>
      </c>
      <c r="I39" s="135" t="str">
        <f t="shared" si="0"/>
        <v/>
      </c>
      <c r="J39" s="153">
        <f t="shared" si="1"/>
        <v>1.5277777777777668E-2</v>
      </c>
      <c r="K39" s="35" t="s">
        <v>408</v>
      </c>
      <c r="L39" s="35" t="s">
        <v>408</v>
      </c>
      <c r="M39" s="12">
        <v>0.1875</v>
      </c>
      <c r="N39" s="7"/>
      <c r="O39" s="141"/>
      <c r="P39" s="45"/>
      <c r="Q39" s="123">
        <f>(SUM(E$2:E$21)+SUM(E$25:E39))/(COUNTA(E$2:E39)-3)</f>
        <v>0.38306781045751637</v>
      </c>
      <c r="R39" s="46">
        <f>(SUM(H$2:H39)*E$1+A39)/SUM(H$2:H39)</f>
        <v>0.3441127694859038</v>
      </c>
      <c r="S39" s="62"/>
    </row>
    <row r="40" spans="1:19" hidden="1" x14ac:dyDescent="0.3">
      <c r="A40" s="52">
        <f t="shared" si="2"/>
        <v>-6.6666666666669178E-2</v>
      </c>
      <c r="B40" s="8" t="s">
        <v>3</v>
      </c>
      <c r="C40" s="9">
        <f t="shared" si="3"/>
        <v>42817</v>
      </c>
      <c r="D40" s="9" t="s">
        <v>11</v>
      </c>
      <c r="E40" s="10">
        <v>0.37152777777777773</v>
      </c>
      <c r="F40" s="10">
        <v>0.72222222222222221</v>
      </c>
      <c r="G40" s="11">
        <v>0</v>
      </c>
      <c r="H40" s="45">
        <v>1</v>
      </c>
      <c r="I40" s="135">
        <f t="shared" si="0"/>
        <v>9.0277777777778012E-3</v>
      </c>
      <c r="J40" s="153">
        <f t="shared" si="1"/>
        <v>-9.0277777777778012E-3</v>
      </c>
      <c r="K40" s="35" t="s">
        <v>408</v>
      </c>
      <c r="L40" s="35">
        <v>80</v>
      </c>
      <c r="M40" s="12">
        <v>0.27083333333333331</v>
      </c>
      <c r="N40" s="7"/>
      <c r="O40" s="141"/>
      <c r="P40" s="45"/>
      <c r="Q40" s="123">
        <f>(SUM(E$2:E$21)+SUM(E$25:E40))/(COUNTA(E$2:E40)-3)</f>
        <v>0.38273809523809532</v>
      </c>
      <c r="R40" s="46">
        <f>(SUM(H$2:H40)*E$1+A40)/SUM(H$2:H40)</f>
        <v>0.34390096618357485</v>
      </c>
      <c r="S40" s="61"/>
    </row>
    <row r="41" spans="1:19" hidden="1" x14ac:dyDescent="0.3">
      <c r="A41" s="52">
        <f t="shared" si="2"/>
        <v>-7.5694444444447034E-2</v>
      </c>
      <c r="B41" s="13" t="s">
        <v>4</v>
      </c>
      <c r="C41" s="14">
        <f t="shared" si="3"/>
        <v>42818</v>
      </c>
      <c r="D41" s="14" t="s">
        <v>12</v>
      </c>
      <c r="E41" s="15">
        <v>0.38194444444444442</v>
      </c>
      <c r="F41" s="15">
        <v>0.73263888888888884</v>
      </c>
      <c r="G41" s="16">
        <v>1</v>
      </c>
      <c r="H41" s="17">
        <v>1</v>
      </c>
      <c r="I41" s="136">
        <f>IF(J41&lt;0,-J41,"")</f>
        <v>9.0277777777778567E-3</v>
      </c>
      <c r="J41" s="154">
        <f t="shared" si="1"/>
        <v>-9.0277777777778567E-3</v>
      </c>
      <c r="K41" s="36">
        <v>80</v>
      </c>
      <c r="L41" s="36">
        <v>80</v>
      </c>
      <c r="M41" s="18">
        <v>0.20833333333333334</v>
      </c>
      <c r="N41" s="7"/>
      <c r="O41" s="141"/>
      <c r="P41" s="137">
        <f>A41-A36</f>
        <v>6.9444444444439757E-3</v>
      </c>
      <c r="Q41" s="123">
        <f>(SUM(E$2:E$21)+SUM(E$25:E41))/(COUNTA(E$2:E41)-3)</f>
        <v>0.38271604938271608</v>
      </c>
      <c r="R41" s="46">
        <f>(SUM(H$2:H41)*E$1+A41)/SUM(H$2:H41)</f>
        <v>0.34370109546165878</v>
      </c>
      <c r="S41" s="41">
        <f>SUM(M37:M41)/COUNTA(M37:M41)</f>
        <v>0.22916666666666666</v>
      </c>
    </row>
    <row r="42" spans="1:19" hidden="1" x14ac:dyDescent="0.3">
      <c r="A42" s="51">
        <f t="shared" si="2"/>
        <v>-6.0416666666669422E-2</v>
      </c>
      <c r="B42" s="2" t="s">
        <v>0</v>
      </c>
      <c r="C42" s="3">
        <f t="shared" si="3"/>
        <v>42821</v>
      </c>
      <c r="D42" s="3" t="s">
        <v>13</v>
      </c>
      <c r="E42" s="4">
        <v>0.38541666666666669</v>
      </c>
      <c r="F42" s="4">
        <v>0.77430555555555547</v>
      </c>
      <c r="G42" s="5">
        <v>2</v>
      </c>
      <c r="H42" s="2">
        <v>1</v>
      </c>
      <c r="I42" s="134" t="str">
        <f t="shared" si="0"/>
        <v/>
      </c>
      <c r="J42" s="152">
        <f>IF(H42=1,F42-E42-MAX(G42,1)*$F$1-$E$1,F42-E42-$E$1*H42)</f>
        <v>1.5277777777777612E-2</v>
      </c>
      <c r="K42" s="34">
        <v>90</v>
      </c>
      <c r="L42" s="34">
        <v>88</v>
      </c>
      <c r="M42" s="6">
        <v>8.3333333333333329E-2</v>
      </c>
      <c r="N42" s="7"/>
      <c r="O42" s="141"/>
      <c r="P42" s="45"/>
      <c r="Q42" s="123">
        <f>(SUM(E$2:E$21)+SUM(E$25:E42))/(COUNTA(E$2:E42)-3)</f>
        <v>0.3827890390390391</v>
      </c>
      <c r="R42" s="46">
        <f>(SUM(H$2:H42)*E$1+A42)/SUM(H$2:H42)</f>
        <v>0.34417808219178081</v>
      </c>
      <c r="S42" s="61"/>
    </row>
    <row r="43" spans="1:19" hidden="1" x14ac:dyDescent="0.3">
      <c r="A43" s="52">
        <f t="shared" si="2"/>
        <v>-4.5138888888891643E-2</v>
      </c>
      <c r="B43" s="8" t="s">
        <v>1</v>
      </c>
      <c r="C43" s="9">
        <f t="shared" si="3"/>
        <v>42822</v>
      </c>
      <c r="D43" s="9" t="s">
        <v>14</v>
      </c>
      <c r="E43" s="10">
        <v>0.38194444444444442</v>
      </c>
      <c r="F43" s="10">
        <v>0.77083333333333337</v>
      </c>
      <c r="G43" s="11">
        <v>2</v>
      </c>
      <c r="H43" s="45">
        <v>1</v>
      </c>
      <c r="I43" s="135" t="str">
        <f t="shared" si="0"/>
        <v/>
      </c>
      <c r="J43" s="153">
        <f t="shared" si="1"/>
        <v>1.5277777777777779E-2</v>
      </c>
      <c r="K43" s="35">
        <v>81</v>
      </c>
      <c r="L43" s="35">
        <v>80</v>
      </c>
      <c r="M43" s="12">
        <v>0.125</v>
      </c>
      <c r="N43" s="7"/>
      <c r="O43" s="141"/>
      <c r="P43" s="45"/>
      <c r="Q43" s="123">
        <f>(SUM(E$2:E$21)+SUM(E$25:E43))/(COUNTA(E$2:E43)-3)</f>
        <v>0.38276681286549713</v>
      </c>
      <c r="R43" s="46">
        <f>(SUM(H$2:H43)*E$1+A43)/SUM(H$2:H43)</f>
        <v>0.34462962962962962</v>
      </c>
      <c r="S43" s="62"/>
    </row>
    <row r="44" spans="1:19" hidden="1" x14ac:dyDescent="0.3">
      <c r="A44" s="52">
        <f t="shared" si="2"/>
        <v>-2.6388888888891765E-2</v>
      </c>
      <c r="B44" s="8" t="s">
        <v>2</v>
      </c>
      <c r="C44" s="9">
        <f t="shared" si="3"/>
        <v>42823</v>
      </c>
      <c r="D44" s="9" t="s">
        <v>15</v>
      </c>
      <c r="E44" s="10">
        <v>0.38194444444444442</v>
      </c>
      <c r="F44" s="10">
        <v>0.77430555555555547</v>
      </c>
      <c r="G44" s="11">
        <v>2</v>
      </c>
      <c r="H44" s="45">
        <v>1</v>
      </c>
      <c r="I44" s="135" t="str">
        <f t="shared" si="0"/>
        <v/>
      </c>
      <c r="J44" s="153">
        <f t="shared" si="1"/>
        <v>1.8749999999999878E-2</v>
      </c>
      <c r="K44" s="40">
        <v>74</v>
      </c>
      <c r="L44" s="78">
        <v>68</v>
      </c>
      <c r="M44" s="12">
        <v>8.3333333333333329E-2</v>
      </c>
      <c r="N44" s="7"/>
      <c r="O44" s="141"/>
      <c r="P44" s="45"/>
      <c r="Q44" s="123">
        <f>(SUM(E$2:E$21)+SUM(E$25:E44))/(COUNTA(E$2:E44)-3)</f>
        <v>0.38274572649572658</v>
      </c>
      <c r="R44" s="46">
        <f>(SUM(H$2:H44)*E$1+A44)/SUM(H$2:H44)</f>
        <v>0.34514790764790759</v>
      </c>
      <c r="S44" s="62"/>
    </row>
    <row r="45" spans="1:19" hidden="1" x14ac:dyDescent="0.3">
      <c r="A45" s="52">
        <f t="shared" si="2"/>
        <v>-6.6666666666669455E-2</v>
      </c>
      <c r="B45" s="8" t="s">
        <v>3</v>
      </c>
      <c r="C45" s="9">
        <f t="shared" si="3"/>
        <v>42824</v>
      </c>
      <c r="D45" s="9" t="s">
        <v>16</v>
      </c>
      <c r="E45" s="10">
        <v>0.38194444444444442</v>
      </c>
      <c r="F45" s="10">
        <v>0.75694444444444453</v>
      </c>
      <c r="G45" s="11">
        <v>5</v>
      </c>
      <c r="H45" s="45">
        <v>1</v>
      </c>
      <c r="I45" s="135">
        <f t="shared" si="0"/>
        <v>4.027777777777769E-2</v>
      </c>
      <c r="J45" s="153">
        <f t="shared" si="1"/>
        <v>-4.027777777777769E-2</v>
      </c>
      <c r="K45" s="35" t="s">
        <v>408</v>
      </c>
      <c r="L45" s="35">
        <v>73</v>
      </c>
      <c r="M45" s="12">
        <v>0.16666666666666666</v>
      </c>
      <c r="N45" s="7"/>
      <c r="O45" s="141"/>
      <c r="P45" s="45"/>
      <c r="Q45" s="123">
        <f>(SUM(E$2:E$21)+SUM(E$25:E45))/(COUNTA(E$2:E45)-3)</f>
        <v>0.38272569444444449</v>
      </c>
      <c r="R45" s="46">
        <f>(SUM(H$2:H45)*E$1+A45)/SUM(H$2:H45)</f>
        <v>0.34414556962025311</v>
      </c>
      <c r="S45" s="61"/>
    </row>
    <row r="46" spans="1:19" hidden="1" x14ac:dyDescent="0.3">
      <c r="A46" s="52">
        <f t="shared" si="2"/>
        <v>-0.15208333333333621</v>
      </c>
      <c r="B46" s="13" t="s">
        <v>4</v>
      </c>
      <c r="C46" s="14">
        <f t="shared" si="3"/>
        <v>42825</v>
      </c>
      <c r="D46" s="14" t="s">
        <v>17</v>
      </c>
      <c r="E46" s="15">
        <v>0.4548611111111111</v>
      </c>
      <c r="F46" s="15">
        <v>0.72916666666666663</v>
      </c>
      <c r="G46" s="16">
        <v>1</v>
      </c>
      <c r="H46" s="17">
        <v>1</v>
      </c>
      <c r="I46" s="136">
        <f>IF(J46&lt;0,-J46,"")</f>
        <v>8.5416666666666752E-2</v>
      </c>
      <c r="J46" s="154">
        <f t="shared" si="1"/>
        <v>-8.5416666666666752E-2</v>
      </c>
      <c r="K46" s="36" t="s">
        <v>408</v>
      </c>
      <c r="L46" s="36">
        <v>73</v>
      </c>
      <c r="M46" s="18">
        <v>0.4375</v>
      </c>
      <c r="N46" s="7">
        <f>SUM(H24:H46)</f>
        <v>21.5</v>
      </c>
      <c r="O46" s="141"/>
      <c r="P46" s="137">
        <f>A46-A41</f>
        <v>-7.6388888888889173E-2</v>
      </c>
      <c r="Q46" s="123">
        <f>(SUM(E$2:E$21)+SUM(E$25:E46))/(COUNTA(E$2:E46)-3)</f>
        <v>0.38448509485094851</v>
      </c>
      <c r="R46" s="46">
        <f>(SUM(H$2:H46)*E$1+A46)/SUM(H$2:H46)</f>
        <v>0.34207818930041151</v>
      </c>
      <c r="S46" s="41">
        <f>SUM(M42:M46)/COUNTA(M42:M46)</f>
        <v>0.17916666666666664</v>
      </c>
    </row>
    <row r="47" spans="1:19" hidden="1" x14ac:dyDescent="0.3">
      <c r="A47" s="51">
        <f t="shared" si="2"/>
        <v>-0.14375000000000296</v>
      </c>
      <c r="B47" s="2" t="s">
        <v>0</v>
      </c>
      <c r="C47" s="3">
        <f t="shared" si="3"/>
        <v>42828</v>
      </c>
      <c r="D47" s="3" t="s">
        <v>18</v>
      </c>
      <c r="E47" s="4">
        <v>0.38541666666666669</v>
      </c>
      <c r="F47" s="4">
        <v>0.80902777777777779</v>
      </c>
      <c r="G47" s="5">
        <v>5</v>
      </c>
      <c r="H47" s="2">
        <v>1</v>
      </c>
      <c r="I47" s="134" t="str">
        <f t="shared" si="0"/>
        <v/>
      </c>
      <c r="J47" s="152">
        <f>IF(H47=1,F47-E47-MAX(G47,1)*$F$1-$E$1,F47-E47-$E$1*H47)</f>
        <v>8.3333333333332482E-3</v>
      </c>
      <c r="K47" s="82">
        <v>52</v>
      </c>
      <c r="L47" s="34" t="s">
        <v>408</v>
      </c>
      <c r="M47" s="6">
        <v>0.10416666666666667</v>
      </c>
      <c r="N47" s="7"/>
      <c r="O47" s="141"/>
      <c r="P47" s="45"/>
      <c r="Q47" s="123">
        <f>(SUM(E$2:E$21)+SUM(E$25:E47))/(COUNTA(E$2:E47)-3)</f>
        <v>0.38450727513227517</v>
      </c>
      <c r="R47" s="46">
        <f>(SUM(H$2:H47)*E$1+A47)/SUM(H$2:H47)</f>
        <v>0.34236947791164657</v>
      </c>
      <c r="S47" s="61"/>
    </row>
    <row r="48" spans="1:19" hidden="1" x14ac:dyDescent="0.3">
      <c r="A48" s="52">
        <f t="shared" si="2"/>
        <v>-0.11458333333333634</v>
      </c>
      <c r="B48" s="8" t="s">
        <v>1</v>
      </c>
      <c r="C48" s="9">
        <f t="shared" si="3"/>
        <v>42829</v>
      </c>
      <c r="D48" s="9" t="s">
        <v>19</v>
      </c>
      <c r="E48" s="10">
        <v>0.3888888888888889</v>
      </c>
      <c r="F48" s="10">
        <v>0.77777777777777779</v>
      </c>
      <c r="G48" s="11">
        <v>0</v>
      </c>
      <c r="H48" s="45">
        <v>1</v>
      </c>
      <c r="I48" s="135" t="str">
        <f t="shared" si="0"/>
        <v/>
      </c>
      <c r="J48" s="153">
        <f t="shared" si="1"/>
        <v>2.9166666666666619E-2</v>
      </c>
      <c r="K48" s="35">
        <v>55</v>
      </c>
      <c r="L48" s="35">
        <v>58</v>
      </c>
      <c r="M48" s="12">
        <v>0.3125</v>
      </c>
      <c r="N48" s="7"/>
      <c r="O48" s="141"/>
      <c r="P48" s="45"/>
      <c r="Q48" s="123">
        <f>(SUM(E$2:E$21)+SUM(E$25:E48))/(COUNTA(E$2:E48)-3)</f>
        <v>0.38460917312661502</v>
      </c>
      <c r="R48" s="46">
        <f>(SUM(H$2:H48)*E$1+A48)/SUM(H$2:H48)</f>
        <v>0.34313725490196073</v>
      </c>
      <c r="S48" s="62"/>
    </row>
    <row r="49" spans="1:19" hidden="1" x14ac:dyDescent="0.3">
      <c r="A49" s="52">
        <f t="shared" si="2"/>
        <v>-6.1111111111114086E-2</v>
      </c>
      <c r="B49" s="8" t="s">
        <v>2</v>
      </c>
      <c r="C49" s="9">
        <f t="shared" si="3"/>
        <v>42830</v>
      </c>
      <c r="D49" s="9" t="s">
        <v>20</v>
      </c>
      <c r="E49" s="10">
        <v>0.375</v>
      </c>
      <c r="F49" s="10">
        <v>0.78819444444444453</v>
      </c>
      <c r="G49" s="11">
        <v>0</v>
      </c>
      <c r="H49" s="45">
        <v>1</v>
      </c>
      <c r="I49" s="135" t="str">
        <f t="shared" si="0"/>
        <v/>
      </c>
      <c r="J49" s="153">
        <f t="shared" si="1"/>
        <v>5.3472222222222254E-2</v>
      </c>
      <c r="K49" s="35">
        <v>58</v>
      </c>
      <c r="L49" s="35" t="s">
        <v>408</v>
      </c>
      <c r="M49" s="12"/>
      <c r="N49" s="7"/>
      <c r="O49" s="141"/>
      <c r="P49" s="45"/>
      <c r="Q49" s="123">
        <f>(SUM(E$2:E$21)+SUM(E$25:E49))/(COUNTA(E$2:E49)-3)</f>
        <v>0.38439078282828287</v>
      </c>
      <c r="R49" s="46">
        <f>(SUM(H$2:H49)*E$1+A49)/SUM(H$2:H49)</f>
        <v>0.3444284802043423</v>
      </c>
      <c r="S49" s="62"/>
    </row>
    <row r="50" spans="1:19" hidden="1" x14ac:dyDescent="0.3">
      <c r="A50" s="52">
        <f t="shared" si="2"/>
        <v>-0.1534722222222252</v>
      </c>
      <c r="B50" s="8" t="s">
        <v>3</v>
      </c>
      <c r="C50" s="9">
        <f t="shared" si="3"/>
        <v>42831</v>
      </c>
      <c r="D50" s="9" t="s">
        <v>21</v>
      </c>
      <c r="E50" s="10">
        <v>0.39930555555555558</v>
      </c>
      <c r="F50" s="10">
        <v>0.73611111111111116</v>
      </c>
      <c r="G50" s="11">
        <v>6</v>
      </c>
      <c r="H50" s="45">
        <v>1</v>
      </c>
      <c r="I50" s="135">
        <f t="shared" si="0"/>
        <v>9.2361111111111116E-2</v>
      </c>
      <c r="J50" s="153">
        <f t="shared" si="1"/>
        <v>-9.2361111111111116E-2</v>
      </c>
      <c r="K50" s="35" t="s">
        <v>408</v>
      </c>
      <c r="L50" s="35" t="s">
        <v>408</v>
      </c>
      <c r="M50" s="12"/>
      <c r="N50" s="7"/>
      <c r="O50" s="141"/>
      <c r="P50" s="45"/>
      <c r="Q50" s="123">
        <f>(SUM(E$2:E$21)+SUM(E$25:E50))/(COUNTA(E$2:E50)-3)</f>
        <v>0.38472222222222224</v>
      </c>
      <c r="R50" s="46">
        <f>(SUM(H$2:H50)*E$1+A50)/SUM(H$2:H50)</f>
        <v>0.34238451935081149</v>
      </c>
      <c r="S50" s="62"/>
    </row>
    <row r="51" spans="1:19" hidden="1" x14ac:dyDescent="0.3">
      <c r="A51" s="52">
        <f t="shared" si="2"/>
        <v>-0.1534722222222252</v>
      </c>
      <c r="B51" s="13" t="s">
        <v>4</v>
      </c>
      <c r="C51" s="14">
        <f t="shared" si="3"/>
        <v>42832</v>
      </c>
      <c r="D51" s="14" t="s">
        <v>22</v>
      </c>
      <c r="E51" s="15"/>
      <c r="F51" s="15"/>
      <c r="G51" s="16"/>
      <c r="H51" s="17"/>
      <c r="I51" s="136" t="str">
        <f>IF(J51&lt;0,-J51,"")</f>
        <v/>
      </c>
      <c r="J51" s="154"/>
      <c r="K51" s="36" t="s">
        <v>408</v>
      </c>
      <c r="L51" s="36">
        <v>58</v>
      </c>
      <c r="M51" s="18"/>
      <c r="N51" s="7"/>
      <c r="O51" s="141"/>
      <c r="P51" s="137">
        <f>A51-A46</f>
        <v>-1.388888888888995E-3</v>
      </c>
      <c r="Q51" s="123">
        <f>(SUM(E$2:E$21)+SUM(E$25:E51))/(COUNTA(E$2:E51)-3)</f>
        <v>0.38472222222222224</v>
      </c>
      <c r="R51" s="46">
        <f>(SUM(H$2:H51)*E$1+A51)/SUM(H$2:H51)</f>
        <v>0.34238451935081149</v>
      </c>
      <c r="S51" s="41">
        <f>SUM(M47:M51)/COUNTA(M47:M51)</f>
        <v>0.20833333333333334</v>
      </c>
    </row>
    <row r="52" spans="1:19" hidden="1" x14ac:dyDescent="0.3">
      <c r="A52" s="51">
        <f t="shared" si="2"/>
        <v>-0.1534722222222252</v>
      </c>
      <c r="B52" s="2" t="s">
        <v>0</v>
      </c>
      <c r="C52" s="84">
        <f t="shared" si="3"/>
        <v>42835</v>
      </c>
      <c r="D52" s="84" t="s">
        <v>23</v>
      </c>
      <c r="E52" s="4"/>
      <c r="F52" s="4"/>
      <c r="G52" s="5"/>
      <c r="H52" s="2"/>
      <c r="I52" s="134" t="str">
        <f t="shared" si="0"/>
        <v/>
      </c>
      <c r="J52" s="152"/>
      <c r="K52" s="34" t="s">
        <v>408</v>
      </c>
      <c r="L52" s="34" t="s">
        <v>408</v>
      </c>
      <c r="M52" s="6"/>
      <c r="N52" s="7"/>
      <c r="O52" s="141"/>
      <c r="P52" s="45"/>
      <c r="Q52" s="123">
        <f>(SUM(E$2:E$21)+SUM(E$25:E52))/(COUNTA(E$2:E52)-3)</f>
        <v>0.38472222222222224</v>
      </c>
      <c r="R52" s="46">
        <f>(SUM(H$2:H52)*E$1+A52)/SUM(H$2:H52)</f>
        <v>0.34238451935081149</v>
      </c>
      <c r="S52" s="61"/>
    </row>
    <row r="53" spans="1:19" hidden="1" x14ac:dyDescent="0.3">
      <c r="A53" s="52">
        <f t="shared" si="2"/>
        <v>-0.1534722222222252</v>
      </c>
      <c r="B53" s="8" t="s">
        <v>1</v>
      </c>
      <c r="C53" s="85">
        <f t="shared" si="3"/>
        <v>42836</v>
      </c>
      <c r="D53" s="85" t="s">
        <v>24</v>
      </c>
      <c r="E53" s="10"/>
      <c r="F53" s="10"/>
      <c r="G53" s="11"/>
      <c r="H53" s="45"/>
      <c r="I53" s="135" t="str">
        <f t="shared" si="0"/>
        <v/>
      </c>
      <c r="J53" s="153"/>
      <c r="K53" s="35" t="s">
        <v>408</v>
      </c>
      <c r="L53" s="35" t="s">
        <v>408</v>
      </c>
      <c r="M53" s="12"/>
      <c r="N53" s="7"/>
      <c r="O53" s="141"/>
      <c r="P53" s="45"/>
      <c r="Q53" s="123">
        <f>(SUM(E$2:E$21)+SUM(E$25:E53))/(COUNTA(E$2:E53)-3)</f>
        <v>0.38472222222222224</v>
      </c>
      <c r="R53" s="46">
        <f>(SUM(H$2:H53)*E$1+A53)/SUM(H$2:H53)</f>
        <v>0.34238451935081149</v>
      </c>
      <c r="S53" s="62"/>
    </row>
    <row r="54" spans="1:19" hidden="1" x14ac:dyDescent="0.3">
      <c r="A54" s="52">
        <f t="shared" si="2"/>
        <v>-0.1534722222222252</v>
      </c>
      <c r="B54" s="8" t="s">
        <v>2</v>
      </c>
      <c r="C54" s="85">
        <f t="shared" si="3"/>
        <v>42837</v>
      </c>
      <c r="D54" s="85" t="s">
        <v>25</v>
      </c>
      <c r="E54" s="10"/>
      <c r="F54" s="10"/>
      <c r="G54" s="11"/>
      <c r="H54" s="45"/>
      <c r="I54" s="135" t="str">
        <f t="shared" si="0"/>
        <v/>
      </c>
      <c r="J54" s="153"/>
      <c r="K54" s="35" t="s">
        <v>408</v>
      </c>
      <c r="L54" s="35">
        <v>63</v>
      </c>
      <c r="M54" s="12"/>
      <c r="N54" s="7"/>
      <c r="O54" s="141"/>
      <c r="P54" s="45"/>
      <c r="Q54" s="123">
        <f>(SUM(E$2:E$21)+SUM(E$25:E54))/(COUNTA(E$2:E54)-3)</f>
        <v>0.38472222222222224</v>
      </c>
      <c r="R54" s="46">
        <f>(SUM(H$2:H54)*E$1+A54)/SUM(H$2:H54)</f>
        <v>0.34238451935081149</v>
      </c>
      <c r="S54" s="62"/>
    </row>
    <row r="55" spans="1:19" hidden="1" x14ac:dyDescent="0.3">
      <c r="A55" s="52">
        <f t="shared" si="2"/>
        <v>-0.1534722222222252</v>
      </c>
      <c r="B55" s="8" t="s">
        <v>3</v>
      </c>
      <c r="C55" s="85">
        <f t="shared" si="3"/>
        <v>42838</v>
      </c>
      <c r="D55" s="85" t="s">
        <v>26</v>
      </c>
      <c r="E55" s="10"/>
      <c r="F55" s="10"/>
      <c r="G55" s="11"/>
      <c r="H55" s="45"/>
      <c r="I55" s="135" t="str">
        <f t="shared" si="0"/>
        <v/>
      </c>
      <c r="J55" s="153"/>
      <c r="K55" s="35" t="s">
        <v>408</v>
      </c>
      <c r="L55" s="35" t="s">
        <v>408</v>
      </c>
      <c r="M55" s="12"/>
      <c r="N55" s="7"/>
      <c r="O55" s="141"/>
      <c r="P55" s="45"/>
      <c r="Q55" s="123">
        <f>(SUM(E$2:E$21)+SUM(E$25:E55))/(COUNTA(E$2:E55)-3)</f>
        <v>0.38472222222222224</v>
      </c>
      <c r="R55" s="46">
        <f>(SUM(H$2:H55)*E$1+A55)/SUM(H$2:H55)</f>
        <v>0.34238451935081149</v>
      </c>
      <c r="S55" s="62"/>
    </row>
    <row r="56" spans="1:19" hidden="1" x14ac:dyDescent="0.3">
      <c r="A56" s="52">
        <f t="shared" si="2"/>
        <v>-0.1534722222222252</v>
      </c>
      <c r="B56" s="13" t="s">
        <v>4</v>
      </c>
      <c r="C56" s="86">
        <f t="shared" si="3"/>
        <v>42839</v>
      </c>
      <c r="D56" s="86" t="s">
        <v>27</v>
      </c>
      <c r="E56" s="15"/>
      <c r="F56" s="15"/>
      <c r="G56" s="16"/>
      <c r="H56" s="17"/>
      <c r="I56" s="136" t="str">
        <f>IF(J56&lt;0,-J56,"")</f>
        <v/>
      </c>
      <c r="J56" s="154"/>
      <c r="K56" s="36" t="s">
        <v>408</v>
      </c>
      <c r="L56" s="36">
        <v>62</v>
      </c>
      <c r="M56" s="18"/>
      <c r="N56" s="7"/>
      <c r="O56" s="141"/>
      <c r="P56" s="137">
        <f>A56-A51</f>
        <v>0</v>
      </c>
      <c r="Q56" s="123">
        <f>(SUM(E$2:E$21)+SUM(E$25:E56))/(COUNTA(E$2:E56)-3)</f>
        <v>0.38472222222222224</v>
      </c>
      <c r="R56" s="46">
        <f>(SUM(H$2:H56)*E$1+A56)/SUM(H$2:H56)</f>
        <v>0.34238451935081149</v>
      </c>
      <c r="S56" s="41"/>
    </row>
    <row r="57" spans="1:19" hidden="1" x14ac:dyDescent="0.3">
      <c r="A57" s="51">
        <f t="shared" si="2"/>
        <v>-0.1534722222222252</v>
      </c>
      <c r="B57" s="2" t="s">
        <v>0</v>
      </c>
      <c r="C57" s="84">
        <f t="shared" si="3"/>
        <v>42842</v>
      </c>
      <c r="D57" s="84" t="s">
        <v>28</v>
      </c>
      <c r="E57" s="4"/>
      <c r="F57" s="4"/>
      <c r="G57" s="5"/>
      <c r="H57" s="2"/>
      <c r="I57" s="134" t="str">
        <f t="shared" si="0"/>
        <v/>
      </c>
      <c r="J57" s="152"/>
      <c r="K57" s="34" t="s">
        <v>408</v>
      </c>
      <c r="L57" s="34" t="s">
        <v>408</v>
      </c>
      <c r="M57" s="6"/>
      <c r="N57" s="7"/>
      <c r="O57" s="141"/>
      <c r="P57" s="45"/>
      <c r="Q57" s="123">
        <f>(SUM(E$2:E$21)+SUM(E$25:E57))/(COUNTA(E$2:E57)-3)</f>
        <v>0.38472222222222224</v>
      </c>
      <c r="R57" s="46">
        <f>(SUM(H$2:H57)*E$1+A57)/SUM(H$2:H57)</f>
        <v>0.34238451935081149</v>
      </c>
      <c r="S57" s="61"/>
    </row>
    <row r="58" spans="1:19" hidden="1" x14ac:dyDescent="0.3">
      <c r="A58" s="52">
        <f t="shared" si="2"/>
        <v>-0.1534722222222252</v>
      </c>
      <c r="B58" s="8" t="s">
        <v>1</v>
      </c>
      <c r="C58" s="85">
        <f t="shared" si="3"/>
        <v>42843</v>
      </c>
      <c r="D58" s="85" t="s">
        <v>29</v>
      </c>
      <c r="E58" s="10"/>
      <c r="F58" s="10"/>
      <c r="G58" s="11"/>
      <c r="H58" s="45"/>
      <c r="I58" s="135" t="str">
        <f t="shared" si="0"/>
        <v/>
      </c>
      <c r="J58" s="153"/>
      <c r="K58" s="35" t="s">
        <v>408</v>
      </c>
      <c r="L58" s="35" t="s">
        <v>408</v>
      </c>
      <c r="M58" s="12"/>
      <c r="N58" s="7"/>
      <c r="O58" s="141"/>
      <c r="P58" s="45"/>
      <c r="Q58" s="123">
        <f>(SUM(E$2:E$21)+SUM(E$25:E58))/(COUNTA(E$2:E58)-3)</f>
        <v>0.38472222222222224</v>
      </c>
      <c r="R58" s="46">
        <f>(SUM(H$2:H58)*E$1+A58)/SUM(H$2:H58)</f>
        <v>0.34238451935081149</v>
      </c>
      <c r="S58" s="62"/>
    </row>
    <row r="59" spans="1:19" hidden="1" x14ac:dyDescent="0.3">
      <c r="A59" s="52">
        <f t="shared" si="2"/>
        <v>-0.10000000000000306</v>
      </c>
      <c r="B59" s="8" t="s">
        <v>2</v>
      </c>
      <c r="C59" s="9">
        <f t="shared" si="3"/>
        <v>42844</v>
      </c>
      <c r="D59" s="9" t="s">
        <v>30</v>
      </c>
      <c r="E59" s="10">
        <v>0.36805555555555558</v>
      </c>
      <c r="F59" s="10">
        <v>0.78125</v>
      </c>
      <c r="G59" s="11">
        <v>0</v>
      </c>
      <c r="H59" s="45">
        <v>1</v>
      </c>
      <c r="I59" s="135" t="str">
        <f t="shared" si="0"/>
        <v/>
      </c>
      <c r="J59" s="153">
        <f t="shared" si="1"/>
        <v>5.3472222222222143E-2</v>
      </c>
      <c r="K59" s="35">
        <v>73</v>
      </c>
      <c r="L59" s="35">
        <v>67</v>
      </c>
      <c r="M59" s="12">
        <v>0.14583333333333334</v>
      </c>
      <c r="N59" s="7"/>
      <c r="O59" s="141"/>
      <c r="P59" s="45"/>
      <c r="Q59" s="123">
        <f>(SUM(E$2:E$21)+SUM(E$25:E59))/(COUNTA(E$2:E59)-3)</f>
        <v>0.38435990338164255</v>
      </c>
      <c r="R59" s="46">
        <f>(SUM(H$2:H59)*E$1+A59)/SUM(H$2:H59)</f>
        <v>0.34363553113553114</v>
      </c>
      <c r="S59" s="62"/>
    </row>
    <row r="60" spans="1:19" hidden="1" x14ac:dyDescent="0.3">
      <c r="A60" s="52">
        <f t="shared" si="2"/>
        <v>-7.0833333333336496E-2</v>
      </c>
      <c r="B60" s="8" t="s">
        <v>3</v>
      </c>
      <c r="C60" s="9">
        <f t="shared" si="3"/>
        <v>42845</v>
      </c>
      <c r="D60" s="9" t="s">
        <v>31</v>
      </c>
      <c r="E60" s="10">
        <v>0.375</v>
      </c>
      <c r="F60" s="10">
        <v>0.76388888888888884</v>
      </c>
      <c r="G60" s="11">
        <v>1</v>
      </c>
      <c r="H60" s="45">
        <v>1</v>
      </c>
      <c r="I60" s="135" t="str">
        <f t="shared" si="0"/>
        <v/>
      </c>
      <c r="J60" s="153">
        <f t="shared" si="1"/>
        <v>2.9166666666666563E-2</v>
      </c>
      <c r="K60" s="35">
        <v>67</v>
      </c>
      <c r="L60" s="35">
        <v>63</v>
      </c>
      <c r="M60" s="12">
        <v>0.1875</v>
      </c>
      <c r="N60" s="7"/>
      <c r="O60" s="141"/>
      <c r="P60" s="45"/>
      <c r="Q60" s="123">
        <f>(SUM(E$2:E$21)+SUM(E$25:E60))/(COUNTA(E$2:E60)-3)</f>
        <v>0.38416075650118209</v>
      </c>
      <c r="R60" s="46">
        <f>(SUM(H$2:H60)*E$1+A60)/SUM(H$2:H60)</f>
        <v>0.34431003584229386</v>
      </c>
      <c r="S60" s="62"/>
    </row>
    <row r="61" spans="1:19" hidden="1" x14ac:dyDescent="0.3">
      <c r="A61" s="52">
        <f t="shared" si="2"/>
        <v>-7.2916666666669988E-2</v>
      </c>
      <c r="B61" s="13" t="s">
        <v>4</v>
      </c>
      <c r="C61" s="14">
        <f t="shared" si="3"/>
        <v>42846</v>
      </c>
      <c r="D61" s="14" t="s">
        <v>32</v>
      </c>
      <c r="E61" s="15">
        <v>0.38541666666666669</v>
      </c>
      <c r="F61" s="15">
        <v>0.74305555555555547</v>
      </c>
      <c r="G61" s="16">
        <v>1</v>
      </c>
      <c r="H61" s="17">
        <v>1</v>
      </c>
      <c r="I61" s="136">
        <f>IF(J61&lt;0,-J61,"")</f>
        <v>2.0833333333334925E-3</v>
      </c>
      <c r="J61" s="154">
        <f t="shared" si="1"/>
        <v>-2.0833333333334925E-3</v>
      </c>
      <c r="K61" s="36">
        <v>56</v>
      </c>
      <c r="L61" s="36" t="s">
        <v>408</v>
      </c>
      <c r="M61" s="18">
        <v>0.22916666666666666</v>
      </c>
      <c r="N61" s="7"/>
      <c r="O61" s="141"/>
      <c r="P61" s="137">
        <f>A61-A56</f>
        <v>8.0555555555555214E-2</v>
      </c>
      <c r="Q61" s="123">
        <f>(SUM(E$2:E$21)+SUM(E$25:E61))/(COUNTA(E$2:E61)-3)</f>
        <v>0.38418692129629628</v>
      </c>
      <c r="R61" s="46">
        <f>(SUM(H$2:H61)*E$1+A61)/SUM(H$2:H61)</f>
        <v>0.34429824561403505</v>
      </c>
      <c r="S61" s="41">
        <f>SUM(M57:M61)/COUNTA(M57:M61)</f>
        <v>0.1875</v>
      </c>
    </row>
    <row r="62" spans="1:19" hidden="1" x14ac:dyDescent="0.3">
      <c r="A62" s="51">
        <f t="shared" si="2"/>
        <v>-3.6805555555559061E-2</v>
      </c>
      <c r="B62" s="2" t="s">
        <v>0</v>
      </c>
      <c r="C62" s="3">
        <f t="shared" si="3"/>
        <v>42849</v>
      </c>
      <c r="D62" s="3" t="s">
        <v>33</v>
      </c>
      <c r="E62" s="4">
        <v>0.37847222222222227</v>
      </c>
      <c r="F62" s="4">
        <v>0.77430555555555547</v>
      </c>
      <c r="G62" s="5">
        <v>0</v>
      </c>
      <c r="H62" s="2">
        <v>1</v>
      </c>
      <c r="I62" s="134" t="str">
        <f t="shared" si="0"/>
        <v/>
      </c>
      <c r="J62" s="152">
        <f>IF(H62=1,F62-E62-MAX(G62,1)*$F$1-$E$1,F62-E62-$E$1*H62)</f>
        <v>3.6111111111110927E-2</v>
      </c>
      <c r="K62" s="34">
        <v>62</v>
      </c>
      <c r="L62" s="34">
        <v>56</v>
      </c>
      <c r="M62" s="6">
        <v>8.3333333333333329E-2</v>
      </c>
      <c r="N62" s="7"/>
      <c r="O62" s="141"/>
      <c r="P62" s="45"/>
      <c r="Q62" s="123">
        <f>(SUM(E$2:E$21)+SUM(E$25:E62))/(COUNTA(E$2:E62)-3)</f>
        <v>0.38407029478458049</v>
      </c>
      <c r="R62" s="46">
        <f>(SUM(H$2:H62)*E$1+A62)/SUM(H$2:H62)</f>
        <v>0.34507445589919816</v>
      </c>
      <c r="S62" s="61"/>
    </row>
    <row r="63" spans="1:19" hidden="1" x14ac:dyDescent="0.3">
      <c r="A63" s="52">
        <f t="shared" si="2"/>
        <v>-3.1944444444447967E-2</v>
      </c>
      <c r="B63" s="8" t="s">
        <v>1</v>
      </c>
      <c r="C63" s="9">
        <f t="shared" si="3"/>
        <v>42850</v>
      </c>
      <c r="D63" s="9" t="s">
        <v>34</v>
      </c>
      <c r="E63" s="10">
        <v>0.38194444444444442</v>
      </c>
      <c r="F63" s="10">
        <v>0.74652777777777779</v>
      </c>
      <c r="G63" s="11">
        <v>0</v>
      </c>
      <c r="H63" s="45">
        <v>1</v>
      </c>
      <c r="I63" s="135" t="str">
        <f t="shared" si="0"/>
        <v/>
      </c>
      <c r="J63" s="153">
        <f t="shared" si="1"/>
        <v>4.8611111111110938E-3</v>
      </c>
      <c r="K63" s="35">
        <v>54</v>
      </c>
      <c r="L63" s="78">
        <v>44</v>
      </c>
      <c r="M63" s="12">
        <v>0.27083333333333331</v>
      </c>
      <c r="N63" s="7"/>
      <c r="O63" s="141"/>
      <c r="P63" s="45"/>
      <c r="Q63" s="123">
        <f>(SUM(E$2:E$21)+SUM(E$25:E63))/(COUNTA(E$2:E63)-3)</f>
        <v>0.3840277777777778</v>
      </c>
      <c r="R63" s="46">
        <f>(SUM(H$2:H63)*E$1+A63)/SUM(H$2:H63)</f>
        <v>0.3451879910213243</v>
      </c>
      <c r="S63" s="62"/>
    </row>
    <row r="64" spans="1:19" hidden="1" x14ac:dyDescent="0.3">
      <c r="A64" s="52">
        <f t="shared" si="2"/>
        <v>-2.3611111111114719E-2</v>
      </c>
      <c r="B64" s="8" t="s">
        <v>2</v>
      </c>
      <c r="C64" s="9">
        <f t="shared" si="3"/>
        <v>42851</v>
      </c>
      <c r="D64" s="9" t="s">
        <v>35</v>
      </c>
      <c r="E64" s="10">
        <v>0.38541666666666669</v>
      </c>
      <c r="F64" s="10">
        <v>0.75347222222222221</v>
      </c>
      <c r="G64" s="11">
        <v>0</v>
      </c>
      <c r="H64" s="45">
        <v>1</v>
      </c>
      <c r="I64" s="135" t="str">
        <f t="shared" si="0"/>
        <v/>
      </c>
      <c r="J64" s="153">
        <f t="shared" si="1"/>
        <v>8.3333333333332482E-3</v>
      </c>
      <c r="K64" s="78">
        <v>44</v>
      </c>
      <c r="L64" s="78">
        <v>36</v>
      </c>
      <c r="M64" s="12">
        <v>0.25</v>
      </c>
      <c r="N64" s="7"/>
      <c r="O64" s="141"/>
      <c r="P64" s="45"/>
      <c r="Q64" s="123">
        <f>(SUM(E$2:E$21)+SUM(E$25:E64))/(COUNTA(E$2:E64)-3)</f>
        <v>0.38405501089324617</v>
      </c>
      <c r="R64" s="46">
        <f>(SUM(H$2:H64)*E$1+A64)/SUM(H$2:H64)</f>
        <v>0.34536578657865785</v>
      </c>
      <c r="S64" s="62"/>
    </row>
    <row r="65" spans="1:19" hidden="1" x14ac:dyDescent="0.3">
      <c r="A65" s="52">
        <f t="shared" si="2"/>
        <v>-6.041666666667031E-2</v>
      </c>
      <c r="B65" s="8" t="s">
        <v>3</v>
      </c>
      <c r="C65" s="9">
        <f t="shared" si="3"/>
        <v>42852</v>
      </c>
      <c r="D65" s="9" t="s">
        <v>36</v>
      </c>
      <c r="E65" s="10">
        <v>0.37847222222222227</v>
      </c>
      <c r="F65" s="10">
        <v>0.75694444444444453</v>
      </c>
      <c r="G65" s="11">
        <v>5</v>
      </c>
      <c r="H65" s="45">
        <v>1</v>
      </c>
      <c r="I65" s="135">
        <f t="shared" si="0"/>
        <v>3.6805555555555591E-2</v>
      </c>
      <c r="J65" s="153">
        <f t="shared" si="1"/>
        <v>-3.6805555555555591E-2</v>
      </c>
      <c r="K65" s="78">
        <v>36</v>
      </c>
      <c r="L65" s="78">
        <v>36</v>
      </c>
      <c r="M65" s="12">
        <v>0.14583333333333334</v>
      </c>
      <c r="N65" s="7"/>
      <c r="O65" s="141"/>
      <c r="P65" s="45"/>
      <c r="Q65" s="123">
        <f>(SUM(E$2:E$21)+SUM(E$25:E65))/(COUNTA(E$2:E65)-3)</f>
        <v>0.38394764957264954</v>
      </c>
      <c r="R65" s="46">
        <f>(SUM(H$2:H65)*E$1+A65)/SUM(H$2:H65)</f>
        <v>0.3446601941747573</v>
      </c>
      <c r="S65" s="62"/>
    </row>
    <row r="66" spans="1:19" hidden="1" x14ac:dyDescent="0.3">
      <c r="A66" s="52">
        <f t="shared" si="2"/>
        <v>-9.3750000000003803E-2</v>
      </c>
      <c r="B66" s="13" t="s">
        <v>4</v>
      </c>
      <c r="C66" s="14">
        <f t="shared" si="3"/>
        <v>42853</v>
      </c>
      <c r="D66" s="14" t="s">
        <v>37</v>
      </c>
      <c r="E66" s="15">
        <v>0.38541666666666669</v>
      </c>
      <c r="F66" s="15">
        <v>0.71180555555555547</v>
      </c>
      <c r="G66" s="16">
        <v>0</v>
      </c>
      <c r="H66" s="17">
        <v>1</v>
      </c>
      <c r="I66" s="136">
        <f t="shared" ref="I66:I90" si="4">IF(J66&lt;0,-J66,"")</f>
        <v>3.3333333333333492E-2</v>
      </c>
      <c r="J66" s="154">
        <f t="shared" si="1"/>
        <v>-3.3333333333333492E-2</v>
      </c>
      <c r="K66" s="87">
        <v>31</v>
      </c>
      <c r="L66" s="36" t="s">
        <v>408</v>
      </c>
      <c r="M66" s="18">
        <v>0.25</v>
      </c>
      <c r="N66" s="7">
        <f>SUM(H47:H66)</f>
        <v>12</v>
      </c>
      <c r="O66" s="141"/>
      <c r="P66" s="137">
        <f>A66-A61</f>
        <v>-2.0833333333333814E-2</v>
      </c>
      <c r="Q66" s="123">
        <f>(SUM(E$2:E$21)+SUM(E$25:E66))/(COUNTA(E$2:E66)-3)</f>
        <v>0.38397536687631023</v>
      </c>
      <c r="R66" s="46">
        <f>(SUM(H$2:H66)*E$1+A66)/SUM(H$2:H66)</f>
        <v>0.34404761904761905</v>
      </c>
      <c r="S66" s="41">
        <f>SUM(M62:M66)/COUNTA(M62:M66)</f>
        <v>0.2</v>
      </c>
    </row>
    <row r="67" spans="1:19" hidden="1" x14ac:dyDescent="0.3">
      <c r="A67" s="51">
        <f t="shared" si="2"/>
        <v>-9.3750000000003803E-2</v>
      </c>
      <c r="B67" s="2" t="s">
        <v>0</v>
      </c>
      <c r="C67" s="71">
        <f t="shared" si="3"/>
        <v>42856</v>
      </c>
      <c r="D67" s="71" t="s">
        <v>38</v>
      </c>
      <c r="E67" s="4"/>
      <c r="F67" s="4"/>
      <c r="G67" s="5"/>
      <c r="H67" s="2"/>
      <c r="I67" s="134" t="str">
        <f t="shared" si="4"/>
        <v/>
      </c>
      <c r="J67" s="152"/>
      <c r="K67" s="34">
        <v>40</v>
      </c>
      <c r="L67" s="34" t="s">
        <v>408</v>
      </c>
      <c r="M67" s="6">
        <v>0.22916666666666666</v>
      </c>
      <c r="N67" s="7"/>
      <c r="O67" s="141"/>
      <c r="P67" s="45"/>
      <c r="Q67" s="123">
        <f>(SUM(E$2:E$21)+SUM(E$25:E67))/(COUNTA(E$2:E67)-3)</f>
        <v>0.38397536687631023</v>
      </c>
      <c r="R67" s="46">
        <f>(SUM(H$2:H67)*E$1+A67)/SUM(H$2:H67)</f>
        <v>0.34404761904761905</v>
      </c>
      <c r="S67" s="61"/>
    </row>
    <row r="68" spans="1:19" hidden="1" x14ac:dyDescent="0.3">
      <c r="A68" s="52">
        <f t="shared" ref="A68:A110" si="5">A67+J68</f>
        <v>-8.8888888888892709E-2</v>
      </c>
      <c r="B68" s="8" t="s">
        <v>1</v>
      </c>
      <c r="C68" s="9">
        <f t="shared" si="3"/>
        <v>42857</v>
      </c>
      <c r="D68" s="9" t="s">
        <v>39</v>
      </c>
      <c r="E68" s="10">
        <v>0.3611111111111111</v>
      </c>
      <c r="F68" s="10">
        <v>0.73958333333333337</v>
      </c>
      <c r="G68" s="11">
        <v>2</v>
      </c>
      <c r="H68" s="45">
        <v>1</v>
      </c>
      <c r="I68" s="135" t="str">
        <f t="shared" si="4"/>
        <v/>
      </c>
      <c r="J68" s="153">
        <f t="shared" ref="J68:J76" si="6">IF(H68=1,F68-E68-MAX(G68,1)*$F$1-$E$1,F68-E68-$E$1*H68)</f>
        <v>4.8611111111110938E-3</v>
      </c>
      <c r="K68" s="35">
        <v>40</v>
      </c>
      <c r="L68" s="35">
        <v>33</v>
      </c>
      <c r="M68" s="12">
        <v>0.27083333333333331</v>
      </c>
      <c r="N68" s="7"/>
      <c r="O68" s="141"/>
      <c r="P68" s="45"/>
      <c r="Q68" s="123">
        <f>(SUM(E$2:E$21)+SUM(E$25:E68))/(COUNTA(E$2:E68)-3)</f>
        <v>0.38355195473251025</v>
      </c>
      <c r="R68" s="46">
        <f>(SUM(H$2:H68)*E$1+A68)/SUM(H$2:H68)</f>
        <v>0.3441718587746625</v>
      </c>
      <c r="S68" s="62"/>
    </row>
    <row r="69" spans="1:19" hidden="1" x14ac:dyDescent="0.3">
      <c r="A69" s="52">
        <f t="shared" si="5"/>
        <v>-0.13958333333333725</v>
      </c>
      <c r="B69" s="8" t="s">
        <v>2</v>
      </c>
      <c r="C69" s="9">
        <f t="shared" si="3"/>
        <v>42858</v>
      </c>
      <c r="D69" s="9" t="s">
        <v>40</v>
      </c>
      <c r="E69" s="10">
        <v>0.4826388888888889</v>
      </c>
      <c r="F69" s="10">
        <v>0.79166666666666663</v>
      </c>
      <c r="G69" s="11">
        <v>0</v>
      </c>
      <c r="H69" s="45">
        <v>1</v>
      </c>
      <c r="I69" s="135">
        <f t="shared" si="4"/>
        <v>5.0694444444444542E-2</v>
      </c>
      <c r="J69" s="153">
        <f t="shared" si="6"/>
        <v>-5.0694444444444542E-2</v>
      </c>
      <c r="K69" s="35">
        <v>36</v>
      </c>
      <c r="L69" s="35">
        <v>36</v>
      </c>
      <c r="M69" s="12">
        <v>0.22916666666666666</v>
      </c>
      <c r="N69" s="7"/>
      <c r="O69" s="141"/>
      <c r="P69" s="45"/>
      <c r="Q69" s="123">
        <f>(SUM(E$2:E$21)+SUM(E$25:E69))/(COUNTA(E$2:E69)-3)</f>
        <v>0.38535353535353534</v>
      </c>
      <c r="R69" s="46">
        <f>(SUM(H$2:H69)*E$1+A69)/SUM(H$2:H69)</f>
        <v>0.34327217125382259</v>
      </c>
      <c r="S69" s="62"/>
    </row>
    <row r="70" spans="1:19" hidden="1" x14ac:dyDescent="0.3">
      <c r="A70" s="52">
        <f t="shared" si="5"/>
        <v>-0.12430555555555942</v>
      </c>
      <c r="B70" s="8" t="s">
        <v>3</v>
      </c>
      <c r="C70" s="9">
        <f t="shared" si="3"/>
        <v>42859</v>
      </c>
      <c r="D70" s="9" t="s">
        <v>41</v>
      </c>
      <c r="E70" s="10">
        <v>0.38194444444444442</v>
      </c>
      <c r="F70" s="10">
        <v>0.75694444444444453</v>
      </c>
      <c r="G70" s="11">
        <v>0</v>
      </c>
      <c r="H70" s="45">
        <v>1</v>
      </c>
      <c r="I70" s="135" t="str">
        <f t="shared" si="4"/>
        <v/>
      </c>
      <c r="J70" s="153">
        <f t="shared" si="6"/>
        <v>1.5277777777777835E-2</v>
      </c>
      <c r="K70" s="35">
        <v>44</v>
      </c>
      <c r="L70" s="35">
        <v>38</v>
      </c>
      <c r="M70" s="12">
        <v>0.22916666666666666</v>
      </c>
      <c r="N70" s="7"/>
      <c r="O70" s="141"/>
      <c r="P70" s="45"/>
      <c r="Q70" s="123">
        <f>(SUM(E$2:E$21)+SUM(E$25:E70))/(COUNTA(E$2:E70)-3)</f>
        <v>0.38529265873015867</v>
      </c>
      <c r="R70" s="46">
        <f>(SUM(H$2:H70)*E$1+A70)/SUM(H$2:H70)</f>
        <v>0.34359359359359354</v>
      </c>
      <c r="S70" s="62"/>
    </row>
    <row r="71" spans="1:19" hidden="1" x14ac:dyDescent="0.3">
      <c r="A71" s="52">
        <f t="shared" si="5"/>
        <v>-0.17847222222222611</v>
      </c>
      <c r="B71" s="13" t="s">
        <v>4</v>
      </c>
      <c r="C71" s="14">
        <f t="shared" si="3"/>
        <v>42860</v>
      </c>
      <c r="D71" s="14" t="s">
        <v>42</v>
      </c>
      <c r="E71" s="15">
        <v>0.375</v>
      </c>
      <c r="F71" s="15">
        <v>0.75</v>
      </c>
      <c r="G71" s="16">
        <v>6</v>
      </c>
      <c r="H71" s="17">
        <v>1</v>
      </c>
      <c r="I71" s="136">
        <f t="shared" si="4"/>
        <v>5.4166666666666696E-2</v>
      </c>
      <c r="J71" s="154">
        <f t="shared" si="6"/>
        <v>-5.4166666666666696E-2</v>
      </c>
      <c r="K71" s="36">
        <v>38</v>
      </c>
      <c r="L71" s="36">
        <v>38</v>
      </c>
      <c r="M71" s="18">
        <v>0.22916666666666666</v>
      </c>
      <c r="N71" s="7"/>
      <c r="O71" s="141"/>
      <c r="P71" s="137">
        <f>A71-A66</f>
        <v>-8.472222222222231E-2</v>
      </c>
      <c r="Q71" s="123">
        <f>(SUM(E$2:E$21)+SUM(E$25:E71))/(COUNTA(E$2:E71)-3)</f>
        <v>0.38511208576998046</v>
      </c>
      <c r="R71" s="46">
        <f>(SUM(H$2:H71)*E$1+A71)/SUM(H$2:H71)</f>
        <v>0.34267453294001965</v>
      </c>
      <c r="S71" s="41">
        <f>SUM(M67:M71)/COUNTA(M67:M71)</f>
        <v>0.23749999999999999</v>
      </c>
    </row>
    <row r="72" spans="1:19" hidden="1" x14ac:dyDescent="0.3">
      <c r="A72" s="51">
        <f t="shared" si="5"/>
        <v>-0.17847222222222611</v>
      </c>
      <c r="B72" s="2" t="s">
        <v>0</v>
      </c>
      <c r="C72" s="71">
        <f t="shared" ref="C72:C135" si="7">C67+7</f>
        <v>42863</v>
      </c>
      <c r="D72" s="71" t="s">
        <v>43</v>
      </c>
      <c r="E72" s="4"/>
      <c r="F72" s="4"/>
      <c r="G72" s="5"/>
      <c r="H72" s="2"/>
      <c r="I72" s="134" t="str">
        <f t="shared" si="4"/>
        <v/>
      </c>
      <c r="J72" s="152"/>
      <c r="K72" s="34">
        <v>37</v>
      </c>
      <c r="L72" s="34" t="s">
        <v>408</v>
      </c>
      <c r="M72" s="6">
        <v>0.14583333333333334</v>
      </c>
      <c r="N72" s="7"/>
      <c r="O72" s="141"/>
      <c r="P72" s="45"/>
      <c r="Q72" s="123">
        <f>(SUM(E$2:E$21)+SUM(E$25:E72))/(COUNTA(E$2:E72)-3)</f>
        <v>0.38511208576998046</v>
      </c>
      <c r="R72" s="46">
        <f>(SUM(H$2:H72)*E$1+A72)/SUM(H$2:H72)</f>
        <v>0.34267453294001965</v>
      </c>
      <c r="S72" s="61"/>
    </row>
    <row r="73" spans="1:19" hidden="1" x14ac:dyDescent="0.3">
      <c r="A73" s="52">
        <f t="shared" si="5"/>
        <v>-0.14930555555555944</v>
      </c>
      <c r="B73" s="8" t="s">
        <v>1</v>
      </c>
      <c r="C73" s="9">
        <f t="shared" si="7"/>
        <v>42864</v>
      </c>
      <c r="D73" s="9" t="s">
        <v>44</v>
      </c>
      <c r="E73" s="10">
        <v>0.38194444444444442</v>
      </c>
      <c r="F73" s="10">
        <v>0.77083333333333337</v>
      </c>
      <c r="G73" s="11">
        <v>0</v>
      </c>
      <c r="H73" s="45">
        <v>1</v>
      </c>
      <c r="I73" s="135" t="str">
        <f t="shared" si="4"/>
        <v/>
      </c>
      <c r="J73" s="153">
        <f t="shared" si="6"/>
        <v>2.9166666666666674E-2</v>
      </c>
      <c r="K73" s="35" t="s">
        <v>408</v>
      </c>
      <c r="L73" s="35">
        <v>39</v>
      </c>
      <c r="M73" s="12">
        <v>0.25</v>
      </c>
      <c r="N73" s="7"/>
      <c r="O73" s="141"/>
      <c r="P73" s="45"/>
      <c r="Q73" s="123">
        <f>(SUM(E$2:E$21)+SUM(E$25:E73))/(COUNTA(E$2:E73)-3)</f>
        <v>0.38505747126436779</v>
      </c>
      <c r="R73" s="46">
        <f>(SUM(H$2:H73)*E$1+A73)/SUM(H$2:H73)</f>
        <v>0.34323671497584535</v>
      </c>
      <c r="S73" s="62"/>
    </row>
    <row r="74" spans="1:19" hidden="1" x14ac:dyDescent="0.3">
      <c r="A74" s="52">
        <f t="shared" si="5"/>
        <v>-0.10277777777778166</v>
      </c>
      <c r="B74" s="8" t="s">
        <v>2</v>
      </c>
      <c r="C74" s="9">
        <f t="shared" si="7"/>
        <v>42865</v>
      </c>
      <c r="D74" s="9" t="s">
        <v>45</v>
      </c>
      <c r="E74" s="10">
        <v>0.36458333333333331</v>
      </c>
      <c r="F74" s="10">
        <v>0.77083333333333337</v>
      </c>
      <c r="G74" s="11">
        <v>0</v>
      </c>
      <c r="H74" s="45">
        <v>1</v>
      </c>
      <c r="I74" s="135" t="str">
        <f t="shared" si="4"/>
        <v/>
      </c>
      <c r="J74" s="153">
        <f t="shared" si="6"/>
        <v>4.6527777777777779E-2</v>
      </c>
      <c r="K74" s="35">
        <v>33</v>
      </c>
      <c r="L74" s="35">
        <v>37</v>
      </c>
      <c r="M74" s="12">
        <v>0.25</v>
      </c>
      <c r="N74" s="7"/>
      <c r="O74" s="141"/>
      <c r="P74" s="45"/>
      <c r="Q74" s="123">
        <f>(SUM(E$2:E$21)+SUM(E$25:E74))/(COUNTA(E$2:E74)-3)</f>
        <v>0.38471045197740111</v>
      </c>
      <c r="R74" s="46">
        <f>(SUM(H$2:H74)*E$1+A74)/SUM(H$2:H74)</f>
        <v>0.3440764482431149</v>
      </c>
      <c r="S74" s="62"/>
    </row>
    <row r="75" spans="1:19" hidden="1" x14ac:dyDescent="0.3">
      <c r="A75" s="52">
        <f t="shared" si="5"/>
        <v>-9.4444444444448467E-2</v>
      </c>
      <c r="B75" s="8" t="s">
        <v>3</v>
      </c>
      <c r="C75" s="9">
        <f t="shared" si="7"/>
        <v>42866</v>
      </c>
      <c r="D75" s="9" t="s">
        <v>46</v>
      </c>
      <c r="E75" s="10">
        <v>0.3611111111111111</v>
      </c>
      <c r="F75" s="10">
        <v>0.74305555555555547</v>
      </c>
      <c r="G75" s="11">
        <v>2</v>
      </c>
      <c r="H75" s="45">
        <v>1</v>
      </c>
      <c r="I75" s="135" t="str">
        <f t="shared" si="4"/>
        <v/>
      </c>
      <c r="J75" s="153">
        <f t="shared" si="6"/>
        <v>8.3333333333331927E-3</v>
      </c>
      <c r="K75" s="78">
        <v>26</v>
      </c>
      <c r="L75" s="78">
        <v>26</v>
      </c>
      <c r="M75" s="12">
        <v>0.20833333333333334</v>
      </c>
      <c r="N75" s="7"/>
      <c r="O75" s="141"/>
      <c r="P75" s="45"/>
      <c r="Q75" s="123">
        <f>(SUM(E$2:E$21)+SUM(E$25:E75))/(COUNTA(E$2:E75)-3)</f>
        <v>0.38431712962962961</v>
      </c>
      <c r="R75" s="46">
        <f>(SUM(H$2:H75)*E$1+A75)/SUM(H$2:H75)</f>
        <v>0.34424603174603174</v>
      </c>
      <c r="S75" s="62"/>
    </row>
    <row r="76" spans="1:19" hidden="1" x14ac:dyDescent="0.3">
      <c r="A76" s="52">
        <f t="shared" si="5"/>
        <v>-7.9166666666670743E-2</v>
      </c>
      <c r="B76" s="13" t="s">
        <v>4</v>
      </c>
      <c r="C76" s="14">
        <f t="shared" si="7"/>
        <v>42867</v>
      </c>
      <c r="D76" s="14" t="s">
        <v>47</v>
      </c>
      <c r="E76" s="15">
        <v>0.375</v>
      </c>
      <c r="F76" s="15">
        <v>0.75</v>
      </c>
      <c r="G76" s="16">
        <v>0</v>
      </c>
      <c r="H76" s="17">
        <v>1</v>
      </c>
      <c r="I76" s="136" t="str">
        <f>IF(J76&lt;0,-J76,"")</f>
        <v/>
      </c>
      <c r="J76" s="154">
        <f t="shared" si="6"/>
        <v>1.5277777777777724E-2</v>
      </c>
      <c r="K76" s="78">
        <v>26</v>
      </c>
      <c r="L76" s="87">
        <v>18</v>
      </c>
      <c r="M76" s="18">
        <v>0.29166666666666669</v>
      </c>
      <c r="N76" s="7"/>
      <c r="O76" s="141"/>
      <c r="P76" s="137">
        <f>A76-A71</f>
        <v>9.9305555555555369E-2</v>
      </c>
      <c r="Q76" s="123">
        <f>(SUM(E$2:E$21)+SUM(E$25:E76))/(COUNTA(E$2:E76)-3)</f>
        <v>0.38416438979963563</v>
      </c>
      <c r="R76" s="46">
        <f>(SUM(H$2:H76)*E$1+A76)/SUM(H$2:H76)</f>
        <v>0.34452479338842973</v>
      </c>
      <c r="S76" s="41">
        <f>SUM(M72:M76)/COUNTA(M72:M76)</f>
        <v>0.22916666666666669</v>
      </c>
    </row>
    <row r="77" spans="1:19" hidden="1" x14ac:dyDescent="0.3">
      <c r="A77" s="51">
        <f t="shared" si="5"/>
        <v>-6.7361111111115229E-2</v>
      </c>
      <c r="B77" s="2" t="s">
        <v>0</v>
      </c>
      <c r="C77" s="3">
        <f t="shared" si="7"/>
        <v>42870</v>
      </c>
      <c r="D77" s="3" t="s">
        <v>48</v>
      </c>
      <c r="E77" s="4">
        <v>0.38194444444444442</v>
      </c>
      <c r="F77" s="4">
        <v>0.75347222222222221</v>
      </c>
      <c r="G77" s="5">
        <v>0</v>
      </c>
      <c r="H77" s="2">
        <v>1</v>
      </c>
      <c r="I77" s="134" t="str">
        <f t="shared" si="4"/>
        <v/>
      </c>
      <c r="J77" s="152">
        <f>IF(H77=1,F77-E77-MAX(G77,1)*$F$1-$E$1,F77-E77-$E$1*H77)</f>
        <v>1.1805555555555514E-2</v>
      </c>
      <c r="K77" s="34">
        <v>36</v>
      </c>
      <c r="L77" s="34">
        <v>30</v>
      </c>
      <c r="M77" s="6">
        <v>0.29166666666666669</v>
      </c>
      <c r="N77" s="7"/>
      <c r="O77" s="141"/>
      <c r="P77" s="45"/>
      <c r="Q77" s="123">
        <f>(SUM(E$2:E$21)+SUM(E$25:E77))/(COUNTA(E$2:E77)-3)</f>
        <v>0.38412858422939061</v>
      </c>
      <c r="R77" s="46">
        <f>(SUM(H$2:H77)*E$1+A77)/SUM(H$2:H77)</f>
        <v>0.34473803071364045</v>
      </c>
      <c r="S77" s="61"/>
    </row>
    <row r="78" spans="1:19" hidden="1" x14ac:dyDescent="0.3">
      <c r="A78" s="52">
        <f t="shared" si="5"/>
        <v>-5.208333333333745E-2</v>
      </c>
      <c r="B78" s="8" t="s">
        <v>1</v>
      </c>
      <c r="C78" s="9">
        <f t="shared" si="7"/>
        <v>42871</v>
      </c>
      <c r="D78" s="9" t="s">
        <v>49</v>
      </c>
      <c r="E78" s="10">
        <v>0.37152777777777773</v>
      </c>
      <c r="F78" s="10">
        <v>0.74652777777777779</v>
      </c>
      <c r="G78" s="11">
        <v>1</v>
      </c>
      <c r="H78" s="45">
        <v>1</v>
      </c>
      <c r="I78" s="135" t="str">
        <f t="shared" si="4"/>
        <v/>
      </c>
      <c r="J78" s="153">
        <f t="shared" ref="J78:J91" si="8">IF(H78=1,F78-E78-MAX(G78,1)*$F$1-$E$1,F78-E78-$E$1*H78)</f>
        <v>1.5277777777777779E-2</v>
      </c>
      <c r="K78" s="35">
        <v>34</v>
      </c>
      <c r="L78" s="35">
        <v>27</v>
      </c>
      <c r="M78" s="12">
        <v>0.1875</v>
      </c>
      <c r="N78" s="7"/>
      <c r="O78" s="141"/>
      <c r="P78" s="45"/>
      <c r="Q78" s="123">
        <f>(SUM(E$2:E$21)+SUM(E$25:E78))/(COUNTA(E$2:E78)-3)</f>
        <v>0.3839285714285714</v>
      </c>
      <c r="R78" s="46">
        <f>(SUM(H$2:H78)*E$1+A78)/SUM(H$2:H78)</f>
        <v>0.34499999999999997</v>
      </c>
      <c r="S78" s="62"/>
    </row>
    <row r="79" spans="1:19" hidden="1" x14ac:dyDescent="0.3">
      <c r="A79" s="52">
        <f t="shared" si="5"/>
        <v>-5.0694444444448677E-2</v>
      </c>
      <c r="B79" s="8" t="s">
        <v>2</v>
      </c>
      <c r="C79" s="9">
        <f t="shared" si="7"/>
        <v>42872</v>
      </c>
      <c r="D79" s="9" t="s">
        <v>50</v>
      </c>
      <c r="E79" s="10">
        <v>0.37847222222222227</v>
      </c>
      <c r="F79" s="10">
        <v>0.75347222222222221</v>
      </c>
      <c r="G79" s="11">
        <v>2</v>
      </c>
      <c r="H79" s="45">
        <v>1</v>
      </c>
      <c r="I79" s="135" t="str">
        <f t="shared" si="4"/>
        <v/>
      </c>
      <c r="J79" s="153">
        <f t="shared" si="8"/>
        <v>1.3888888888887729E-3</v>
      </c>
      <c r="K79" s="35">
        <v>27</v>
      </c>
      <c r="L79" s="35">
        <v>27</v>
      </c>
      <c r="M79" s="12">
        <v>0.22916666666666666</v>
      </c>
      <c r="N79" s="7"/>
      <c r="O79" s="141"/>
      <c r="P79" s="45"/>
      <c r="Q79" s="123">
        <f>(SUM(E$2:E$21)+SUM(E$25:E79))/(COUNTA(E$2:E79)-3)</f>
        <v>0.38384331597222215</v>
      </c>
      <c r="R79" s="46">
        <f>(SUM(H$2:H79)*E$1+A79)/SUM(H$2:H79)</f>
        <v>0.34503499562554679</v>
      </c>
      <c r="S79" s="62"/>
    </row>
    <row r="80" spans="1:19" hidden="1" x14ac:dyDescent="0.3">
      <c r="A80" s="52">
        <f t="shared" si="5"/>
        <v>-3.5416666666671009E-2</v>
      </c>
      <c r="B80" s="8" t="s">
        <v>3</v>
      </c>
      <c r="C80" s="9">
        <f t="shared" si="7"/>
        <v>42873</v>
      </c>
      <c r="D80" s="9" t="s">
        <v>51</v>
      </c>
      <c r="E80" s="10">
        <v>0.37847222222222227</v>
      </c>
      <c r="F80" s="10">
        <v>0.75347222222222221</v>
      </c>
      <c r="G80" s="11">
        <v>1</v>
      </c>
      <c r="H80" s="45">
        <v>1</v>
      </c>
      <c r="I80" s="135" t="str">
        <f t="shared" si="4"/>
        <v/>
      </c>
      <c r="J80" s="153">
        <f t="shared" si="8"/>
        <v>1.5277777777777668E-2</v>
      </c>
      <c r="K80" s="35" t="s">
        <v>408</v>
      </c>
      <c r="L80" s="35">
        <v>25</v>
      </c>
      <c r="M80" s="12">
        <v>0.20833333333333334</v>
      </c>
      <c r="N80" s="7"/>
      <c r="O80" s="141"/>
      <c r="P80" s="45"/>
      <c r="Q80" s="123">
        <f>(SUM(E$2:E$21)+SUM(E$25:E80))/(COUNTA(E$2:E80)-3)</f>
        <v>0.38376068376068367</v>
      </c>
      <c r="R80" s="46">
        <f>(SUM(H$2:H80)*E$1+A80)/SUM(H$2:H80)</f>
        <v>0.34528423772609818</v>
      </c>
      <c r="S80" s="62"/>
    </row>
    <row r="81" spans="1:19" hidden="1" x14ac:dyDescent="0.3">
      <c r="A81" s="52">
        <f t="shared" si="5"/>
        <v>-8.2638888888893342E-2</v>
      </c>
      <c r="B81" s="13" t="s">
        <v>4</v>
      </c>
      <c r="C81" s="14">
        <f t="shared" si="7"/>
        <v>42874</v>
      </c>
      <c r="D81" s="14" t="s">
        <v>52</v>
      </c>
      <c r="E81" s="15">
        <v>0.40972222222222227</v>
      </c>
      <c r="F81" s="15">
        <v>0.72222222222222221</v>
      </c>
      <c r="G81" s="16">
        <v>0</v>
      </c>
      <c r="H81" s="17">
        <v>1</v>
      </c>
      <c r="I81" s="136">
        <f>IF(J81&lt;0,-J81,"")</f>
        <v>4.7222222222222332E-2</v>
      </c>
      <c r="J81" s="154">
        <f t="shared" si="8"/>
        <v>-4.7222222222222332E-2</v>
      </c>
      <c r="K81" s="36">
        <v>25</v>
      </c>
      <c r="L81" s="36">
        <v>18</v>
      </c>
      <c r="M81" s="18">
        <v>0.125</v>
      </c>
      <c r="N81" s="7"/>
      <c r="O81" s="141"/>
      <c r="P81" s="137">
        <f>A81-A76</f>
        <v>-3.4722222222225985E-3</v>
      </c>
      <c r="Q81" s="123">
        <f>(SUM(E$2:E$21)+SUM(E$25:E81))/(COUNTA(E$2:E81)-3)</f>
        <v>0.38415404040404033</v>
      </c>
      <c r="R81" s="46">
        <f>(SUM(H$2:H81)*E$1+A81)/SUM(H$2:H81)</f>
        <v>0.34457167090754875</v>
      </c>
      <c r="S81" s="41">
        <f>IF(COUNTA(M77:M81)=0,0,SUM(M77:M81)/COUNTA(M77:M81))</f>
        <v>0.20833333333333334</v>
      </c>
    </row>
    <row r="82" spans="1:19" hidden="1" x14ac:dyDescent="0.3">
      <c r="A82" s="51">
        <f t="shared" si="5"/>
        <v>-9.1666666666671143E-2</v>
      </c>
      <c r="B82" s="2" t="s">
        <v>0</v>
      </c>
      <c r="C82" s="3">
        <f t="shared" si="7"/>
        <v>42877</v>
      </c>
      <c r="D82" s="3" t="s">
        <v>53</v>
      </c>
      <c r="E82" s="4">
        <v>0.38194444444444442</v>
      </c>
      <c r="F82" s="4">
        <v>0.74652777777777779</v>
      </c>
      <c r="G82" s="5">
        <v>2</v>
      </c>
      <c r="H82" s="2">
        <v>1</v>
      </c>
      <c r="I82" s="134">
        <f t="shared" si="4"/>
        <v>9.0277777777778012E-3</v>
      </c>
      <c r="J82" s="152">
        <f>IF(H82=1,F82-E82-MAX(G82,1)*$F$1-$E$1,F82-E82-$E$1*H82)</f>
        <v>-9.0277777777778012E-3</v>
      </c>
      <c r="K82" s="34">
        <v>33</v>
      </c>
      <c r="L82" s="34">
        <v>29</v>
      </c>
      <c r="M82" s="6">
        <v>0.16666666666666666</v>
      </c>
      <c r="N82" s="7"/>
      <c r="O82" s="141"/>
      <c r="P82" s="45"/>
      <c r="Q82" s="123">
        <f>(SUM(E$2:E$21)+SUM(E$25:E82))/(COUNTA(E$2:E82)-3)</f>
        <v>0.38412106135986723</v>
      </c>
      <c r="R82" s="46">
        <f>(SUM(H$2:H82)*E$1+A82)/SUM(H$2:H82)</f>
        <v>0.34445488721804507</v>
      </c>
      <c r="S82" s="61"/>
    </row>
    <row r="83" spans="1:19" hidden="1" x14ac:dyDescent="0.3">
      <c r="A83" s="52">
        <f t="shared" si="5"/>
        <v>-5.902777777778237E-2</v>
      </c>
      <c r="B83" s="8" t="s">
        <v>1</v>
      </c>
      <c r="C83" s="9">
        <f t="shared" si="7"/>
        <v>42878</v>
      </c>
      <c r="D83" s="9" t="s">
        <v>54</v>
      </c>
      <c r="E83" s="10">
        <v>0.36805555555555558</v>
      </c>
      <c r="F83" s="10">
        <v>0.76041666666666663</v>
      </c>
      <c r="G83" s="11">
        <v>1</v>
      </c>
      <c r="H83" s="45">
        <v>1</v>
      </c>
      <c r="I83" s="135" t="str">
        <f t="shared" si="4"/>
        <v/>
      </c>
      <c r="J83" s="153">
        <f t="shared" si="8"/>
        <v>3.2638888888888773E-2</v>
      </c>
      <c r="K83" s="35">
        <v>27</v>
      </c>
      <c r="L83" s="78">
        <v>17</v>
      </c>
      <c r="M83" s="12">
        <v>0.375</v>
      </c>
      <c r="N83" s="7"/>
      <c r="O83" s="141"/>
      <c r="P83" s="45"/>
      <c r="Q83" s="123">
        <f>(SUM(E$2:E$21)+SUM(E$25:E83))/(COUNTA(E$2:E83)-3)</f>
        <v>0.38388480392156854</v>
      </c>
      <c r="R83" s="46">
        <f>(SUM(H$2:H83)*E$1+A83)/SUM(H$2:H83)</f>
        <v>0.3449588477366255</v>
      </c>
      <c r="S83" s="62"/>
    </row>
    <row r="84" spans="1:19" hidden="1" x14ac:dyDescent="0.3">
      <c r="A84" s="52">
        <f t="shared" si="5"/>
        <v>-5.7638888888893541E-2</v>
      </c>
      <c r="B84" s="8" t="s">
        <v>2</v>
      </c>
      <c r="C84" s="9">
        <f t="shared" si="7"/>
        <v>42879</v>
      </c>
      <c r="D84" s="9" t="s">
        <v>55</v>
      </c>
      <c r="E84" s="10">
        <v>0.375</v>
      </c>
      <c r="F84" s="10">
        <v>0.75</v>
      </c>
      <c r="G84" s="11">
        <v>2</v>
      </c>
      <c r="H84" s="45">
        <v>1</v>
      </c>
      <c r="I84" s="135" t="str">
        <f t="shared" si="4"/>
        <v/>
      </c>
      <c r="J84" s="153">
        <f t="shared" si="8"/>
        <v>1.3888888888888284E-3</v>
      </c>
      <c r="K84" s="78">
        <v>17</v>
      </c>
      <c r="L84" s="35">
        <v>17</v>
      </c>
      <c r="M84" s="12">
        <v>0.20833333333333334</v>
      </c>
      <c r="N84" s="7"/>
      <c r="O84" s="141"/>
      <c r="P84" s="45"/>
      <c r="Q84" s="123">
        <f>(SUM(E$2:E$21)+SUM(E$25:E84))/(COUNTA(E$2:E84)-3)</f>
        <v>0.38375603864734292</v>
      </c>
      <c r="R84" s="46">
        <f>(SUM(H$2:H84)*E$1+A84)/SUM(H$2:H84)</f>
        <v>0.3449918896999189</v>
      </c>
      <c r="S84" s="62"/>
    </row>
    <row r="85" spans="1:19" hidden="1" x14ac:dyDescent="0.3">
      <c r="A85" s="52">
        <f t="shared" si="5"/>
        <v>-5.7638888888893541E-2</v>
      </c>
      <c r="B85" s="8" t="s">
        <v>3</v>
      </c>
      <c r="C85" s="74">
        <f t="shared" si="7"/>
        <v>42880</v>
      </c>
      <c r="D85" s="74" t="s">
        <v>56</v>
      </c>
      <c r="E85" s="10"/>
      <c r="F85" s="10"/>
      <c r="G85" s="11"/>
      <c r="H85" s="45"/>
      <c r="I85" s="135" t="str">
        <f t="shared" si="4"/>
        <v/>
      </c>
      <c r="J85" s="153"/>
      <c r="K85" s="35">
        <v>15</v>
      </c>
      <c r="L85" s="78">
        <v>11</v>
      </c>
      <c r="M85" s="12">
        <v>0.375</v>
      </c>
      <c r="N85" s="7"/>
      <c r="O85" s="141"/>
      <c r="P85" s="45"/>
      <c r="Q85" s="123">
        <f>(SUM(E$2:E$21)+SUM(E$25:E85))/(COUNTA(E$2:E85)-3)</f>
        <v>0.38375603864734292</v>
      </c>
      <c r="R85" s="46">
        <f>(SUM(H$2:H85)*E$1+A85)/SUM(H$2:H85)</f>
        <v>0.3449918896999189</v>
      </c>
      <c r="S85" s="62"/>
    </row>
    <row r="86" spans="1:19" hidden="1" x14ac:dyDescent="0.3">
      <c r="A86" s="52">
        <f t="shared" si="5"/>
        <v>-3.5416666666671343E-2</v>
      </c>
      <c r="B86" s="13" t="s">
        <v>4</v>
      </c>
      <c r="C86" s="14">
        <f t="shared" si="7"/>
        <v>42881</v>
      </c>
      <c r="D86" s="14" t="s">
        <v>57</v>
      </c>
      <c r="E86" s="15">
        <v>0.37152777777777773</v>
      </c>
      <c r="F86" s="15">
        <v>0.75347222222222221</v>
      </c>
      <c r="G86" s="16">
        <v>1</v>
      </c>
      <c r="H86" s="17">
        <v>1</v>
      </c>
      <c r="I86" s="136" t="str">
        <f>IF(J86&lt;0,-J86,"")</f>
        <v/>
      </c>
      <c r="J86" s="154">
        <f t="shared" si="8"/>
        <v>2.2222222222222199E-2</v>
      </c>
      <c r="K86" s="36">
        <v>25</v>
      </c>
      <c r="L86" s="36">
        <v>21</v>
      </c>
      <c r="M86" s="18">
        <v>0.25</v>
      </c>
      <c r="N86" s="7"/>
      <c r="O86" s="141"/>
      <c r="P86" s="137">
        <f>A86-A81</f>
        <v>4.7222222222221999E-2</v>
      </c>
      <c r="Q86" s="123">
        <f>(SUM(E$2:E$21)+SUM(E$25:E86))/(COUNTA(E$2:E86)-3)</f>
        <v>0.38358134920634912</v>
      </c>
      <c r="R86" s="46">
        <f>(SUM(H$2:H86)*E$1+A86)/SUM(H$2:H86)</f>
        <v>0.34532374100719426</v>
      </c>
      <c r="S86" s="41">
        <f>IF(COUNTA(M82:M86)=0,0,SUM(M82:M86)/COUNTA(M82:M86))</f>
        <v>0.27500000000000002</v>
      </c>
    </row>
    <row r="87" spans="1:19" hidden="1" x14ac:dyDescent="0.3">
      <c r="A87" s="51">
        <f t="shared" si="5"/>
        <v>-3.750000000000478E-2</v>
      </c>
      <c r="B87" s="2" t="s">
        <v>0</v>
      </c>
      <c r="C87" s="3">
        <f t="shared" si="7"/>
        <v>42884</v>
      </c>
      <c r="D87" s="3" t="s">
        <v>58</v>
      </c>
      <c r="E87" s="4">
        <v>0.37847222222222227</v>
      </c>
      <c r="F87" s="4">
        <v>0.75</v>
      </c>
      <c r="G87" s="5">
        <v>2</v>
      </c>
      <c r="H87" s="2">
        <v>1</v>
      </c>
      <c r="I87" s="134">
        <f t="shared" si="4"/>
        <v>2.083333333333437E-3</v>
      </c>
      <c r="J87" s="152">
        <f>IF(H87=1,F87-E87-MAX(G87,1)*$F$1-$E$1,F87-E87-$E$1*H87)</f>
        <v>-2.083333333333437E-3</v>
      </c>
      <c r="K87" s="34">
        <v>33</v>
      </c>
      <c r="L87" s="34" t="s">
        <v>408</v>
      </c>
      <c r="M87" s="6">
        <v>0.14583333333333334</v>
      </c>
      <c r="N87" s="7"/>
      <c r="O87" s="141"/>
      <c r="P87" s="45"/>
      <c r="Q87" s="123">
        <f>(SUM(E$2:E$21)+SUM(E$25:E87))/(COUNTA(E$2:E87)-3)</f>
        <v>0.38350938967136144</v>
      </c>
      <c r="R87" s="46">
        <f>(SUM(H$2:H87)*E$1+A87)/SUM(H$2:H87)</f>
        <v>0.34530141843971629</v>
      </c>
      <c r="S87" s="61"/>
    </row>
    <row r="88" spans="1:19" hidden="1" x14ac:dyDescent="0.3">
      <c r="A88" s="52">
        <f t="shared" si="5"/>
        <v>-3.6111111111115951E-2</v>
      </c>
      <c r="B88" s="8" t="s">
        <v>1</v>
      </c>
      <c r="C88" s="9">
        <f t="shared" si="7"/>
        <v>42885</v>
      </c>
      <c r="D88" s="9" t="s">
        <v>59</v>
      </c>
      <c r="E88" s="10">
        <v>0.37847222222222227</v>
      </c>
      <c r="F88" s="10">
        <v>0.73958333333333337</v>
      </c>
      <c r="G88" s="11">
        <v>1</v>
      </c>
      <c r="H88" s="45">
        <v>1</v>
      </c>
      <c r="I88" s="135" t="str">
        <f t="shared" si="4"/>
        <v/>
      </c>
      <c r="J88" s="153">
        <f t="shared" si="8"/>
        <v>1.3888888888888284E-3</v>
      </c>
      <c r="K88" s="35">
        <v>33</v>
      </c>
      <c r="L88" s="35">
        <v>21</v>
      </c>
      <c r="M88" s="12">
        <v>0.1875</v>
      </c>
      <c r="N88" s="7"/>
      <c r="O88" s="141"/>
      <c r="P88" s="45"/>
      <c r="Q88" s="123">
        <f>(SUM(E$2:E$21)+SUM(E$25:E88))/(COUNTA(E$2:E88)-3)</f>
        <v>0.38343942901234557</v>
      </c>
      <c r="R88" s="46">
        <f>(SUM(H$2:H88)*E$1+A88)/SUM(H$2:H88)</f>
        <v>0.34532828282828282</v>
      </c>
      <c r="S88" s="62"/>
    </row>
    <row r="89" spans="1:19" hidden="1" x14ac:dyDescent="0.3">
      <c r="A89" s="52">
        <f t="shared" si="5"/>
        <v>-3.6111111111115951E-2</v>
      </c>
      <c r="B89" s="8" t="s">
        <v>2</v>
      </c>
      <c r="C89" s="85">
        <f t="shared" si="7"/>
        <v>42886</v>
      </c>
      <c r="D89" s="85" t="s">
        <v>60</v>
      </c>
      <c r="E89" s="10"/>
      <c r="F89" s="10"/>
      <c r="G89" s="11"/>
      <c r="H89" s="45"/>
      <c r="I89" s="135" t="str">
        <f t="shared" si="4"/>
        <v/>
      </c>
      <c r="J89" s="153"/>
      <c r="K89" s="35" t="s">
        <v>408</v>
      </c>
      <c r="L89" s="35" t="s">
        <v>408</v>
      </c>
      <c r="M89" s="12">
        <v>0.39583333333333331</v>
      </c>
      <c r="N89" s="7">
        <f>SUM(H67:H89)</f>
        <v>19</v>
      </c>
      <c r="O89" s="141"/>
      <c r="P89" s="45"/>
      <c r="Q89" s="123">
        <f>(SUM(E$2:E$21)+SUM(E$25:E89))/(COUNTA(E$2:E89)-3)</f>
        <v>0.38343942901234557</v>
      </c>
      <c r="R89" s="46">
        <f>(SUM(H$2:H89)*E$1+A89)/SUM(H$2:H89)</f>
        <v>0.34532828282828282</v>
      </c>
      <c r="S89" s="62"/>
    </row>
    <row r="90" spans="1:19" hidden="1" x14ac:dyDescent="0.3">
      <c r="A90" s="52">
        <f t="shared" si="5"/>
        <v>-3.6111111111115951E-2</v>
      </c>
      <c r="B90" s="8" t="s">
        <v>3</v>
      </c>
      <c r="C90" s="85">
        <f t="shared" si="7"/>
        <v>42887</v>
      </c>
      <c r="D90" s="85" t="s">
        <v>61</v>
      </c>
      <c r="E90" s="10"/>
      <c r="F90" s="10"/>
      <c r="G90" s="11"/>
      <c r="H90" s="45"/>
      <c r="I90" s="135" t="str">
        <f t="shared" si="4"/>
        <v/>
      </c>
      <c r="J90" s="153"/>
      <c r="K90" s="35" t="s">
        <v>408</v>
      </c>
      <c r="L90" s="35" t="s">
        <v>408</v>
      </c>
      <c r="M90" s="12">
        <v>0.375</v>
      </c>
      <c r="N90" s="7"/>
      <c r="O90" s="141"/>
      <c r="P90" s="45"/>
      <c r="Q90" s="123">
        <f>(SUM(E$2:E$21)+SUM(E$25:E90))/(COUNTA(E$2:E90)-3)</f>
        <v>0.38343942901234557</v>
      </c>
      <c r="R90" s="46">
        <f>(SUM(H$2:H90)*E$1+A90)/SUM(H$2:H90)</f>
        <v>0.34532828282828282</v>
      </c>
      <c r="S90" s="62"/>
    </row>
    <row r="91" spans="1:19" hidden="1" x14ac:dyDescent="0.3">
      <c r="A91" s="52">
        <f t="shared" si="5"/>
        <v>-4.1666666666671598E-2</v>
      </c>
      <c r="B91" s="13" t="s">
        <v>4</v>
      </c>
      <c r="C91" s="14">
        <f t="shared" si="7"/>
        <v>42888</v>
      </c>
      <c r="D91" s="14" t="s">
        <v>62</v>
      </c>
      <c r="E91" s="15">
        <v>0.375</v>
      </c>
      <c r="F91" s="15">
        <v>0.72916666666666663</v>
      </c>
      <c r="G91" s="16">
        <v>1</v>
      </c>
      <c r="H91" s="17">
        <v>1</v>
      </c>
      <c r="I91" s="136">
        <f>IF(J91&lt;0,-J91,"")</f>
        <v>5.5555555555556468E-3</v>
      </c>
      <c r="J91" s="154">
        <f t="shared" si="8"/>
        <v>-5.5555555555556468E-3</v>
      </c>
      <c r="K91" s="36">
        <v>30</v>
      </c>
      <c r="L91" s="36">
        <v>18</v>
      </c>
      <c r="M91" s="18">
        <v>0.14583333333333334</v>
      </c>
      <c r="N91" s="7"/>
      <c r="O91" s="141"/>
      <c r="P91" s="137">
        <f>A91-A86</f>
        <v>-6.2500000000002554E-3</v>
      </c>
      <c r="Q91" s="123">
        <f>(SUM(E$2:E$21)+SUM(E$25:E91))/(COUNTA(E$2:E91)-3)</f>
        <v>0.38332382039573809</v>
      </c>
      <c r="R91" s="46">
        <f>(SUM(H$2:H91)*E$1+A91)/SUM(H$2:H91)</f>
        <v>0.34525862068965518</v>
      </c>
      <c r="S91" s="41">
        <f>IF(COUNTA(M87:M91)=0,0,SUM(M87:M91)/COUNTA(M87:M91))</f>
        <v>0.25</v>
      </c>
    </row>
    <row r="92" spans="1:19" hidden="1" x14ac:dyDescent="0.3">
      <c r="A92" s="51">
        <f t="shared" si="5"/>
        <v>-4.1666666666671598E-2</v>
      </c>
      <c r="B92" s="2" t="s">
        <v>0</v>
      </c>
      <c r="C92" s="71">
        <f t="shared" si="7"/>
        <v>42891</v>
      </c>
      <c r="D92" s="71" t="s">
        <v>63</v>
      </c>
      <c r="E92" s="4"/>
      <c r="F92" s="4"/>
      <c r="G92" s="5"/>
      <c r="H92" s="2"/>
      <c r="I92" s="134" t="str">
        <f t="shared" ref="I92:I110" si="9">IF(J92&lt;0,-J92,"")</f>
        <v/>
      </c>
      <c r="J92" s="152"/>
      <c r="K92" s="34">
        <v>27</v>
      </c>
      <c r="L92" s="34">
        <v>20</v>
      </c>
      <c r="M92" s="6">
        <v>0.35416666666666669</v>
      </c>
      <c r="N92" s="7"/>
      <c r="O92" s="141"/>
      <c r="P92" s="45"/>
      <c r="Q92" s="123">
        <f>(SUM(E$2:E$21)+SUM(E$25:E92))/(COUNTA(E$2:E92)-3)</f>
        <v>0.38332382039573809</v>
      </c>
      <c r="R92" s="46">
        <f>(SUM(H$2:H92)*E$1+A92)/SUM(H$2:H92)</f>
        <v>0.34525862068965518</v>
      </c>
      <c r="S92" s="61"/>
    </row>
    <row r="93" spans="1:19" hidden="1" x14ac:dyDescent="0.3">
      <c r="A93" s="52">
        <f t="shared" si="5"/>
        <v>-3.3333333333338405E-2</v>
      </c>
      <c r="B93" s="8" t="s">
        <v>1</v>
      </c>
      <c r="C93" s="9">
        <f t="shared" si="7"/>
        <v>42892</v>
      </c>
      <c r="D93" s="9" t="s">
        <v>64</v>
      </c>
      <c r="E93" s="10">
        <v>0.375</v>
      </c>
      <c r="F93" s="10">
        <v>0.74305555555555547</v>
      </c>
      <c r="G93" s="11">
        <v>1</v>
      </c>
      <c r="H93" s="45">
        <v>1</v>
      </c>
      <c r="I93" s="135" t="str">
        <f t="shared" si="9"/>
        <v/>
      </c>
      <c r="J93" s="153">
        <f t="shared" ref="J93:J103" si="10">IF(H93=1,F93-E93-MAX(G93,1)*$F$1-$E$1,F93-E93-$E$1*H93)</f>
        <v>8.3333333333331927E-3</v>
      </c>
      <c r="K93" s="35">
        <v>20</v>
      </c>
      <c r="L93" s="35">
        <v>20</v>
      </c>
      <c r="M93" s="12">
        <v>0.16666666666666666</v>
      </c>
      <c r="N93" s="7"/>
      <c r="O93" s="141"/>
      <c r="P93" s="45"/>
      <c r="Q93" s="123">
        <f>(SUM(E$2:E$21)+SUM(E$25:E93))/(COUNTA(E$2:E93)-3)</f>
        <v>0.38321133633633625</v>
      </c>
      <c r="R93" s="46">
        <f>(SUM(H$2:H93)*E$1+A93)/SUM(H$2:H93)</f>
        <v>0.34537981859410427</v>
      </c>
      <c r="S93" s="62"/>
    </row>
    <row r="94" spans="1:19" hidden="1" x14ac:dyDescent="0.3">
      <c r="A94" s="52">
        <f t="shared" si="5"/>
        <v>-1.4583333333338472E-2</v>
      </c>
      <c r="B94" s="8" t="s">
        <v>2</v>
      </c>
      <c r="C94" s="9">
        <f t="shared" si="7"/>
        <v>42893</v>
      </c>
      <c r="D94" s="9" t="s">
        <v>65</v>
      </c>
      <c r="E94" s="10">
        <v>0.37152777777777773</v>
      </c>
      <c r="F94" s="10">
        <v>0.76388888888888884</v>
      </c>
      <c r="G94" s="11">
        <v>2</v>
      </c>
      <c r="H94" s="45">
        <v>1</v>
      </c>
      <c r="I94" s="135" t="str">
        <f t="shared" si="9"/>
        <v/>
      </c>
      <c r="J94" s="153">
        <f t="shared" si="10"/>
        <v>1.8749999999999933E-2</v>
      </c>
      <c r="K94" s="78">
        <v>5</v>
      </c>
      <c r="L94" s="35">
        <v>15</v>
      </c>
      <c r="M94" s="12">
        <v>0.125</v>
      </c>
      <c r="N94" s="7"/>
      <c r="O94" s="141"/>
      <c r="P94" s="45"/>
      <c r="Q94" s="123">
        <f>(SUM(E$2:E$21)+SUM(E$25:E94))/(COUNTA(E$2:E94)-3)</f>
        <v>0.38305555555555548</v>
      </c>
      <c r="R94" s="46">
        <f>(SUM(H$2:H94)*E$1+A94)/SUM(H$2:H94)</f>
        <v>0.34563758389261745</v>
      </c>
      <c r="S94" s="62"/>
    </row>
    <row r="95" spans="1:19" hidden="1" x14ac:dyDescent="0.3">
      <c r="A95" s="52">
        <f t="shared" si="5"/>
        <v>1.8055555555550357E-2</v>
      </c>
      <c r="B95" s="8" t="s">
        <v>3</v>
      </c>
      <c r="C95" s="9">
        <f t="shared" si="7"/>
        <v>42894</v>
      </c>
      <c r="D95" s="9" t="s">
        <v>66</v>
      </c>
      <c r="E95" s="10">
        <v>0.37847222222222227</v>
      </c>
      <c r="F95" s="10">
        <v>0.77083333333333337</v>
      </c>
      <c r="G95" s="11">
        <v>1</v>
      </c>
      <c r="H95" s="45">
        <v>1</v>
      </c>
      <c r="I95" s="135" t="str">
        <f t="shared" si="9"/>
        <v/>
      </c>
      <c r="J95" s="153">
        <f t="shared" si="10"/>
        <v>3.2638888888888828E-2</v>
      </c>
      <c r="K95" s="35">
        <v>10</v>
      </c>
      <c r="L95" s="35">
        <v>4</v>
      </c>
      <c r="M95" s="12">
        <v>0.33333333333333331</v>
      </c>
      <c r="N95" s="7"/>
      <c r="O95" s="141"/>
      <c r="P95" s="45"/>
      <c r="Q95" s="123">
        <f>(SUM(E$2:E$21)+SUM(E$25:E95))/(COUNTA(E$2:E95)-3)</f>
        <v>0.38299524853801159</v>
      </c>
      <c r="R95" s="46">
        <f>(SUM(H$2:H95)*E$1+A95)/SUM(H$2:H95)</f>
        <v>0.3460724797645327</v>
      </c>
      <c r="S95" s="62"/>
    </row>
    <row r="96" spans="1:19" hidden="1" x14ac:dyDescent="0.3">
      <c r="A96" s="52">
        <f t="shared" si="5"/>
        <v>6.1111111111105815E-2</v>
      </c>
      <c r="B96" s="13" t="s">
        <v>4</v>
      </c>
      <c r="C96" s="14">
        <f t="shared" si="7"/>
        <v>42895</v>
      </c>
      <c r="D96" s="14" t="s">
        <v>67</v>
      </c>
      <c r="E96" s="15">
        <v>0.3611111111111111</v>
      </c>
      <c r="F96" s="15">
        <v>0.76388888888888884</v>
      </c>
      <c r="G96" s="16">
        <v>1</v>
      </c>
      <c r="H96" s="17">
        <v>1</v>
      </c>
      <c r="I96" s="136" t="str">
        <f>IF(J96&lt;0,-J96,"")</f>
        <v/>
      </c>
      <c r="J96" s="154">
        <f t="shared" si="10"/>
        <v>4.3055555555555458E-2</v>
      </c>
      <c r="K96" s="36">
        <v>4</v>
      </c>
      <c r="L96" s="36">
        <v>9</v>
      </c>
      <c r="M96" s="18">
        <v>0.25</v>
      </c>
      <c r="N96" s="7"/>
      <c r="O96" s="141"/>
      <c r="P96" s="137">
        <f>A96-A91</f>
        <v>0.10277777777777741</v>
      </c>
      <c r="Q96" s="123">
        <f>(SUM(E$2:E$21)+SUM(E$25:E96))/(COUNTA(E$2:E96)-3)</f>
        <v>0.38271103896103886</v>
      </c>
      <c r="R96" s="46">
        <f>(SUM(H$2:H96)*E$1+A96)/SUM(H$2:H96)</f>
        <v>0.34663217138707336</v>
      </c>
      <c r="S96" s="41">
        <f>IF(COUNTA(M92:M96)=0,0,SUM(M92:M96)/COUNTA(M92:M96))</f>
        <v>0.24583333333333335</v>
      </c>
    </row>
    <row r="97" spans="1:19" hidden="1" x14ac:dyDescent="0.3">
      <c r="A97" s="51">
        <f t="shared" si="5"/>
        <v>0.10069444444443901</v>
      </c>
      <c r="B97" s="2" t="s">
        <v>0</v>
      </c>
      <c r="C97" s="3">
        <f t="shared" si="7"/>
        <v>42898</v>
      </c>
      <c r="D97" s="3" t="s">
        <v>68</v>
      </c>
      <c r="E97" s="4">
        <v>0.34722222222222227</v>
      </c>
      <c r="F97" s="4">
        <v>0.76041666666666663</v>
      </c>
      <c r="G97" s="5">
        <v>2</v>
      </c>
      <c r="H97" s="2">
        <v>1</v>
      </c>
      <c r="I97" s="134" t="str">
        <f t="shared" si="9"/>
        <v/>
      </c>
      <c r="J97" s="152">
        <f>IF(H97=1,F97-E97-MAX(G97,1)*$F$1-$E$1,F97-E97-$E$1*H97)</f>
        <v>3.9583333333333193E-2</v>
      </c>
      <c r="K97" s="34">
        <v>19</v>
      </c>
      <c r="L97" s="34">
        <v>20</v>
      </c>
      <c r="M97" s="6">
        <v>0.125</v>
      </c>
      <c r="N97" s="7"/>
      <c r="O97" s="141"/>
      <c r="P97" s="45"/>
      <c r="Q97" s="123">
        <f>(SUM(E$2:E$21)+SUM(E$25:E97))/(COUNTA(E$2:E97)-3)</f>
        <v>0.38225605413105401</v>
      </c>
      <c r="R97" s="46">
        <f>(SUM(H$2:H97)*E$1+A97)/SUM(H$2:H97)</f>
        <v>0.34713261648745514</v>
      </c>
      <c r="S97" s="61"/>
    </row>
    <row r="98" spans="1:19" hidden="1" x14ac:dyDescent="0.3">
      <c r="A98" s="52">
        <f t="shared" si="5"/>
        <v>0.119444444444439</v>
      </c>
      <c r="B98" s="8" t="s">
        <v>1</v>
      </c>
      <c r="C98" s="9">
        <f t="shared" si="7"/>
        <v>42899</v>
      </c>
      <c r="D98" s="9" t="s">
        <v>69</v>
      </c>
      <c r="E98" s="10">
        <v>0.37847222222222227</v>
      </c>
      <c r="F98" s="10">
        <v>0.75694444444444453</v>
      </c>
      <c r="G98" s="11">
        <v>1</v>
      </c>
      <c r="H98" s="45">
        <v>1</v>
      </c>
      <c r="I98" s="135" t="str">
        <f t="shared" si="9"/>
        <v/>
      </c>
      <c r="J98" s="153">
        <f t="shared" si="10"/>
        <v>1.8749999999999989E-2</v>
      </c>
      <c r="K98" s="35">
        <v>20</v>
      </c>
      <c r="L98" s="35">
        <v>15</v>
      </c>
      <c r="M98" s="12">
        <v>0.16666666666666666</v>
      </c>
      <c r="N98" s="7"/>
      <c r="O98" s="141"/>
      <c r="P98" s="45"/>
      <c r="Q98" s="123">
        <f>(SUM(E$2:E$21)+SUM(E$25:E98))/(COUNTA(E$2:E98)-3)</f>
        <v>0.38220815752461312</v>
      </c>
      <c r="R98" s="46">
        <f>(SUM(H$2:H98)*E$1+A98)/SUM(H$2:H98)</f>
        <v>0.34735491861288037</v>
      </c>
      <c r="S98" s="62"/>
    </row>
    <row r="99" spans="1:19" hidden="1" x14ac:dyDescent="0.3">
      <c r="A99" s="52">
        <f t="shared" si="5"/>
        <v>9.9999999999994454E-2</v>
      </c>
      <c r="B99" s="8" t="s">
        <v>2</v>
      </c>
      <c r="C99" s="9">
        <f t="shared" si="7"/>
        <v>42900</v>
      </c>
      <c r="D99" s="9" t="s">
        <v>70</v>
      </c>
      <c r="E99" s="10">
        <v>0.39583333333333331</v>
      </c>
      <c r="F99" s="10">
        <v>0.76388888888888884</v>
      </c>
      <c r="G99" s="11">
        <v>3</v>
      </c>
      <c r="H99" s="45">
        <v>1</v>
      </c>
      <c r="I99" s="135">
        <f t="shared" si="9"/>
        <v>1.9444444444444542E-2</v>
      </c>
      <c r="J99" s="153">
        <f t="shared" si="10"/>
        <v>-1.9444444444444542E-2</v>
      </c>
      <c r="K99" s="35">
        <v>11</v>
      </c>
      <c r="L99" s="35">
        <v>6</v>
      </c>
      <c r="M99" s="12">
        <v>0.25</v>
      </c>
      <c r="N99" s="7"/>
      <c r="O99" s="141"/>
      <c r="P99" s="45"/>
      <c r="Q99" s="123">
        <f>(SUM(E$2:E$21)+SUM(E$25:E99))/(COUNTA(E$2:E99)-3)</f>
        <v>0.3823784722222221</v>
      </c>
      <c r="R99" s="46">
        <f>(SUM(H$2:H99)*E$1+A99)/SUM(H$2:H99)</f>
        <v>0.3470911949685534</v>
      </c>
      <c r="S99" s="62"/>
    </row>
    <row r="100" spans="1:19" hidden="1" x14ac:dyDescent="0.3">
      <c r="A100" s="52">
        <f t="shared" si="5"/>
        <v>0.11527777777777212</v>
      </c>
      <c r="B100" s="8" t="s">
        <v>3</v>
      </c>
      <c r="C100" s="9">
        <f t="shared" si="7"/>
        <v>42901</v>
      </c>
      <c r="D100" s="9" t="s">
        <v>71</v>
      </c>
      <c r="E100" s="10">
        <v>0.37847222222222227</v>
      </c>
      <c r="F100" s="10">
        <v>0.75347222222222221</v>
      </c>
      <c r="G100" s="11">
        <v>1</v>
      </c>
      <c r="H100" s="45">
        <v>1</v>
      </c>
      <c r="I100" s="135" t="str">
        <f t="shared" si="9"/>
        <v/>
      </c>
      <c r="J100" s="153">
        <f t="shared" si="10"/>
        <v>1.5277777777777668E-2</v>
      </c>
      <c r="K100" s="35">
        <v>10</v>
      </c>
      <c r="L100" s="35">
        <v>15</v>
      </c>
      <c r="M100" s="12">
        <v>0.125</v>
      </c>
      <c r="N100" s="7"/>
      <c r="O100" s="141"/>
      <c r="P100" s="45"/>
      <c r="Q100" s="123">
        <f>(SUM(E$2:E$21)+SUM(E$25:E100))/(COUNTA(E$2:E100)-3)</f>
        <v>0.38233024691358014</v>
      </c>
      <c r="R100" s="46">
        <f>(SUM(H$2:H100)*E$1+A100)/SUM(H$2:H100)</f>
        <v>0.34726535541752934</v>
      </c>
      <c r="S100" s="62"/>
    </row>
    <row r="101" spans="1:19" hidden="1" x14ac:dyDescent="0.3">
      <c r="A101" s="53">
        <f t="shared" si="5"/>
        <v>7.1527777777772111E-2</v>
      </c>
      <c r="B101" s="13" t="s">
        <v>4</v>
      </c>
      <c r="C101" s="14">
        <f t="shared" si="7"/>
        <v>42902</v>
      </c>
      <c r="D101" s="14" t="s">
        <v>72</v>
      </c>
      <c r="E101" s="15">
        <v>0.38194444444444442</v>
      </c>
      <c r="F101" s="15">
        <v>0.75347222222222221</v>
      </c>
      <c r="G101" s="16">
        <v>5</v>
      </c>
      <c r="H101" s="17">
        <v>1</v>
      </c>
      <c r="I101" s="136">
        <f>IF(J101&lt;0,-J101,"")</f>
        <v>4.3750000000000011E-2</v>
      </c>
      <c r="J101" s="154">
        <f t="shared" si="10"/>
        <v>-4.3750000000000011E-2</v>
      </c>
      <c r="K101" s="36">
        <v>5</v>
      </c>
      <c r="L101" s="87">
        <v>3</v>
      </c>
      <c r="M101" s="18">
        <v>0.29166666666666669</v>
      </c>
      <c r="N101" s="7"/>
      <c r="O101" s="141"/>
      <c r="P101" s="137">
        <f>A101-A96</f>
        <v>1.0416666666666297E-2</v>
      </c>
      <c r="Q101" s="123">
        <f>(SUM(E$2:E$21)+SUM(E$25:E101))/(COUNTA(E$2:E101)-3)</f>
        <v>0.3823255420054199</v>
      </c>
      <c r="R101" s="46">
        <f>(SUM(H$2:H101)*E$1+A101)/SUM(H$2:H101)</f>
        <v>0.34671097477845941</v>
      </c>
      <c r="S101" s="41">
        <f>IF(COUNTA(M97:M101)=0,0,SUM(M97:M101)/COUNTA(M97:M101))</f>
        <v>0.19166666666666665</v>
      </c>
    </row>
    <row r="102" spans="1:19" hidden="1" x14ac:dyDescent="0.3">
      <c r="A102" s="51">
        <f t="shared" si="5"/>
        <v>4.513888888888315E-2</v>
      </c>
      <c r="B102" s="2" t="s">
        <v>0</v>
      </c>
      <c r="C102" s="3">
        <f t="shared" si="7"/>
        <v>42905</v>
      </c>
      <c r="D102" s="3" t="s">
        <v>73</v>
      </c>
      <c r="E102" s="4">
        <v>0.3888888888888889</v>
      </c>
      <c r="F102" s="4">
        <v>0.75</v>
      </c>
      <c r="G102" s="5">
        <v>3</v>
      </c>
      <c r="H102" s="2">
        <v>1</v>
      </c>
      <c r="I102" s="134">
        <f t="shared" si="9"/>
        <v>2.6388888888888962E-2</v>
      </c>
      <c r="J102" s="152">
        <f>IF(H102=1,F102-E102-MAX(G102,1)*$F$1-$E$1,F102-E102-$E$1*H102)</f>
        <v>-2.6388888888888962E-2</v>
      </c>
      <c r="K102" s="34">
        <v>20</v>
      </c>
      <c r="L102" s="34">
        <v>6</v>
      </c>
      <c r="M102" s="6">
        <v>0.125</v>
      </c>
      <c r="N102" s="7"/>
      <c r="O102" s="141"/>
      <c r="P102" s="45"/>
      <c r="Q102" s="123">
        <f>(SUM(E$2:E$21)+SUM(E$25:E102))/(COUNTA(E$2:E102)-3)</f>
        <v>0.38240461847389545</v>
      </c>
      <c r="R102" s="46">
        <f>(SUM(H$2:H102)*E$1+A102)/SUM(H$2:H102)</f>
        <v>0.34638047138047134</v>
      </c>
      <c r="S102" s="61"/>
    </row>
    <row r="103" spans="1:19" hidden="1" x14ac:dyDescent="0.3">
      <c r="A103" s="52">
        <f t="shared" si="5"/>
        <v>3.9583333333327558E-2</v>
      </c>
      <c r="B103" s="8" t="s">
        <v>1</v>
      </c>
      <c r="C103" s="9">
        <f t="shared" si="7"/>
        <v>42906</v>
      </c>
      <c r="D103" s="9" t="s">
        <v>74</v>
      </c>
      <c r="E103" s="10">
        <v>0.38194444444444442</v>
      </c>
      <c r="F103" s="10">
        <v>0.75</v>
      </c>
      <c r="G103" s="11">
        <v>2</v>
      </c>
      <c r="H103" s="45">
        <v>1</v>
      </c>
      <c r="I103" s="135">
        <f t="shared" si="9"/>
        <v>5.5555555555555913E-3</v>
      </c>
      <c r="J103" s="153">
        <f t="shared" si="10"/>
        <v>-5.5555555555555913E-3</v>
      </c>
      <c r="K103" s="35" t="s">
        <v>408</v>
      </c>
      <c r="L103" s="78">
        <v>0</v>
      </c>
      <c r="M103" s="12">
        <v>0.1875</v>
      </c>
      <c r="N103" s="7"/>
      <c r="O103" s="141"/>
      <c r="P103" s="45"/>
      <c r="Q103" s="123">
        <f>(SUM(E$2:E$21)+SUM(E$25:E103))/(COUNTA(E$2:E103)-3)</f>
        <v>0.38239914021164007</v>
      </c>
      <c r="R103" s="46">
        <f>(SUM(H$2:H103)*E$1+A103)/SUM(H$2:H103)</f>
        <v>0.34630738522954091</v>
      </c>
      <c r="S103" s="62"/>
    </row>
    <row r="104" spans="1:19" hidden="1" x14ac:dyDescent="0.3">
      <c r="A104" s="52">
        <f t="shared" si="5"/>
        <v>3.9583333333327558E-2</v>
      </c>
      <c r="B104" s="8" t="s">
        <v>2</v>
      </c>
      <c r="C104" s="9">
        <f t="shared" si="7"/>
        <v>42907</v>
      </c>
      <c r="D104" s="9" t="s">
        <v>75</v>
      </c>
      <c r="E104" s="10"/>
      <c r="F104" s="10"/>
      <c r="G104" s="11"/>
      <c r="H104" s="45"/>
      <c r="I104" s="135" t="str">
        <f t="shared" si="9"/>
        <v/>
      </c>
      <c r="J104" s="153"/>
      <c r="K104" s="35" t="s">
        <v>408</v>
      </c>
      <c r="L104" s="35" t="s">
        <v>408</v>
      </c>
      <c r="M104" s="12"/>
      <c r="N104" s="7"/>
      <c r="O104" s="141"/>
      <c r="P104" s="45"/>
      <c r="Q104" s="123">
        <f>(SUM(E$2:E$21)+SUM(E$25:E104))/(COUNTA(E$2:E104)-3)</f>
        <v>0.38239914021164007</v>
      </c>
      <c r="R104" s="46">
        <f>(SUM(H$2:H104)*E$1+A104)/SUM(H$2:H104)</f>
        <v>0.34630738522954091</v>
      </c>
      <c r="S104" s="62"/>
    </row>
    <row r="105" spans="1:19" hidden="1" x14ac:dyDescent="0.3">
      <c r="A105" s="52">
        <f t="shared" si="5"/>
        <v>3.9583333333327558E-2</v>
      </c>
      <c r="B105" s="8" t="s">
        <v>3</v>
      </c>
      <c r="C105" s="9">
        <f t="shared" si="7"/>
        <v>42908</v>
      </c>
      <c r="D105" s="9" t="s">
        <v>76</v>
      </c>
      <c r="E105" s="10"/>
      <c r="F105" s="10"/>
      <c r="G105" s="11"/>
      <c r="H105" s="45"/>
      <c r="I105" s="135" t="str">
        <f t="shared" si="9"/>
        <v/>
      </c>
      <c r="J105" s="153"/>
      <c r="K105" s="35" t="s">
        <v>408</v>
      </c>
      <c r="L105" s="35" t="s">
        <v>408</v>
      </c>
      <c r="M105" s="12"/>
      <c r="N105" s="7"/>
      <c r="O105" s="141"/>
      <c r="P105" s="45"/>
      <c r="Q105" s="123">
        <f>(SUM(E$2:E$21)+SUM(E$25:E105))/(COUNTA(E$2:E105)-3)</f>
        <v>0.38239914021164007</v>
      </c>
      <c r="R105" s="46">
        <f>(SUM(H$2:H105)*E$1+A105)/SUM(H$2:H105)</f>
        <v>0.34630738522954091</v>
      </c>
      <c r="S105" s="62"/>
    </row>
    <row r="106" spans="1:19" hidden="1" x14ac:dyDescent="0.3">
      <c r="A106" s="53">
        <f t="shared" si="5"/>
        <v>3.9583333333327558E-2</v>
      </c>
      <c r="B106" s="13" t="s">
        <v>4</v>
      </c>
      <c r="C106" s="14">
        <f t="shared" si="7"/>
        <v>42909</v>
      </c>
      <c r="D106" s="14" t="s">
        <v>77</v>
      </c>
      <c r="E106" s="15"/>
      <c r="F106" s="15"/>
      <c r="G106" s="16"/>
      <c r="H106" s="17"/>
      <c r="I106" s="136" t="str">
        <f>IF(J106&lt;0,-J106,"")</f>
        <v/>
      </c>
      <c r="J106" s="154"/>
      <c r="K106" s="36" t="s">
        <v>408</v>
      </c>
      <c r="L106" s="36">
        <v>20</v>
      </c>
      <c r="M106" s="18"/>
      <c r="N106" s="7"/>
      <c r="O106" s="141"/>
      <c r="P106" s="137">
        <f>A106-A101</f>
        <v>-3.1944444444444553E-2</v>
      </c>
      <c r="Q106" s="123">
        <f>(SUM(E$2:E$21)+SUM(E$25:E106))/(COUNTA(E$2:E106)-3)</f>
        <v>0.38239914021164007</v>
      </c>
      <c r="R106" s="46">
        <f>(SUM(H$2:H106)*E$1+A106)/SUM(H$2:H106)</f>
        <v>0.34630738522954091</v>
      </c>
      <c r="S106" s="41">
        <f>IF(COUNTA(M102:M106)=0,0,SUM(M102:M106)/COUNTA(M102:M106))</f>
        <v>0.15625</v>
      </c>
    </row>
    <row r="107" spans="1:19" hidden="1" x14ac:dyDescent="0.3">
      <c r="A107" s="51">
        <f t="shared" si="5"/>
        <v>3.9583333333327558E-2</v>
      </c>
      <c r="B107" s="2" t="s">
        <v>0</v>
      </c>
      <c r="C107" s="3">
        <f t="shared" si="7"/>
        <v>42912</v>
      </c>
      <c r="D107" s="3" t="s">
        <v>78</v>
      </c>
      <c r="E107" s="4"/>
      <c r="F107" s="4"/>
      <c r="G107" s="5"/>
      <c r="H107" s="2"/>
      <c r="I107" s="134" t="str">
        <f t="shared" si="9"/>
        <v/>
      </c>
      <c r="J107" s="152"/>
      <c r="K107" s="34" t="s">
        <v>408</v>
      </c>
      <c r="L107" s="34" t="s">
        <v>408</v>
      </c>
      <c r="M107" s="6"/>
      <c r="N107" s="7"/>
      <c r="O107" s="141"/>
      <c r="P107" s="45"/>
      <c r="Q107" s="123">
        <f>(SUM(E$2:E$21)+SUM(E$25:E107))/(COUNTA(E$2:E107)-3)</f>
        <v>0.38239914021164007</v>
      </c>
      <c r="R107" s="46">
        <f>(SUM(H$2:H107)*E$1+A107)/SUM(H$2:H107)</f>
        <v>0.34630738522954091</v>
      </c>
      <c r="S107" s="61"/>
    </row>
    <row r="108" spans="1:19" hidden="1" x14ac:dyDescent="0.3">
      <c r="A108" s="52">
        <f t="shared" si="5"/>
        <v>3.9583333333327558E-2</v>
      </c>
      <c r="B108" s="8" t="s">
        <v>1</v>
      </c>
      <c r="C108" s="9">
        <f t="shared" si="7"/>
        <v>42913</v>
      </c>
      <c r="D108" s="9" t="s">
        <v>79</v>
      </c>
      <c r="E108" s="10"/>
      <c r="F108" s="10"/>
      <c r="G108" s="11"/>
      <c r="H108" s="45"/>
      <c r="I108" s="135" t="str">
        <f t="shared" si="9"/>
        <v/>
      </c>
      <c r="J108" s="153"/>
      <c r="K108" s="35" t="s">
        <v>408</v>
      </c>
      <c r="L108" s="35" t="s">
        <v>408</v>
      </c>
      <c r="M108" s="12"/>
      <c r="N108" s="7"/>
      <c r="O108" s="141"/>
      <c r="P108" s="45"/>
      <c r="Q108" s="123">
        <f>(SUM(E$2:E$21)+SUM(E$25:E108))/(COUNTA(E$2:E108)-3)</f>
        <v>0.38239914021164007</v>
      </c>
      <c r="R108" s="46">
        <f>(SUM(H$2:H108)*E$1+A108)/SUM(H$2:H108)</f>
        <v>0.34630738522954091</v>
      </c>
      <c r="S108" s="62"/>
    </row>
    <row r="109" spans="1:19" hidden="1" x14ac:dyDescent="0.3">
      <c r="A109" s="52">
        <f t="shared" si="5"/>
        <v>3.9583333333327558E-2</v>
      </c>
      <c r="B109" s="8" t="s">
        <v>2</v>
      </c>
      <c r="C109" s="9">
        <f t="shared" si="7"/>
        <v>42914</v>
      </c>
      <c r="D109" s="9" t="s">
        <v>80</v>
      </c>
      <c r="E109" s="10"/>
      <c r="F109" s="10"/>
      <c r="G109" s="11"/>
      <c r="H109" s="45"/>
      <c r="I109" s="135" t="str">
        <f t="shared" si="9"/>
        <v/>
      </c>
      <c r="J109" s="153"/>
      <c r="K109" s="35" t="s">
        <v>408</v>
      </c>
      <c r="L109" s="35" t="s">
        <v>408</v>
      </c>
      <c r="M109" s="12"/>
      <c r="N109" s="7"/>
      <c r="O109" s="141"/>
      <c r="P109" s="45"/>
      <c r="Q109" s="123">
        <f>(SUM(E$2:E$21)+SUM(E$25:E109))/(COUNTA(E$2:E109)-3)</f>
        <v>0.38239914021164007</v>
      </c>
      <c r="R109" s="46">
        <f>(SUM(H$2:H109)*E$1+A109)/SUM(H$2:H109)</f>
        <v>0.34630738522954091</v>
      </c>
      <c r="S109" s="62"/>
    </row>
    <row r="110" spans="1:19" hidden="1" x14ac:dyDescent="0.3">
      <c r="A110" s="52">
        <f t="shared" si="5"/>
        <v>6.1805555555549757E-2</v>
      </c>
      <c r="B110" s="8" t="s">
        <v>3</v>
      </c>
      <c r="C110" s="9">
        <f t="shared" si="7"/>
        <v>42915</v>
      </c>
      <c r="D110" s="9" t="s">
        <v>81</v>
      </c>
      <c r="E110" s="10">
        <v>0.38541666666666669</v>
      </c>
      <c r="F110" s="10">
        <v>0.76736111111111116</v>
      </c>
      <c r="G110" s="11">
        <v>1</v>
      </c>
      <c r="H110" s="45">
        <v>1</v>
      </c>
      <c r="I110" s="135" t="str">
        <f t="shared" si="9"/>
        <v/>
      </c>
      <c r="J110" s="153">
        <f t="shared" ref="J110:J120" si="11">IF(H110=1,F110-E110-MAX(G110,1)*$F$1-$E$1,F110-E110-$E$1*H110)</f>
        <v>2.2222222222222199E-2</v>
      </c>
      <c r="K110" s="35">
        <v>35</v>
      </c>
      <c r="L110" s="35">
        <v>30</v>
      </c>
      <c r="M110" s="12">
        <v>0.25</v>
      </c>
      <c r="N110" s="7"/>
      <c r="O110" s="141"/>
      <c r="P110" s="45"/>
      <c r="Q110" s="123">
        <f>(SUM(E$2:E$21)+SUM(E$25:E110))/(COUNTA(E$2:E110)-3)</f>
        <v>0.38243464052287574</v>
      </c>
      <c r="R110" s="46">
        <f>(SUM(H$2:H110)*E$1+A110)/SUM(H$2:H110)</f>
        <v>0.34656476002629849</v>
      </c>
      <c r="S110" s="62"/>
    </row>
    <row r="111" spans="1:19" hidden="1" x14ac:dyDescent="0.3">
      <c r="A111" s="53">
        <f>A110+J111</f>
        <v>2.1527777777771845E-2</v>
      </c>
      <c r="B111" s="13" t="s">
        <v>4</v>
      </c>
      <c r="C111" s="14">
        <f t="shared" si="7"/>
        <v>42916</v>
      </c>
      <c r="D111" s="14" t="s">
        <v>82</v>
      </c>
      <c r="E111" s="15">
        <v>0.36805555555555558</v>
      </c>
      <c r="F111" s="15">
        <v>0.72916666666666663</v>
      </c>
      <c r="G111" s="16">
        <v>4</v>
      </c>
      <c r="H111" s="17">
        <v>1</v>
      </c>
      <c r="I111" s="136">
        <f>IF(J111&lt;0,-J111,"")</f>
        <v>4.0277777777777912E-2</v>
      </c>
      <c r="J111" s="154">
        <f t="shared" si="11"/>
        <v>-4.0277777777777912E-2</v>
      </c>
      <c r="K111" s="36">
        <v>28</v>
      </c>
      <c r="L111" s="36">
        <v>22</v>
      </c>
      <c r="M111" s="18">
        <v>0.125</v>
      </c>
      <c r="N111" s="7">
        <f>SUM(H90:H111)</f>
        <v>14</v>
      </c>
      <c r="O111" s="141"/>
      <c r="P111" s="137">
        <f>A111-A106</f>
        <v>-1.8055555555555713E-2</v>
      </c>
      <c r="Q111" s="123">
        <f>(SUM(E$2:E$21)+SUM(E$25:E111))/(COUNTA(E$2:E111)-3)</f>
        <v>0.38226744186046502</v>
      </c>
      <c r="R111" s="46">
        <f>(SUM(H$2:H111)*E$1+A111)/SUM(H$2:H111)</f>
        <v>0.34608512020792725</v>
      </c>
      <c r="S111" s="41">
        <f>IF(COUNTA(M107:M111)=0,0,SUM(M107:M111)/COUNTA(M107:M111))</f>
        <v>0.1875</v>
      </c>
    </row>
    <row r="112" spans="1:19" hidden="1" x14ac:dyDescent="0.3">
      <c r="A112" s="51">
        <f>A111+J112</f>
        <v>2.2916666666660673E-2</v>
      </c>
      <c r="B112" s="2" t="s">
        <v>0</v>
      </c>
      <c r="C112" s="3">
        <f t="shared" si="7"/>
        <v>42919</v>
      </c>
      <c r="D112" s="3" t="s">
        <v>83</v>
      </c>
      <c r="E112" s="4">
        <v>0.3888888888888889</v>
      </c>
      <c r="F112" s="4">
        <v>0.75</v>
      </c>
      <c r="G112" s="5">
        <v>0</v>
      </c>
      <c r="H112" s="2">
        <v>1</v>
      </c>
      <c r="I112" s="134" t="str">
        <f t="shared" ref="I112:I130" si="12">IF(J112&lt;0,-J112,"")</f>
        <v/>
      </c>
      <c r="J112" s="152">
        <f t="shared" si="11"/>
        <v>1.3888888888888284E-3</v>
      </c>
      <c r="K112" s="34">
        <v>28</v>
      </c>
      <c r="L112" s="34">
        <v>20</v>
      </c>
      <c r="M112" s="6">
        <v>0.125</v>
      </c>
      <c r="N112" s="7"/>
      <c r="O112" s="141"/>
      <c r="P112" s="45"/>
      <c r="Q112" s="123">
        <f>(SUM(E$2:E$21)+SUM(E$25:E112))/(COUNTA(E$2:E112)-3)</f>
        <v>0.38234355044699858</v>
      </c>
      <c r="R112" s="46">
        <f>(SUM(H$2:H112)*E$1+A112)/SUM(H$2:H112)</f>
        <v>0.34609826589595372</v>
      </c>
      <c r="S112" s="61"/>
    </row>
    <row r="113" spans="1:19" hidden="1" x14ac:dyDescent="0.3">
      <c r="A113" s="52">
        <f>A112+J113</f>
        <v>3.1249999999993922E-2</v>
      </c>
      <c r="B113" s="8" t="s">
        <v>1</v>
      </c>
      <c r="C113" s="9">
        <f t="shared" si="7"/>
        <v>42920</v>
      </c>
      <c r="D113" s="9" t="s">
        <v>84</v>
      </c>
      <c r="E113" s="10">
        <v>0.37847222222222227</v>
      </c>
      <c r="F113" s="10">
        <v>0.74652777777777779</v>
      </c>
      <c r="G113" s="11">
        <v>1</v>
      </c>
      <c r="H113" s="45">
        <v>1</v>
      </c>
      <c r="I113" s="135" t="str">
        <f t="shared" si="12"/>
        <v/>
      </c>
      <c r="J113" s="153">
        <f t="shared" si="11"/>
        <v>8.3333333333332482E-3</v>
      </c>
      <c r="K113" s="35">
        <v>32</v>
      </c>
      <c r="L113" s="35">
        <v>15</v>
      </c>
      <c r="M113" s="12">
        <v>0.125</v>
      </c>
      <c r="N113" s="7"/>
      <c r="O113" s="141"/>
      <c r="P113" s="45"/>
      <c r="Q113" s="123">
        <f>(SUM(E$2:E$21)+SUM(E$25:E113))/(COUNTA(E$2:E113)-3)</f>
        <v>0.38229955808080796</v>
      </c>
      <c r="R113" s="46">
        <f>(SUM(H$2:H113)*E$1+A113)/SUM(H$2:H113)</f>
        <v>0.34619047619047616</v>
      </c>
      <c r="S113" s="62"/>
    </row>
    <row r="114" spans="1:19" hidden="1" x14ac:dyDescent="0.3">
      <c r="A114" s="52">
        <f>A113+J114</f>
        <v>2.9166666666660485E-2</v>
      </c>
      <c r="B114" s="8" t="s">
        <v>2</v>
      </c>
      <c r="C114" s="9">
        <f t="shared" si="7"/>
        <v>42921</v>
      </c>
      <c r="D114" s="9" t="s">
        <v>85</v>
      </c>
      <c r="E114" s="10">
        <v>0.37847222222222227</v>
      </c>
      <c r="F114" s="10">
        <v>0.75</v>
      </c>
      <c r="G114" s="11">
        <v>2</v>
      </c>
      <c r="H114" s="45">
        <v>1</v>
      </c>
      <c r="I114" s="135">
        <f t="shared" si="12"/>
        <v>2.083333333333437E-3</v>
      </c>
      <c r="J114" s="153">
        <f t="shared" si="11"/>
        <v>-2.083333333333437E-3</v>
      </c>
      <c r="K114" s="35">
        <v>16</v>
      </c>
      <c r="L114" s="35">
        <v>13</v>
      </c>
      <c r="M114" s="12">
        <v>0.16666666666666666</v>
      </c>
      <c r="N114" s="7"/>
      <c r="O114" s="141"/>
      <c r="P114" s="45"/>
      <c r="Q114" s="123">
        <f>(SUM(E$2:E$21)+SUM(E$25:E114))/(COUNTA(E$2:E114)-3)</f>
        <v>0.38225655430711597</v>
      </c>
      <c r="R114" s="46">
        <f>(SUM(H$2:H114)*E$1+A114)/SUM(H$2:H114)</f>
        <v>0.34616290018832391</v>
      </c>
      <c r="S114" s="62"/>
    </row>
    <row r="115" spans="1:19" hidden="1" x14ac:dyDescent="0.3">
      <c r="A115" s="52">
        <f>A114+J115</f>
        <v>9.7222222222160537E-3</v>
      </c>
      <c r="B115" s="8" t="s">
        <v>3</v>
      </c>
      <c r="C115" s="9">
        <f t="shared" si="7"/>
        <v>42922</v>
      </c>
      <c r="D115" s="9" t="s">
        <v>86</v>
      </c>
      <c r="E115" s="10">
        <v>0.37152777777777773</v>
      </c>
      <c r="F115" s="10">
        <v>0.75347222222222221</v>
      </c>
      <c r="G115" s="11">
        <v>4</v>
      </c>
      <c r="H115" s="45">
        <v>1</v>
      </c>
      <c r="I115" s="135">
        <f t="shared" si="12"/>
        <v>1.9444444444444431E-2</v>
      </c>
      <c r="J115" s="153">
        <f t="shared" si="11"/>
        <v>-1.9444444444444431E-2</v>
      </c>
      <c r="K115" s="35">
        <v>18</v>
      </c>
      <c r="L115" s="35">
        <v>11</v>
      </c>
      <c r="M115" s="12">
        <v>0.27083333333333331</v>
      </c>
      <c r="N115" s="7"/>
      <c r="O115" s="141"/>
      <c r="P115" s="45"/>
      <c r="Q115" s="123">
        <f>(SUM(E$2:E$21)+SUM(E$25:E115))/(COUNTA(E$2:E115)-3)</f>
        <v>0.3821373456790122</v>
      </c>
      <c r="R115" s="46">
        <f>(SUM(H$2:H115)*E$1+A115)/SUM(H$2:H115)</f>
        <v>0.34594196151458717</v>
      </c>
      <c r="S115" s="62"/>
    </row>
    <row r="116" spans="1:19" hidden="1" x14ac:dyDescent="0.3">
      <c r="A116" s="53">
        <f t="shared" ref="A116:A121" si="13">A115+J116</f>
        <v>-2.7777777777840129E-3</v>
      </c>
      <c r="B116" s="13" t="s">
        <v>4</v>
      </c>
      <c r="C116" s="14">
        <f t="shared" si="7"/>
        <v>42923</v>
      </c>
      <c r="D116" s="14" t="s">
        <v>87</v>
      </c>
      <c r="E116" s="15">
        <v>0.38194444444444442</v>
      </c>
      <c r="F116" s="15">
        <v>0.72916666666666663</v>
      </c>
      <c r="G116" s="16">
        <v>1</v>
      </c>
      <c r="H116" s="17">
        <v>1</v>
      </c>
      <c r="I116" s="136">
        <f>IF(J116&lt;0,-J116,"")</f>
        <v>1.2500000000000067E-2</v>
      </c>
      <c r="J116" s="154">
        <f t="shared" si="11"/>
        <v>-1.2500000000000067E-2</v>
      </c>
      <c r="K116" s="36">
        <v>21</v>
      </c>
      <c r="L116" s="36">
        <v>11</v>
      </c>
      <c r="M116" s="18">
        <v>0.125</v>
      </c>
      <c r="N116" s="7"/>
      <c r="O116" s="141"/>
      <c r="P116" s="137">
        <f>A116-A111</f>
        <v>-2.4305555555555858E-2</v>
      </c>
      <c r="Q116" s="123">
        <f>(SUM(E$2:E$21)+SUM(E$25:E116))/(COUNTA(E$2:E116)-3)</f>
        <v>0.38213522588522575</v>
      </c>
      <c r="R116" s="46">
        <f>(SUM(H$2:H116)*E$1+A116)/SUM(H$2:H116)</f>
        <v>0.34580263965623076</v>
      </c>
      <c r="S116" s="41">
        <f>IF(COUNTA(M112:M116)=0,0,SUM(M112:M116)/COUNTA(M112:M116))</f>
        <v>0.16250000000000001</v>
      </c>
    </row>
    <row r="117" spans="1:19" hidden="1" x14ac:dyDescent="0.3">
      <c r="A117" s="51">
        <f t="shared" si="13"/>
        <v>2.0833333333269699E-3</v>
      </c>
      <c r="B117" s="2" t="s">
        <v>0</v>
      </c>
      <c r="C117" s="3">
        <f t="shared" si="7"/>
        <v>42926</v>
      </c>
      <c r="D117" s="3" t="s">
        <v>88</v>
      </c>
      <c r="E117" s="4">
        <v>0.38541666666666669</v>
      </c>
      <c r="F117" s="4">
        <v>0.76388888888888884</v>
      </c>
      <c r="G117" s="5">
        <v>2</v>
      </c>
      <c r="H117" s="2">
        <v>1</v>
      </c>
      <c r="I117" s="134" t="str">
        <f t="shared" si="12"/>
        <v/>
      </c>
      <c r="J117" s="152">
        <f t="shared" si="11"/>
        <v>4.8611111111109828E-3</v>
      </c>
      <c r="K117" s="34">
        <v>20</v>
      </c>
      <c r="L117" s="34" t="s">
        <v>408</v>
      </c>
      <c r="M117" s="6">
        <v>0.35416666666666669</v>
      </c>
      <c r="N117" s="7"/>
      <c r="O117" s="141"/>
      <c r="P117" s="45"/>
      <c r="Q117" s="123">
        <f>(SUM(E$2:E$21)+SUM(E$25:E117))/(COUNTA(E$2:E117)-3)</f>
        <v>0.38217089371980667</v>
      </c>
      <c r="R117" s="46">
        <f>(SUM(H$2:H117)*E$1+A117)/SUM(H$2:H117)</f>
        <v>0.34585610200364297</v>
      </c>
      <c r="S117" s="61"/>
    </row>
    <row r="118" spans="1:19" hidden="1" x14ac:dyDescent="0.3">
      <c r="A118" s="52">
        <f t="shared" si="13"/>
        <v>2.0833333333326959E-2</v>
      </c>
      <c r="B118" s="8" t="s">
        <v>1</v>
      </c>
      <c r="C118" s="115">
        <f t="shared" si="7"/>
        <v>42927</v>
      </c>
      <c r="D118" s="115" t="s">
        <v>89</v>
      </c>
      <c r="E118" s="10">
        <v>0.37847222222222227</v>
      </c>
      <c r="F118" s="10">
        <v>0.75694444444444453</v>
      </c>
      <c r="G118" s="11">
        <v>0</v>
      </c>
      <c r="H118" s="45">
        <v>1</v>
      </c>
      <c r="I118" s="135" t="str">
        <f t="shared" si="12"/>
        <v/>
      </c>
      <c r="J118" s="153">
        <f t="shared" si="11"/>
        <v>1.8749999999999989E-2</v>
      </c>
      <c r="K118" s="35">
        <v>25</v>
      </c>
      <c r="L118" s="35">
        <v>9</v>
      </c>
      <c r="M118" s="12">
        <v>8.3333333333333329E-2</v>
      </c>
      <c r="N118" s="7"/>
      <c r="O118" s="141"/>
      <c r="P118" s="45"/>
      <c r="Q118" s="123">
        <f>(SUM(E$2:E$21)+SUM(E$25:E118))/(COUNTA(E$2:E118)-3)</f>
        <v>0.3821311230585423</v>
      </c>
      <c r="R118" s="46">
        <f>(SUM(H$2:H118)*E$1+A118)/SUM(H$2:H118)</f>
        <v>0.34605855855855855</v>
      </c>
      <c r="S118" s="62"/>
    </row>
    <row r="119" spans="1:19" hidden="1" x14ac:dyDescent="0.3">
      <c r="A119" s="52">
        <f t="shared" si="13"/>
        <v>3.2638888888882361E-2</v>
      </c>
      <c r="B119" s="8" t="s">
        <v>2</v>
      </c>
      <c r="C119" s="9">
        <f t="shared" si="7"/>
        <v>42928</v>
      </c>
      <c r="D119" s="9" t="s">
        <v>90</v>
      </c>
      <c r="E119" s="124">
        <v>0.37847222222222227</v>
      </c>
      <c r="F119" s="10">
        <v>0.76388888888888884</v>
      </c>
      <c r="G119" s="11">
        <v>2</v>
      </c>
      <c r="H119" s="45">
        <v>1</v>
      </c>
      <c r="I119" s="135" t="str">
        <f t="shared" si="12"/>
        <v/>
      </c>
      <c r="J119" s="153">
        <f t="shared" si="11"/>
        <v>1.1805555555555403E-2</v>
      </c>
      <c r="K119" s="35">
        <v>13</v>
      </c>
      <c r="L119" s="35">
        <v>11</v>
      </c>
      <c r="M119" s="12">
        <v>0.25</v>
      </c>
      <c r="N119" s="7"/>
      <c r="O119" s="141"/>
      <c r="P119" s="45"/>
      <c r="Q119" s="123">
        <f>(SUM(E$2:E$21)+SUM(E$25:E119))/(COUNTA(E$2:E119)-3)</f>
        <v>0.38209219858156018</v>
      </c>
      <c r="R119" s="46">
        <f>(SUM(H$2:H119)*E$1+A119)/SUM(H$2:H119)</f>
        <v>0.34618241235888297</v>
      </c>
      <c r="S119" s="62"/>
    </row>
    <row r="120" spans="1:19" hidden="1" x14ac:dyDescent="0.3">
      <c r="A120" s="52">
        <f t="shared" si="13"/>
        <v>4.7916666666660196E-2</v>
      </c>
      <c r="B120" s="8" t="s">
        <v>3</v>
      </c>
      <c r="C120" s="9">
        <f t="shared" si="7"/>
        <v>42929</v>
      </c>
      <c r="D120" s="9" t="s">
        <v>91</v>
      </c>
      <c r="E120" s="10">
        <v>0.38194444444444442</v>
      </c>
      <c r="F120" s="10">
        <v>0.75694444444444453</v>
      </c>
      <c r="G120" s="11">
        <v>0</v>
      </c>
      <c r="H120" s="45">
        <v>1</v>
      </c>
      <c r="I120" s="135" t="str">
        <f t="shared" si="12"/>
        <v/>
      </c>
      <c r="J120" s="153">
        <f t="shared" si="11"/>
        <v>1.5277777777777835E-2</v>
      </c>
      <c r="K120" s="35">
        <v>12</v>
      </c>
      <c r="L120" s="35" t="s">
        <v>408</v>
      </c>
      <c r="M120" s="12">
        <v>0.27083333333333331</v>
      </c>
      <c r="N120" s="7"/>
      <c r="O120" s="141"/>
      <c r="P120" s="45"/>
      <c r="Q120" s="123">
        <f>(SUM(E$2:E$21)+SUM(E$25:E120))/(COUNTA(E$2:E120)-3)</f>
        <v>0.3820906432748537</v>
      </c>
      <c r="R120" s="46">
        <f>(SUM(H$2:H120)*E$1+A120)/SUM(H$2:H120)</f>
        <v>0.34634038800705463</v>
      </c>
      <c r="S120" s="62"/>
    </row>
    <row r="121" spans="1:19" hidden="1" x14ac:dyDescent="0.3">
      <c r="A121" s="53">
        <f t="shared" si="13"/>
        <v>4.7916666666660196E-2</v>
      </c>
      <c r="B121" s="13" t="s">
        <v>4</v>
      </c>
      <c r="C121" s="116">
        <f t="shared" si="7"/>
        <v>42930</v>
      </c>
      <c r="D121" s="116" t="s">
        <v>92</v>
      </c>
      <c r="E121" s="15"/>
      <c r="F121" s="15"/>
      <c r="G121" s="16"/>
      <c r="H121" s="17"/>
      <c r="I121" s="136" t="str">
        <f>IF(J121&lt;0,-J121,"")</f>
        <v/>
      </c>
      <c r="J121" s="154"/>
      <c r="K121" s="36">
        <v>8</v>
      </c>
      <c r="L121" s="36" t="s">
        <v>408</v>
      </c>
      <c r="M121" s="18">
        <v>0.16666666666666666</v>
      </c>
      <c r="N121" s="7"/>
      <c r="O121" s="141"/>
      <c r="P121" s="137">
        <f>A121-A116</f>
        <v>5.0694444444444209E-2</v>
      </c>
      <c r="Q121" s="123">
        <f>(SUM(E$2:E$21)+SUM(E$25:E121))/(COUNTA(E$2:E121)-3)</f>
        <v>0.3820906432748537</v>
      </c>
      <c r="R121" s="46">
        <f>(SUM(H$2:H121)*E$1+A121)/SUM(H$2:H121)</f>
        <v>0.34634038800705463</v>
      </c>
      <c r="S121" s="41">
        <f>IF(COUNTA(M117:M121)=0,0,SUM(M117:M121)/COUNTA(M117:M121))</f>
        <v>0.22500000000000001</v>
      </c>
    </row>
    <row r="122" spans="1:19" hidden="1" x14ac:dyDescent="0.3">
      <c r="A122" s="51">
        <f>A121+J122</f>
        <v>6.3194444444437864E-2</v>
      </c>
      <c r="B122" s="2" t="s">
        <v>0</v>
      </c>
      <c r="C122" s="3">
        <f t="shared" si="7"/>
        <v>42933</v>
      </c>
      <c r="D122" s="3" t="s">
        <v>93</v>
      </c>
      <c r="E122" s="4">
        <v>0.3888888888888889</v>
      </c>
      <c r="F122" s="4">
        <v>0.76388888888888884</v>
      </c>
      <c r="G122" s="5">
        <v>1</v>
      </c>
      <c r="H122" s="2">
        <v>1</v>
      </c>
      <c r="I122" s="134" t="str">
        <f t="shared" si="12"/>
        <v/>
      </c>
      <c r="J122" s="152">
        <f t="shared" ref="J122:J132" si="14">IF(H122=1,F122-E122-MAX(G122,1)*$F$1-$E$1,F122-E122-$E$1*H122)</f>
        <v>1.5277777777777668E-2</v>
      </c>
      <c r="K122" s="34">
        <v>25</v>
      </c>
      <c r="L122" s="34">
        <v>18</v>
      </c>
      <c r="M122" s="6">
        <v>0.25</v>
      </c>
      <c r="N122" s="7"/>
      <c r="O122" s="141"/>
      <c r="P122" s="45"/>
      <c r="Q122" s="123">
        <f>(SUM(E$2:E$21)+SUM(E$25:E122))/(COUNTA(E$2:E122)-3)</f>
        <v>0.3821614583333332</v>
      </c>
      <c r="R122" s="46">
        <f>(SUM(H$2:H122)*E$1+A122)/SUM(H$2:H122)</f>
        <v>0.34649505526468871</v>
      </c>
      <c r="S122" s="61"/>
    </row>
    <row r="123" spans="1:19" hidden="1" x14ac:dyDescent="0.3">
      <c r="A123" s="52">
        <f>A122+J123</f>
        <v>0.10624999999999343</v>
      </c>
      <c r="B123" s="8" t="s">
        <v>1</v>
      </c>
      <c r="C123" s="9">
        <f t="shared" si="7"/>
        <v>42934</v>
      </c>
      <c r="D123" s="9" t="s">
        <v>94</v>
      </c>
      <c r="E123" s="10">
        <v>0.36458333333333331</v>
      </c>
      <c r="F123" s="10">
        <v>0.76736111111111116</v>
      </c>
      <c r="G123" s="11">
        <v>1</v>
      </c>
      <c r="H123" s="45">
        <v>1</v>
      </c>
      <c r="I123" s="135" t="str">
        <f t="shared" si="12"/>
        <v/>
      </c>
      <c r="J123" s="153">
        <f t="shared" si="14"/>
        <v>4.3055555555555569E-2</v>
      </c>
      <c r="K123" s="35">
        <v>16</v>
      </c>
      <c r="L123" s="35">
        <v>11</v>
      </c>
      <c r="M123" s="12">
        <v>0.16666666666666666</v>
      </c>
      <c r="N123" s="7"/>
      <c r="O123" s="141"/>
      <c r="P123" s="45"/>
      <c r="Q123" s="123">
        <f>(SUM(E$2:E$21)+SUM(E$25:E123))/(COUNTA(E$2:E123)-3)</f>
        <v>0.38198024054982804</v>
      </c>
      <c r="R123" s="46">
        <f>(SUM(H$2:H123)*E$1+A123)/SUM(H$2:H123)</f>
        <v>0.34693436960276336</v>
      </c>
      <c r="S123" s="62"/>
    </row>
    <row r="124" spans="1:19" hidden="1" x14ac:dyDescent="0.3">
      <c r="A124" s="52">
        <f>A123+J124</f>
        <v>0.10763888888888221</v>
      </c>
      <c r="B124" s="8" t="s">
        <v>2</v>
      </c>
      <c r="C124" s="9">
        <f t="shared" si="7"/>
        <v>42935</v>
      </c>
      <c r="D124" s="9" t="s">
        <v>95</v>
      </c>
      <c r="E124" s="10">
        <v>0.3888888888888889</v>
      </c>
      <c r="F124" s="10">
        <v>0.76388888888888884</v>
      </c>
      <c r="G124" s="11">
        <v>2</v>
      </c>
      <c r="H124" s="45">
        <v>1</v>
      </c>
      <c r="I124" s="135" t="str">
        <f t="shared" si="12"/>
        <v/>
      </c>
      <c r="J124" s="153">
        <f t="shared" si="14"/>
        <v>1.3888888888887729E-3</v>
      </c>
      <c r="K124" s="35" t="s">
        <v>408</v>
      </c>
      <c r="L124" s="35">
        <v>5</v>
      </c>
      <c r="M124" s="12">
        <v>0.22222222222222221</v>
      </c>
      <c r="N124" s="7"/>
      <c r="O124" s="141"/>
      <c r="P124" s="45"/>
      <c r="Q124" s="123">
        <f>(SUM(E$2:E$21)+SUM(E$25:E124))/(COUNTA(E$2:E124)-3)</f>
        <v>0.38205073696145109</v>
      </c>
      <c r="R124" s="46">
        <f>(SUM(H$2:H124)*E$1+A124)/SUM(H$2:H124)</f>
        <v>0.34693732193732196</v>
      </c>
      <c r="S124" s="62"/>
    </row>
    <row r="125" spans="1:19" hidden="1" x14ac:dyDescent="0.3">
      <c r="A125" s="52">
        <f>A124+J125</f>
        <v>0.10208333333332661</v>
      </c>
      <c r="B125" s="8" t="s">
        <v>3</v>
      </c>
      <c r="C125" s="9">
        <f t="shared" si="7"/>
        <v>42936</v>
      </c>
      <c r="D125" s="9" t="s">
        <v>96</v>
      </c>
      <c r="E125" s="10">
        <v>0.38541666666666669</v>
      </c>
      <c r="F125" s="10">
        <v>0.73958333333333337</v>
      </c>
      <c r="G125" s="11">
        <v>1</v>
      </c>
      <c r="H125" s="45">
        <v>1</v>
      </c>
      <c r="I125" s="135">
        <f t="shared" si="12"/>
        <v>5.5555555555555913E-3</v>
      </c>
      <c r="J125" s="153">
        <f t="shared" si="14"/>
        <v>-5.5555555555555913E-3</v>
      </c>
      <c r="K125" s="35">
        <v>13</v>
      </c>
      <c r="L125" s="35" t="s">
        <v>408</v>
      </c>
      <c r="M125" s="12">
        <v>0.1875</v>
      </c>
      <c r="N125" s="7"/>
      <c r="O125" s="141"/>
      <c r="P125" s="45"/>
      <c r="Q125" s="123">
        <f>(SUM(E$2:E$21)+SUM(E$25:E125))/(COUNTA(E$2:E125)-3)</f>
        <v>0.38208473625140282</v>
      </c>
      <c r="R125" s="46">
        <f>(SUM(H$2:H125)*E$1+A125)/SUM(H$2:H125)</f>
        <v>0.34686971235194586</v>
      </c>
      <c r="S125" s="62"/>
    </row>
    <row r="126" spans="1:19" hidden="1" x14ac:dyDescent="0.3">
      <c r="A126" s="53">
        <f>A125+J126</f>
        <v>7.1527777777771029E-2</v>
      </c>
      <c r="B126" s="13" t="s">
        <v>4</v>
      </c>
      <c r="C126" s="117">
        <f t="shared" si="7"/>
        <v>42937</v>
      </c>
      <c r="D126" s="117" t="s">
        <v>97</v>
      </c>
      <c r="E126" s="15">
        <v>0.36458333333333331</v>
      </c>
      <c r="F126" s="15">
        <v>0.50694444444444442</v>
      </c>
      <c r="G126" s="16">
        <v>0</v>
      </c>
      <c r="H126" s="17">
        <v>0.5</v>
      </c>
      <c r="I126" s="136">
        <f>IF(J126&lt;0,-J126,"")</f>
        <v>3.0555555555555586E-2</v>
      </c>
      <c r="J126" s="154">
        <f t="shared" si="14"/>
        <v>-3.0555555555555586E-2</v>
      </c>
      <c r="K126" s="36">
        <v>13</v>
      </c>
      <c r="L126" s="36" t="s">
        <v>408</v>
      </c>
      <c r="M126" s="18">
        <v>0.27083333333333331</v>
      </c>
      <c r="N126" s="7"/>
      <c r="O126" s="141"/>
      <c r="P126" s="137">
        <f>A126-A121</f>
        <v>2.3611111111110833E-2</v>
      </c>
      <c r="Q126" s="123">
        <f>(SUM(E$2:E$21)+SUM(E$25:E126))/(COUNTA(E$2:E126)-3)</f>
        <v>0.38190972222222208</v>
      </c>
      <c r="R126" s="46">
        <f>(SUM(H$2:H126)*E$1+A126)/SUM(H$2:H126)</f>
        <v>0.34655583613916946</v>
      </c>
      <c r="S126" s="41">
        <f>IF(COUNTA(M122:M126)=0,0,SUM(M122:M126)/COUNTA(M122:M126))</f>
        <v>0.21944444444444441</v>
      </c>
    </row>
    <row r="127" spans="1:19" hidden="1" x14ac:dyDescent="0.3">
      <c r="A127" s="51">
        <f t="shared" ref="A127:A190" si="15">A126+J127</f>
        <v>5.9027777777770962E-2</v>
      </c>
      <c r="B127" s="2" t="s">
        <v>0</v>
      </c>
      <c r="C127" s="3">
        <f t="shared" si="7"/>
        <v>42940</v>
      </c>
      <c r="D127" s="3" t="s">
        <v>98</v>
      </c>
      <c r="E127" s="118">
        <v>0.38194444444444442</v>
      </c>
      <c r="F127" s="118">
        <v>0.72916666666666663</v>
      </c>
      <c r="G127" s="5">
        <v>0</v>
      </c>
      <c r="H127" s="2">
        <v>1</v>
      </c>
      <c r="I127" s="134">
        <f t="shared" si="12"/>
        <v>1.2500000000000067E-2</v>
      </c>
      <c r="J127" s="152">
        <f t="shared" si="14"/>
        <v>-1.2500000000000067E-2</v>
      </c>
      <c r="K127" s="34" t="s">
        <v>408</v>
      </c>
      <c r="L127" s="34" t="s">
        <v>408</v>
      </c>
      <c r="M127" s="6">
        <v>0.16666666666666666</v>
      </c>
      <c r="N127" s="7"/>
      <c r="O127" s="141"/>
      <c r="P127" s="45"/>
      <c r="Q127" s="123">
        <f>(SUM(E$2:E$21)+SUM(E$25:E127))/(COUNTA(E$2:E127)-3)</f>
        <v>0.38191006600660049</v>
      </c>
      <c r="R127" s="46">
        <f>(SUM(H$2:H127)*E$1+A127)/SUM(H$2:H127)</f>
        <v>0.34642361111111108</v>
      </c>
      <c r="S127" s="61"/>
    </row>
    <row r="128" spans="1:19" hidden="1" x14ac:dyDescent="0.3">
      <c r="A128" s="52">
        <f t="shared" si="15"/>
        <v>4.6527777777770896E-2</v>
      </c>
      <c r="B128" s="8" t="s">
        <v>1</v>
      </c>
      <c r="C128" s="9">
        <f t="shared" si="7"/>
        <v>42941</v>
      </c>
      <c r="D128" s="9" t="s">
        <v>99</v>
      </c>
      <c r="E128" s="119">
        <v>0.38194444444444442</v>
      </c>
      <c r="F128" s="119">
        <v>0.72916666666666663</v>
      </c>
      <c r="G128" s="11">
        <v>0</v>
      </c>
      <c r="H128" s="45">
        <v>1</v>
      </c>
      <c r="I128" s="135">
        <f t="shared" si="12"/>
        <v>1.2500000000000067E-2</v>
      </c>
      <c r="J128" s="153">
        <f t="shared" si="14"/>
        <v>-1.2500000000000067E-2</v>
      </c>
      <c r="K128" s="35" t="s">
        <v>408</v>
      </c>
      <c r="L128" s="35" t="s">
        <v>408</v>
      </c>
      <c r="M128" s="12">
        <v>0.22916666666666666</v>
      </c>
      <c r="N128" s="7"/>
      <c r="O128" s="141"/>
      <c r="P128" s="45"/>
      <c r="Q128" s="123">
        <f>(SUM(E$2:E$21)+SUM(E$25:E128))/(COUNTA(E$2:E128)-3)</f>
        <v>0.38191040305010876</v>
      </c>
      <c r="R128" s="46">
        <f>(SUM(H$2:H128)*E$1+A128)/SUM(H$2:H128)</f>
        <v>0.34629400440044</v>
      </c>
      <c r="S128" s="62"/>
    </row>
    <row r="129" spans="1:19" hidden="1" x14ac:dyDescent="0.3">
      <c r="A129" s="52">
        <f t="shared" si="15"/>
        <v>3.4027777777770829E-2</v>
      </c>
      <c r="B129" s="8" t="s">
        <v>2</v>
      </c>
      <c r="C129" s="9">
        <f t="shared" si="7"/>
        <v>42942</v>
      </c>
      <c r="D129" s="9" t="s">
        <v>100</v>
      </c>
      <c r="E129" s="119">
        <v>0.38194444444444442</v>
      </c>
      <c r="F129" s="119">
        <v>0.72916666666666663</v>
      </c>
      <c r="G129" s="11">
        <v>0</v>
      </c>
      <c r="H129" s="45">
        <v>1</v>
      </c>
      <c r="I129" s="135">
        <f t="shared" si="12"/>
        <v>1.2500000000000067E-2</v>
      </c>
      <c r="J129" s="153">
        <f t="shared" si="14"/>
        <v>-1.2500000000000067E-2</v>
      </c>
      <c r="K129" s="35" t="s">
        <v>408</v>
      </c>
      <c r="L129" s="35" t="s">
        <v>408</v>
      </c>
      <c r="M129" s="12">
        <v>0.20833333333333334</v>
      </c>
      <c r="N129" s="7"/>
      <c r="O129" s="141"/>
      <c r="P129" s="45"/>
      <c r="Q129" s="123">
        <f>(SUM(E$2:E$21)+SUM(E$25:E129))/(COUNTA(E$2:E129)-3)</f>
        <v>0.38191073354908295</v>
      </c>
      <c r="R129" s="46">
        <f>(SUM(H$2:H129)*E$1+A129)/SUM(H$2:H129)</f>
        <v>0.34616693899782136</v>
      </c>
      <c r="S129" s="62"/>
    </row>
    <row r="130" spans="1:19" hidden="1" x14ac:dyDescent="0.3">
      <c r="A130" s="52">
        <f t="shared" si="15"/>
        <v>7.6388888888818673E-3</v>
      </c>
      <c r="B130" s="8" t="s">
        <v>3</v>
      </c>
      <c r="C130" s="9">
        <f t="shared" si="7"/>
        <v>42943</v>
      </c>
      <c r="D130" s="9" t="s">
        <v>101</v>
      </c>
      <c r="E130" s="10">
        <v>0.3888888888888889</v>
      </c>
      <c r="F130" s="10">
        <v>0.75</v>
      </c>
      <c r="G130" s="11">
        <v>3</v>
      </c>
      <c r="H130" s="45">
        <v>1</v>
      </c>
      <c r="I130" s="135">
        <f t="shared" si="12"/>
        <v>2.6388888888888962E-2</v>
      </c>
      <c r="J130" s="153">
        <f t="shared" si="14"/>
        <v>-2.6388888888888962E-2</v>
      </c>
      <c r="K130" s="35">
        <v>23</v>
      </c>
      <c r="L130" s="35">
        <v>23</v>
      </c>
      <c r="M130" s="12">
        <v>0.25</v>
      </c>
      <c r="N130" s="7"/>
      <c r="O130" s="141"/>
      <c r="P130" s="45"/>
      <c r="Q130" s="123">
        <f>(SUM(E$2:E$21)+SUM(E$25:E130))/(COUNTA(E$2:E130)-3)</f>
        <v>0.38197783119658102</v>
      </c>
      <c r="R130" s="46">
        <f>(SUM(H$2:H130)*E$1+A130)/SUM(H$2:H130)</f>
        <v>0.34590749730312836</v>
      </c>
      <c r="S130" s="62"/>
    </row>
    <row r="131" spans="1:19" hidden="1" x14ac:dyDescent="0.3">
      <c r="A131" s="53">
        <f t="shared" si="15"/>
        <v>2.083333333326276E-3</v>
      </c>
      <c r="B131" s="13" t="s">
        <v>4</v>
      </c>
      <c r="C131" s="117">
        <f t="shared" si="7"/>
        <v>42944</v>
      </c>
      <c r="D131" s="117" t="s">
        <v>102</v>
      </c>
      <c r="E131" s="15">
        <v>0.3923611111111111</v>
      </c>
      <c r="F131" s="15">
        <v>0.74652777777777779</v>
      </c>
      <c r="G131" s="16">
        <v>1</v>
      </c>
      <c r="H131" s="17">
        <v>1</v>
      </c>
      <c r="I131" s="136">
        <f>IF(J131&lt;0,-J131,"")</f>
        <v>5.5555555555555913E-3</v>
      </c>
      <c r="J131" s="154">
        <f t="shared" si="14"/>
        <v>-5.5555555555555913E-3</v>
      </c>
      <c r="K131" s="36">
        <v>15</v>
      </c>
      <c r="L131" s="36">
        <v>9</v>
      </c>
      <c r="M131" s="18">
        <v>0.27083333333333331</v>
      </c>
      <c r="N131" s="7"/>
      <c r="O131" s="141"/>
      <c r="P131" s="137">
        <f>A131-A126</f>
        <v>-6.9444444444444753E-2</v>
      </c>
      <c r="Q131" s="123">
        <f>(SUM(E$2:E$21)+SUM(E$25:E131))/(COUNTA(E$2:E131)-3)</f>
        <v>0.38207671957671946</v>
      </c>
      <c r="R131" s="46">
        <f>(SUM(H$2:H131)*E$1+A131)/SUM(H$2:H131)</f>
        <v>0.34585336538461531</v>
      </c>
      <c r="S131" s="41">
        <f>IF(COUNTA(M127:M131)=0,0,SUM(M127:M131)/COUNTA(M127:M131))</f>
        <v>0.22500000000000001</v>
      </c>
    </row>
    <row r="132" spans="1:19" hidden="1" x14ac:dyDescent="0.3">
      <c r="A132" s="51">
        <f t="shared" si="15"/>
        <v>1.3888888888881679E-2</v>
      </c>
      <c r="B132" s="2" t="s">
        <v>0</v>
      </c>
      <c r="C132" s="3">
        <f t="shared" si="7"/>
        <v>42947</v>
      </c>
      <c r="D132" s="3" t="s">
        <v>103</v>
      </c>
      <c r="E132" s="4">
        <v>0.37847222222222227</v>
      </c>
      <c r="F132" s="4">
        <v>0.76388888888888884</v>
      </c>
      <c r="G132" s="5">
        <v>2</v>
      </c>
      <c r="H132" s="2">
        <v>1</v>
      </c>
      <c r="I132" s="134" t="str">
        <f t="shared" ref="I132:I150" si="16">IF(J132&lt;0,-J132,"")</f>
        <v/>
      </c>
      <c r="J132" s="152">
        <f t="shared" si="14"/>
        <v>1.1805555555555403E-2</v>
      </c>
      <c r="K132" s="34" t="s">
        <v>408</v>
      </c>
      <c r="L132" s="34">
        <v>9</v>
      </c>
      <c r="M132" s="6">
        <v>0.27083333333333331</v>
      </c>
      <c r="N132" s="7">
        <f>SUM(H112:H132)</f>
        <v>19.5</v>
      </c>
      <c r="O132" s="141"/>
      <c r="P132" s="45"/>
      <c r="Q132" s="123">
        <f>(SUM(E$2:E$21)+SUM(E$25:E132))/(COUNTA(E$2:E132)-3)</f>
        <v>0.38204271488469588</v>
      </c>
      <c r="R132" s="46">
        <f>(SUM(H$2:H132)*E$1+A132)/SUM(H$2:H132)</f>
        <v>0.34596560846560842</v>
      </c>
      <c r="S132" s="61"/>
    </row>
    <row r="133" spans="1:19" hidden="1" x14ac:dyDescent="0.3">
      <c r="A133" s="52">
        <f t="shared" si="15"/>
        <v>1.3888888888881679E-2</v>
      </c>
      <c r="B133" s="8" t="s">
        <v>1</v>
      </c>
      <c r="C133" s="85">
        <f t="shared" si="7"/>
        <v>42948</v>
      </c>
      <c r="D133" s="85" t="s">
        <v>104</v>
      </c>
      <c r="E133" s="10"/>
      <c r="F133" s="10"/>
      <c r="G133" s="11"/>
      <c r="H133" s="45"/>
      <c r="I133" s="135" t="str">
        <f t="shared" si="16"/>
        <v/>
      </c>
      <c r="J133" s="153"/>
      <c r="K133" s="35" t="s">
        <v>408</v>
      </c>
      <c r="L133" s="35">
        <v>9</v>
      </c>
      <c r="M133" s="12"/>
      <c r="N133" s="7"/>
      <c r="O133" s="141"/>
      <c r="P133" s="45"/>
      <c r="Q133" s="123">
        <f>(SUM(E$2:E$21)+SUM(E$25:E133))/(COUNTA(E$2:E133)-3)</f>
        <v>0.38204271488469588</v>
      </c>
      <c r="R133" s="46">
        <f>(SUM(H$2:H133)*E$1+A133)/SUM(H$2:H133)</f>
        <v>0.34596560846560842</v>
      </c>
      <c r="S133" s="62"/>
    </row>
    <row r="134" spans="1:19" hidden="1" x14ac:dyDescent="0.3">
      <c r="A134" s="52">
        <f t="shared" si="15"/>
        <v>1.3888888888881679E-2</v>
      </c>
      <c r="B134" s="8" t="s">
        <v>2</v>
      </c>
      <c r="C134" s="9">
        <f t="shared" si="7"/>
        <v>42949</v>
      </c>
      <c r="D134" s="9" t="s">
        <v>105</v>
      </c>
      <c r="E134" s="10"/>
      <c r="F134" s="10"/>
      <c r="G134" s="11"/>
      <c r="H134" s="45"/>
      <c r="I134" s="135" t="str">
        <f t="shared" si="16"/>
        <v/>
      </c>
      <c r="J134" s="153"/>
      <c r="K134" s="35" t="s">
        <v>408</v>
      </c>
      <c r="L134" s="35" t="s">
        <v>408</v>
      </c>
      <c r="M134" s="12"/>
      <c r="N134" s="7"/>
      <c r="O134" s="141"/>
      <c r="P134" s="45"/>
      <c r="Q134" s="123">
        <f>(SUM(E$2:E$21)+SUM(E$25:E134))/(COUNTA(E$2:E134)-3)</f>
        <v>0.38204271488469588</v>
      </c>
      <c r="R134" s="46">
        <f>(SUM(H$2:H134)*E$1+A134)/SUM(H$2:H134)</f>
        <v>0.34596560846560842</v>
      </c>
      <c r="S134" s="62"/>
    </row>
    <row r="135" spans="1:19" hidden="1" x14ac:dyDescent="0.3">
      <c r="A135" s="52">
        <f t="shared" si="15"/>
        <v>1.3888888888881679E-2</v>
      </c>
      <c r="B135" s="8" t="s">
        <v>3</v>
      </c>
      <c r="C135" s="9">
        <f t="shared" si="7"/>
        <v>42950</v>
      </c>
      <c r="D135" s="9" t="s">
        <v>106</v>
      </c>
      <c r="E135" s="10"/>
      <c r="F135" s="10"/>
      <c r="G135" s="11"/>
      <c r="H135" s="45"/>
      <c r="I135" s="135" t="str">
        <f t="shared" si="16"/>
        <v/>
      </c>
      <c r="J135" s="153"/>
      <c r="K135" s="35" t="s">
        <v>408</v>
      </c>
      <c r="L135" s="35" t="s">
        <v>408</v>
      </c>
      <c r="M135" s="12"/>
      <c r="N135" s="7"/>
      <c r="O135" s="141"/>
      <c r="P135" s="45"/>
      <c r="Q135" s="123">
        <f>(SUM(E$2:E$21)+SUM(E$25:E135))/(COUNTA(E$2:E135)-3)</f>
        <v>0.38204271488469588</v>
      </c>
      <c r="R135" s="46">
        <f>(SUM(H$2:H135)*E$1+A135)/SUM(H$2:H135)</f>
        <v>0.34596560846560842</v>
      </c>
      <c r="S135" s="62"/>
    </row>
    <row r="136" spans="1:19" hidden="1" x14ac:dyDescent="0.3">
      <c r="A136" s="53">
        <f t="shared" si="15"/>
        <v>1.3888888888881679E-2</v>
      </c>
      <c r="B136" s="13" t="s">
        <v>4</v>
      </c>
      <c r="C136" s="117">
        <f t="shared" ref="C136:C199" si="17">C131+7</f>
        <v>42951</v>
      </c>
      <c r="D136" s="117" t="s">
        <v>107</v>
      </c>
      <c r="E136" s="15"/>
      <c r="F136" s="15"/>
      <c r="G136" s="16"/>
      <c r="H136" s="17"/>
      <c r="I136" s="136" t="str">
        <f>IF(J136&lt;0,-J136,"")</f>
        <v/>
      </c>
      <c r="J136" s="154"/>
      <c r="K136" s="36">
        <v>15</v>
      </c>
      <c r="L136" s="36" t="s">
        <v>408</v>
      </c>
      <c r="M136" s="18"/>
      <c r="N136" s="7"/>
      <c r="O136" s="141"/>
      <c r="P136" s="137">
        <f>A136-A131</f>
        <v>1.1805555555555403E-2</v>
      </c>
      <c r="Q136" s="123">
        <f>(SUM(E$2:E$21)+SUM(E$25:E136))/(COUNTA(E$2:E136)-3)</f>
        <v>0.38204271488469588</v>
      </c>
      <c r="R136" s="46">
        <f>(SUM(H$2:H136)*E$1+A136)/SUM(H$2:H136)</f>
        <v>0.34596560846560842</v>
      </c>
      <c r="S136" s="41">
        <f>IF(COUNTA(M132:M136)=0,0,SUM(M132:M136)/COUNTA(M132:M136))</f>
        <v>0.27083333333333331</v>
      </c>
    </row>
    <row r="137" spans="1:19" hidden="1" x14ac:dyDescent="0.3">
      <c r="A137" s="51">
        <f t="shared" si="15"/>
        <v>1.3888888888881679E-2</v>
      </c>
      <c r="B137" s="2" t="s">
        <v>0</v>
      </c>
      <c r="C137" s="3">
        <f t="shared" si="17"/>
        <v>42954</v>
      </c>
      <c r="D137" s="3" t="s">
        <v>108</v>
      </c>
      <c r="E137" s="4"/>
      <c r="F137" s="4"/>
      <c r="G137" s="5"/>
      <c r="H137" s="2"/>
      <c r="I137" s="134" t="str">
        <f t="shared" si="16"/>
        <v/>
      </c>
      <c r="J137" s="152"/>
      <c r="K137" s="34" t="s">
        <v>408</v>
      </c>
      <c r="L137" s="34" t="s">
        <v>408</v>
      </c>
      <c r="M137" s="6"/>
      <c r="N137" s="7"/>
      <c r="O137" s="141"/>
      <c r="P137" s="45"/>
      <c r="Q137" s="123">
        <f>(SUM(E$2:E$21)+SUM(E$25:E137))/(COUNTA(E$2:E137)-3)</f>
        <v>0.38204271488469588</v>
      </c>
      <c r="R137" s="46">
        <f>(SUM(H$2:H137)*E$1+A137)/SUM(H$2:H137)</f>
        <v>0.34596560846560842</v>
      </c>
      <c r="S137" s="61"/>
    </row>
    <row r="138" spans="1:19" hidden="1" x14ac:dyDescent="0.3">
      <c r="A138" s="52">
        <f t="shared" si="15"/>
        <v>1.3888888888881679E-2</v>
      </c>
      <c r="B138" s="8" t="s">
        <v>1</v>
      </c>
      <c r="C138" s="9">
        <f t="shared" si="17"/>
        <v>42955</v>
      </c>
      <c r="D138" s="9" t="s">
        <v>109</v>
      </c>
      <c r="E138" s="10"/>
      <c r="F138" s="10"/>
      <c r="G138" s="11"/>
      <c r="H138" s="45"/>
      <c r="I138" s="135" t="str">
        <f t="shared" si="16"/>
        <v/>
      </c>
      <c r="J138" s="153"/>
      <c r="K138" s="35" t="s">
        <v>408</v>
      </c>
      <c r="L138" s="35" t="s">
        <v>408</v>
      </c>
      <c r="M138" s="12"/>
      <c r="N138" s="7"/>
      <c r="O138" s="141"/>
      <c r="P138" s="45"/>
      <c r="Q138" s="123">
        <f>(SUM(E$2:E$21)+SUM(E$25:E138))/(COUNTA(E$2:E138)-3)</f>
        <v>0.38204271488469588</v>
      </c>
      <c r="R138" s="46">
        <f>(SUM(H$2:H138)*E$1+A138)/SUM(H$2:H138)</f>
        <v>0.34596560846560842</v>
      </c>
      <c r="S138" s="62"/>
    </row>
    <row r="139" spans="1:19" hidden="1" x14ac:dyDescent="0.3">
      <c r="A139" s="52">
        <f t="shared" si="15"/>
        <v>1.3888888888881679E-2</v>
      </c>
      <c r="B139" s="8" t="s">
        <v>2</v>
      </c>
      <c r="C139" s="9">
        <f t="shared" si="17"/>
        <v>42956</v>
      </c>
      <c r="D139" s="9" t="s">
        <v>110</v>
      </c>
      <c r="E139" s="10"/>
      <c r="F139" s="10"/>
      <c r="G139" s="11"/>
      <c r="H139" s="45"/>
      <c r="I139" s="135" t="str">
        <f t="shared" si="16"/>
        <v/>
      </c>
      <c r="J139" s="153"/>
      <c r="K139" s="35" t="s">
        <v>408</v>
      </c>
      <c r="L139" s="35" t="s">
        <v>408</v>
      </c>
      <c r="M139" s="12"/>
      <c r="N139" s="7"/>
      <c r="O139" s="141"/>
      <c r="P139" s="45"/>
      <c r="Q139" s="123">
        <f>(SUM(E$2:E$21)+SUM(E$25:E139))/(COUNTA(E$2:E139)-3)</f>
        <v>0.38204271488469588</v>
      </c>
      <c r="R139" s="46">
        <f>(SUM(H$2:H139)*E$1+A139)/SUM(H$2:H139)</f>
        <v>0.34596560846560842</v>
      </c>
      <c r="S139" s="62"/>
    </row>
    <row r="140" spans="1:19" hidden="1" x14ac:dyDescent="0.3">
      <c r="A140" s="52">
        <f t="shared" si="15"/>
        <v>1.3888888888881679E-2</v>
      </c>
      <c r="B140" s="8" t="s">
        <v>3</v>
      </c>
      <c r="C140" s="9">
        <f t="shared" si="17"/>
        <v>42957</v>
      </c>
      <c r="D140" s="9" t="s">
        <v>111</v>
      </c>
      <c r="E140" s="10"/>
      <c r="F140" s="10"/>
      <c r="G140" s="11"/>
      <c r="H140" s="45"/>
      <c r="I140" s="135" t="str">
        <f t="shared" si="16"/>
        <v/>
      </c>
      <c r="J140" s="153"/>
      <c r="K140" s="35" t="s">
        <v>408</v>
      </c>
      <c r="L140" s="35" t="s">
        <v>408</v>
      </c>
      <c r="M140" s="12"/>
      <c r="N140" s="7"/>
      <c r="O140" s="141"/>
      <c r="P140" s="45"/>
      <c r="Q140" s="123">
        <f>(SUM(E$2:E$21)+SUM(E$25:E140))/(COUNTA(E$2:E140)-3)</f>
        <v>0.38204271488469588</v>
      </c>
      <c r="R140" s="46">
        <f>(SUM(H$2:H140)*E$1+A140)/SUM(H$2:H140)</f>
        <v>0.34596560846560842</v>
      </c>
      <c r="S140" s="62"/>
    </row>
    <row r="141" spans="1:19" hidden="1" x14ac:dyDescent="0.3">
      <c r="A141" s="53">
        <f t="shared" si="15"/>
        <v>1.3888888888881679E-2</v>
      </c>
      <c r="B141" s="13" t="s">
        <v>4</v>
      </c>
      <c r="C141" s="117">
        <f t="shared" si="17"/>
        <v>42958</v>
      </c>
      <c r="D141" s="117" t="s">
        <v>112</v>
      </c>
      <c r="E141" s="15"/>
      <c r="F141" s="15"/>
      <c r="G141" s="16"/>
      <c r="H141" s="17"/>
      <c r="I141" s="136" t="str">
        <f>IF(J141&lt;0,-J141,"")</f>
        <v/>
      </c>
      <c r="J141" s="154"/>
      <c r="K141" s="36">
        <v>15</v>
      </c>
      <c r="L141" s="36" t="s">
        <v>408</v>
      </c>
      <c r="M141" s="18"/>
      <c r="N141" s="7"/>
      <c r="O141" s="141"/>
      <c r="P141" s="137">
        <f>A141-A136</f>
        <v>0</v>
      </c>
      <c r="Q141" s="123">
        <f>(SUM(E$2:E$21)+SUM(E$25:E141))/(COUNTA(E$2:E141)-3)</f>
        <v>0.38204271488469588</v>
      </c>
      <c r="R141" s="46">
        <f>(SUM(H$2:H141)*E$1+A141)/SUM(H$2:H141)</f>
        <v>0.34596560846560842</v>
      </c>
      <c r="S141" s="41">
        <f>S136</f>
        <v>0.27083333333333331</v>
      </c>
    </row>
    <row r="142" spans="1:19" hidden="1" x14ac:dyDescent="0.3">
      <c r="A142" s="51">
        <f t="shared" si="15"/>
        <v>1.3888888888881679E-2</v>
      </c>
      <c r="B142" s="2" t="s">
        <v>0</v>
      </c>
      <c r="C142" s="3">
        <f t="shared" si="17"/>
        <v>42961</v>
      </c>
      <c r="D142" s="3" t="s">
        <v>113</v>
      </c>
      <c r="E142" s="4"/>
      <c r="F142" s="4"/>
      <c r="G142" s="5"/>
      <c r="H142" s="2"/>
      <c r="I142" s="134" t="str">
        <f t="shared" si="16"/>
        <v/>
      </c>
      <c r="J142" s="152"/>
      <c r="K142" s="34" t="s">
        <v>408</v>
      </c>
      <c r="L142" s="34" t="s">
        <v>408</v>
      </c>
      <c r="M142" s="6"/>
      <c r="N142" s="7"/>
      <c r="O142" s="141"/>
      <c r="P142" s="45"/>
      <c r="Q142" s="123">
        <f>(SUM(E$2:E$21)+SUM(E$25:E142))/(COUNTA(E$2:E142)-3)</f>
        <v>0.38204271488469588</v>
      </c>
      <c r="R142" s="46">
        <f>(SUM(H$2:H142)*E$1+A142)/SUM(H$2:H142)</f>
        <v>0.34596560846560842</v>
      </c>
      <c r="S142" s="61"/>
    </row>
    <row r="143" spans="1:19" hidden="1" x14ac:dyDescent="0.3">
      <c r="A143" s="52">
        <f t="shared" si="15"/>
        <v>1.3888888888881679E-2</v>
      </c>
      <c r="B143" s="8" t="s">
        <v>1</v>
      </c>
      <c r="C143" s="74">
        <f t="shared" si="17"/>
        <v>42962</v>
      </c>
      <c r="D143" s="74" t="s">
        <v>114</v>
      </c>
      <c r="E143" s="10"/>
      <c r="F143" s="10"/>
      <c r="G143" s="11"/>
      <c r="H143" s="45"/>
      <c r="I143" s="135" t="str">
        <f t="shared" si="16"/>
        <v/>
      </c>
      <c r="J143" s="153"/>
      <c r="K143" s="35" t="s">
        <v>408</v>
      </c>
      <c r="L143" s="35" t="s">
        <v>408</v>
      </c>
      <c r="M143" s="12"/>
      <c r="N143" s="7"/>
      <c r="O143" s="141"/>
      <c r="P143" s="45"/>
      <c r="Q143" s="123">
        <f>(SUM(E$2:E$21)+SUM(E$25:E143))/(COUNTA(E$2:E143)-3)</f>
        <v>0.38204271488469588</v>
      </c>
      <c r="R143" s="46">
        <f>(SUM(H$2:H143)*E$1+A143)/SUM(H$2:H143)</f>
        <v>0.34596560846560842</v>
      </c>
      <c r="S143" s="62"/>
    </row>
    <row r="144" spans="1:19" hidden="1" x14ac:dyDescent="0.3">
      <c r="A144" s="52">
        <f t="shared" si="15"/>
        <v>1.3888888888881679E-2</v>
      </c>
      <c r="B144" s="8" t="s">
        <v>2</v>
      </c>
      <c r="C144" s="9">
        <f t="shared" si="17"/>
        <v>42963</v>
      </c>
      <c r="D144" s="9" t="s">
        <v>130</v>
      </c>
      <c r="E144" s="10"/>
      <c r="F144" s="10"/>
      <c r="G144" s="11"/>
      <c r="H144" s="45"/>
      <c r="I144" s="135" t="str">
        <f t="shared" si="16"/>
        <v/>
      </c>
      <c r="J144" s="153"/>
      <c r="K144" s="35" t="s">
        <v>408</v>
      </c>
      <c r="L144" s="35" t="s">
        <v>408</v>
      </c>
      <c r="M144" s="12"/>
      <c r="N144" s="7"/>
      <c r="O144" s="141"/>
      <c r="P144" s="45"/>
      <c r="Q144" s="123">
        <f>(SUM(E$2:E$21)+SUM(E$25:E144))/(COUNTA(E$2:E144)-3)</f>
        <v>0.38204271488469588</v>
      </c>
      <c r="R144" s="46">
        <f>(SUM(H$2:H144)*E$1+A144)/SUM(H$2:H144)</f>
        <v>0.34596560846560842</v>
      </c>
      <c r="S144" s="62"/>
    </row>
    <row r="145" spans="1:19" hidden="1" x14ac:dyDescent="0.3">
      <c r="A145" s="52">
        <f t="shared" si="15"/>
        <v>1.3888888888881679E-2</v>
      </c>
      <c r="B145" s="8" t="s">
        <v>3</v>
      </c>
      <c r="C145" s="9">
        <f t="shared" si="17"/>
        <v>42964</v>
      </c>
      <c r="D145" s="9" t="s">
        <v>131</v>
      </c>
      <c r="E145" s="10"/>
      <c r="F145" s="10"/>
      <c r="G145" s="11"/>
      <c r="H145" s="45"/>
      <c r="I145" s="135" t="str">
        <f t="shared" si="16"/>
        <v/>
      </c>
      <c r="J145" s="153"/>
      <c r="K145" s="35" t="s">
        <v>408</v>
      </c>
      <c r="L145" s="35" t="s">
        <v>408</v>
      </c>
      <c r="M145" s="12"/>
      <c r="N145" s="7"/>
      <c r="O145" s="141"/>
      <c r="P145" s="45"/>
      <c r="Q145" s="123">
        <f>(SUM(E$2:E$21)+SUM(E$25:E145))/(COUNTA(E$2:E145)-3)</f>
        <v>0.38204271488469588</v>
      </c>
      <c r="R145" s="46">
        <f>(SUM(H$2:H145)*E$1+A145)/SUM(H$2:H145)</f>
        <v>0.34596560846560842</v>
      </c>
      <c r="S145" s="62"/>
    </row>
    <row r="146" spans="1:19" hidden="1" x14ac:dyDescent="0.3">
      <c r="A146" s="53">
        <f t="shared" si="15"/>
        <v>1.3888888888881679E-2</v>
      </c>
      <c r="B146" s="13" t="s">
        <v>4</v>
      </c>
      <c r="C146" s="117">
        <f t="shared" si="17"/>
        <v>42965</v>
      </c>
      <c r="D146" s="117" t="s">
        <v>132</v>
      </c>
      <c r="E146" s="15"/>
      <c r="F146" s="15"/>
      <c r="G146" s="16"/>
      <c r="H146" s="17"/>
      <c r="I146" s="136" t="str">
        <f>IF(J146&lt;0,-J146,"")</f>
        <v/>
      </c>
      <c r="J146" s="154"/>
      <c r="K146" s="36">
        <v>15</v>
      </c>
      <c r="L146" s="36" t="s">
        <v>408</v>
      </c>
      <c r="M146" s="18"/>
      <c r="N146" s="7"/>
      <c r="O146" s="141"/>
      <c r="P146" s="137">
        <f>A146-A141</f>
        <v>0</v>
      </c>
      <c r="Q146" s="123">
        <f>(SUM(E$2:E$21)+SUM(E$25:E146))/(COUNTA(E$2:E146)-3)</f>
        <v>0.38204271488469588</v>
      </c>
      <c r="R146" s="46">
        <f>(SUM(H$2:H146)*E$1+A146)/SUM(H$2:H146)</f>
        <v>0.34596560846560842</v>
      </c>
      <c r="S146" s="41">
        <f>S141</f>
        <v>0.27083333333333331</v>
      </c>
    </row>
    <row r="147" spans="1:19" hidden="1" x14ac:dyDescent="0.3">
      <c r="A147" s="51">
        <f t="shared" si="15"/>
        <v>1.3888888888881679E-2</v>
      </c>
      <c r="B147" s="2" t="s">
        <v>0</v>
      </c>
      <c r="C147" s="120">
        <f t="shared" si="17"/>
        <v>42968</v>
      </c>
      <c r="D147" s="120" t="s">
        <v>133</v>
      </c>
      <c r="E147" s="4"/>
      <c r="F147" s="4"/>
      <c r="G147" s="5"/>
      <c r="H147" s="2"/>
      <c r="I147" s="134" t="str">
        <f t="shared" si="16"/>
        <v/>
      </c>
      <c r="J147" s="152"/>
      <c r="K147" s="34" t="s">
        <v>408</v>
      </c>
      <c r="L147" s="34" t="s">
        <v>408</v>
      </c>
      <c r="M147" s="6">
        <v>0.16666666666666666</v>
      </c>
      <c r="N147" s="7"/>
      <c r="O147" s="141"/>
      <c r="P147" s="45"/>
      <c r="Q147" s="123">
        <f>(SUM(E$2:E$21)+SUM(E$25:E147))/(COUNTA(E$2:E147)-3)</f>
        <v>0.38204271488469588</v>
      </c>
      <c r="R147" s="46">
        <f>(SUM(H$2:H147)*E$1+A147)/SUM(H$2:H147)</f>
        <v>0.34596560846560842</v>
      </c>
      <c r="S147" s="61"/>
    </row>
    <row r="148" spans="1:19" hidden="1" x14ac:dyDescent="0.3">
      <c r="A148" s="52">
        <f t="shared" si="15"/>
        <v>-2.0833333333406534E-3</v>
      </c>
      <c r="B148" s="8" t="s">
        <v>1</v>
      </c>
      <c r="C148" s="121">
        <f t="shared" si="17"/>
        <v>42969</v>
      </c>
      <c r="D148" s="121" t="s">
        <v>134</v>
      </c>
      <c r="E148" s="10">
        <v>0.375</v>
      </c>
      <c r="F148" s="10">
        <v>0.76041666666666663</v>
      </c>
      <c r="G148" s="11">
        <v>4</v>
      </c>
      <c r="H148" s="45">
        <v>1</v>
      </c>
      <c r="I148" s="135">
        <f t="shared" si="16"/>
        <v>1.5972222222222332E-2</v>
      </c>
      <c r="J148" s="153">
        <f t="shared" ref="J148:J169" si="18">IF(H148=1,F148-E148-MAX(G148,1)*$F$1-$E$1,F148-E148-$E$1*H148)</f>
        <v>-1.5972222222222332E-2</v>
      </c>
      <c r="K148" s="35">
        <v>36</v>
      </c>
      <c r="L148" s="35">
        <v>18</v>
      </c>
      <c r="M148" s="12">
        <v>0.16666666666666666</v>
      </c>
      <c r="N148" s="7"/>
      <c r="O148" s="141"/>
      <c r="P148" s="45"/>
      <c r="Q148" s="123">
        <f>(SUM(E$2:E$21)+SUM(E$25:E148))/(COUNTA(E$2:E148)-3)</f>
        <v>0.38197689511941835</v>
      </c>
      <c r="R148" s="46">
        <f>(SUM(H$2:H148)*E$1+A148)/SUM(H$2:H148)</f>
        <v>0.345813679245283</v>
      </c>
      <c r="S148" s="62"/>
    </row>
    <row r="149" spans="1:19" hidden="1" x14ac:dyDescent="0.3">
      <c r="A149" s="52">
        <f t="shared" si="15"/>
        <v>2.7777777777704404E-3</v>
      </c>
      <c r="B149" s="8" t="s">
        <v>2</v>
      </c>
      <c r="C149" s="121">
        <f t="shared" si="17"/>
        <v>42970</v>
      </c>
      <c r="D149" s="121" t="s">
        <v>135</v>
      </c>
      <c r="E149" s="10">
        <v>0.3888888888888889</v>
      </c>
      <c r="F149" s="10">
        <v>0.76736111111111116</v>
      </c>
      <c r="G149" s="11">
        <v>2</v>
      </c>
      <c r="H149" s="45">
        <v>1</v>
      </c>
      <c r="I149" s="135" t="str">
        <f t="shared" si="16"/>
        <v/>
      </c>
      <c r="J149" s="153">
        <f t="shared" si="18"/>
        <v>4.8611111111110938E-3</v>
      </c>
      <c r="K149" s="35" t="s">
        <v>408</v>
      </c>
      <c r="L149" s="35">
        <v>19</v>
      </c>
      <c r="M149" s="12">
        <v>0.3125</v>
      </c>
      <c r="N149" s="7"/>
      <c r="O149" s="141"/>
      <c r="P149" s="45"/>
      <c r="Q149" s="123">
        <f>(SUM(E$2:E$21)+SUM(E$25:E149))/(COUNTA(E$2:E149)-3)</f>
        <v>0.38204089506172823</v>
      </c>
      <c r="R149" s="46">
        <f>(SUM(H$2:H149)*E$1+A149)/SUM(H$2:H149)</f>
        <v>0.34585929387331255</v>
      </c>
      <c r="S149" s="62"/>
    </row>
    <row r="150" spans="1:19" hidden="1" x14ac:dyDescent="0.3">
      <c r="A150" s="52">
        <f t="shared" si="15"/>
        <v>2.1527777777770429E-2</v>
      </c>
      <c r="B150" s="8" t="s">
        <v>3</v>
      </c>
      <c r="C150" s="121">
        <f t="shared" si="17"/>
        <v>42971</v>
      </c>
      <c r="D150" s="121" t="s">
        <v>136</v>
      </c>
      <c r="E150" s="10">
        <v>0.3923611111111111</v>
      </c>
      <c r="F150" s="10">
        <v>0.77083333333333337</v>
      </c>
      <c r="G150" s="11">
        <v>0</v>
      </c>
      <c r="H150" s="45">
        <v>1</v>
      </c>
      <c r="I150" s="135" t="str">
        <f t="shared" si="16"/>
        <v/>
      </c>
      <c r="J150" s="153">
        <f t="shared" si="18"/>
        <v>1.8749999999999989E-2</v>
      </c>
      <c r="K150" s="35" t="s">
        <v>408</v>
      </c>
      <c r="L150" s="35">
        <v>23</v>
      </c>
      <c r="M150" s="12">
        <v>0.14583333333333334</v>
      </c>
      <c r="N150" s="7"/>
      <c r="O150" s="141"/>
      <c r="P150" s="45"/>
      <c r="Q150" s="123">
        <f>(SUM(E$2:E$21)+SUM(E$25:E150))/(COUNTA(E$2:E150)-3)</f>
        <v>0.38213557594291525</v>
      </c>
      <c r="R150" s="46">
        <f>(SUM(H$2:H150)*E$1+A150)/SUM(H$2:H150)</f>
        <v>0.34603266460905352</v>
      </c>
      <c r="S150" s="62"/>
    </row>
    <row r="151" spans="1:19" hidden="1" x14ac:dyDescent="0.3">
      <c r="A151" s="53">
        <f t="shared" si="15"/>
        <v>4.7222222222214727E-2</v>
      </c>
      <c r="B151" s="13" t="s">
        <v>4</v>
      </c>
      <c r="C151" s="117">
        <f t="shared" si="17"/>
        <v>42972</v>
      </c>
      <c r="D151" s="117" t="s">
        <v>137</v>
      </c>
      <c r="E151" s="15">
        <v>0.3888888888888889</v>
      </c>
      <c r="F151" s="15">
        <v>0.77430555555555547</v>
      </c>
      <c r="G151" s="16">
        <v>1</v>
      </c>
      <c r="H151" s="17">
        <v>1</v>
      </c>
      <c r="I151" s="136" t="str">
        <f>IF(J151&lt;0,-J151,"")</f>
        <v/>
      </c>
      <c r="J151" s="154">
        <f t="shared" si="18"/>
        <v>2.5694444444444298E-2</v>
      </c>
      <c r="K151" s="36" t="s">
        <v>408</v>
      </c>
      <c r="L151" s="36">
        <v>17</v>
      </c>
      <c r="M151" s="18">
        <v>0.3125</v>
      </c>
      <c r="N151" s="7"/>
      <c r="O151" s="141"/>
      <c r="P151" s="137">
        <f>A151-A146</f>
        <v>3.3333333333333048E-2</v>
      </c>
      <c r="Q151" s="123">
        <f>(SUM(E$2:E$21)+SUM(E$25:E151))/(COUNTA(E$2:E151)-3)</f>
        <v>0.38219696969696954</v>
      </c>
      <c r="R151" s="46">
        <f>(SUM(H$2:H151)*E$1+A151)/SUM(H$2:H151)</f>
        <v>0.3462665647298675</v>
      </c>
      <c r="S151" s="41">
        <f>IF(COUNTA(M147:M151)=0,0,SUM(M147:M151)/COUNTA(M147:M151))</f>
        <v>0.2208333333333333</v>
      </c>
    </row>
    <row r="152" spans="1:19" hidden="1" x14ac:dyDescent="0.3">
      <c r="A152" s="51">
        <f t="shared" si="15"/>
        <v>6.2499999999992395E-2</v>
      </c>
      <c r="B152" s="2" t="s">
        <v>0</v>
      </c>
      <c r="C152" s="120">
        <f t="shared" si="17"/>
        <v>42975</v>
      </c>
      <c r="D152" s="120" t="s">
        <v>138</v>
      </c>
      <c r="E152" s="4">
        <v>0.3888888888888889</v>
      </c>
      <c r="F152" s="4">
        <v>0.76388888888888884</v>
      </c>
      <c r="G152" s="5">
        <v>0</v>
      </c>
      <c r="H152" s="2">
        <v>1</v>
      </c>
      <c r="I152" s="134" t="str">
        <f t="shared" ref="I152:I170" si="19">IF(J152&lt;0,-J152,"")</f>
        <v/>
      </c>
      <c r="J152" s="152">
        <f t="shared" si="18"/>
        <v>1.5277777777777668E-2</v>
      </c>
      <c r="K152" s="34">
        <v>36</v>
      </c>
      <c r="L152" s="34" t="s">
        <v>408</v>
      </c>
      <c r="M152" s="6">
        <v>0.29166666666666669</v>
      </c>
      <c r="N152" s="7"/>
      <c r="O152" s="141"/>
      <c r="P152" s="45"/>
      <c r="Q152" s="123">
        <f>(SUM(E$2:E$21)+SUM(E$25:E152))/(COUNTA(E$2:E152)-3)</f>
        <v>0.38225725725725707</v>
      </c>
      <c r="R152" s="46">
        <f>(SUM(H$2:H152)*E$1+A152)/SUM(H$2:H152)</f>
        <v>0.34640151515151513</v>
      </c>
      <c r="S152" s="61"/>
    </row>
    <row r="153" spans="1:19" hidden="1" x14ac:dyDescent="0.3">
      <c r="A153" s="52">
        <f t="shared" si="15"/>
        <v>8.8194444444436693E-2</v>
      </c>
      <c r="B153" s="8" t="s">
        <v>1</v>
      </c>
      <c r="C153" s="121">
        <f t="shared" si="17"/>
        <v>42976</v>
      </c>
      <c r="D153" s="121" t="s">
        <v>139</v>
      </c>
      <c r="E153" s="10">
        <v>0.37847222222222227</v>
      </c>
      <c r="F153" s="10">
        <v>0.76388888888888884</v>
      </c>
      <c r="G153" s="11">
        <v>0</v>
      </c>
      <c r="H153" s="45">
        <v>1</v>
      </c>
      <c r="I153" s="135" t="str">
        <f t="shared" si="19"/>
        <v/>
      </c>
      <c r="J153" s="153">
        <f t="shared" si="18"/>
        <v>2.5694444444444298E-2</v>
      </c>
      <c r="K153" s="35" t="s">
        <v>408</v>
      </c>
      <c r="L153" s="35" t="s">
        <v>408</v>
      </c>
      <c r="M153" s="12">
        <v>0.14583333333333334</v>
      </c>
      <c r="N153" s="7"/>
      <c r="O153" s="141"/>
      <c r="P153" s="45"/>
      <c r="Q153" s="123">
        <f>(SUM(E$2:E$21)+SUM(E$25:E153))/(COUNTA(E$2:E153)-3)</f>
        <v>0.3822234623015871</v>
      </c>
      <c r="R153" s="46">
        <f>(SUM(H$2:H153)*E$1+A153)/SUM(H$2:H153)</f>
        <v>0.34662787787787785</v>
      </c>
      <c r="S153" s="62"/>
    </row>
    <row r="154" spans="1:19" hidden="1" x14ac:dyDescent="0.3">
      <c r="A154" s="52">
        <f t="shared" si="15"/>
        <v>0.10694444444443663</v>
      </c>
      <c r="B154" s="8" t="s">
        <v>2</v>
      </c>
      <c r="C154" s="121">
        <f t="shared" si="17"/>
        <v>42977</v>
      </c>
      <c r="D154" s="121" t="s">
        <v>140</v>
      </c>
      <c r="E154" s="10">
        <v>0.38541666666666669</v>
      </c>
      <c r="F154" s="10">
        <v>0.77777777777777779</v>
      </c>
      <c r="G154" s="11">
        <v>2</v>
      </c>
      <c r="H154" s="45">
        <v>1</v>
      </c>
      <c r="I154" s="135" t="str">
        <f t="shared" si="19"/>
        <v/>
      </c>
      <c r="J154" s="153">
        <f t="shared" si="18"/>
        <v>1.8749999999999933E-2</v>
      </c>
      <c r="K154" s="35">
        <v>20</v>
      </c>
      <c r="L154" s="35">
        <v>26</v>
      </c>
      <c r="M154" s="12">
        <v>0.1875</v>
      </c>
      <c r="N154" s="7"/>
      <c r="O154" s="141"/>
      <c r="P154" s="45"/>
      <c r="Q154" s="123">
        <f>(SUM(E$2:E$21)+SUM(E$25:E154))/(COUNTA(E$2:E154)-3)</f>
        <v>0.38225172074729574</v>
      </c>
      <c r="R154" s="46">
        <f>(SUM(H$2:H154)*E$1+A154)/SUM(H$2:H154)</f>
        <v>0.34678819444444448</v>
      </c>
      <c r="S154" s="62"/>
    </row>
    <row r="155" spans="1:19" hidden="1" x14ac:dyDescent="0.3">
      <c r="A155" s="52">
        <f t="shared" si="15"/>
        <v>0.10069444444443656</v>
      </c>
      <c r="B155" s="8" t="s">
        <v>3</v>
      </c>
      <c r="C155" s="121">
        <f t="shared" si="17"/>
        <v>42978</v>
      </c>
      <c r="D155" s="121" t="s">
        <v>141</v>
      </c>
      <c r="E155" s="10">
        <v>0.58333333333333337</v>
      </c>
      <c r="F155" s="10">
        <v>0.75</v>
      </c>
      <c r="G155" s="11">
        <v>1</v>
      </c>
      <c r="H155" s="45">
        <v>0.5</v>
      </c>
      <c r="I155" s="135">
        <f t="shared" si="19"/>
        <v>6.2500000000000611E-3</v>
      </c>
      <c r="J155" s="153">
        <f t="shared" si="18"/>
        <v>-6.2500000000000611E-3</v>
      </c>
      <c r="K155" s="35">
        <v>26</v>
      </c>
      <c r="L155" s="35" t="s">
        <v>408</v>
      </c>
      <c r="M155" s="12">
        <v>0.22916666666666666</v>
      </c>
      <c r="N155" s="7">
        <f>SUM(H133:H155)</f>
        <v>7.5</v>
      </c>
      <c r="O155" s="141"/>
      <c r="P155" s="45"/>
      <c r="Q155" s="123"/>
      <c r="R155" s="46">
        <f>(SUM(H$2:H155)*E$1+A155)/SUM(H$2:H155)</f>
        <v>0.34672839506172837</v>
      </c>
      <c r="S155" s="62"/>
    </row>
    <row r="156" spans="1:19" hidden="1" x14ac:dyDescent="0.3">
      <c r="A156" s="53">
        <f t="shared" si="15"/>
        <v>0.10208333333332539</v>
      </c>
      <c r="B156" s="13" t="s">
        <v>4</v>
      </c>
      <c r="C156" s="117">
        <f t="shared" si="17"/>
        <v>42979</v>
      </c>
      <c r="D156" s="117" t="s">
        <v>142</v>
      </c>
      <c r="E156" s="15">
        <v>0.38541666666666669</v>
      </c>
      <c r="F156" s="15">
        <v>0.74652777777777779</v>
      </c>
      <c r="G156" s="16">
        <v>1</v>
      </c>
      <c r="H156" s="17">
        <v>1</v>
      </c>
      <c r="I156" s="136" t="str">
        <f>IF(J156&lt;0,-J156,"")</f>
        <v/>
      </c>
      <c r="J156" s="154">
        <f t="shared" si="18"/>
        <v>1.3888888888888284E-3</v>
      </c>
      <c r="K156" s="36" t="s">
        <v>408</v>
      </c>
      <c r="L156" s="36">
        <v>26</v>
      </c>
      <c r="M156" s="18"/>
      <c r="N156" s="7"/>
      <c r="O156" s="141"/>
      <c r="P156" s="137">
        <f>A156-A151</f>
        <v>5.4861111111110666E-2</v>
      </c>
      <c r="Q156" s="123">
        <f>(SUM(E$2:E$21)+SUM(E$25:E$154)+SUM(E$156:E156))/(COUNTA(E$2:E156)-4)</f>
        <v>0.38227948343079898</v>
      </c>
      <c r="R156" s="46">
        <f>(SUM(H$2:H156)*E$1+A156)/SUM(H$2:H156)</f>
        <v>0.34673274596182085</v>
      </c>
      <c r="S156" s="41">
        <f>IF(COUNTA(M152:M156)=0,0,SUM(M152:M156)/COUNTA(M152:M156))</f>
        <v>0.21354166666666666</v>
      </c>
    </row>
    <row r="157" spans="1:19" hidden="1" x14ac:dyDescent="0.3">
      <c r="A157" s="51">
        <f t="shared" si="15"/>
        <v>0.10208333333332539</v>
      </c>
      <c r="B157" s="2" t="s">
        <v>0</v>
      </c>
      <c r="C157" s="120">
        <f t="shared" si="17"/>
        <v>42982</v>
      </c>
      <c r="D157" s="120" t="s">
        <v>143</v>
      </c>
      <c r="E157" s="4"/>
      <c r="F157" s="4"/>
      <c r="G157" s="5"/>
      <c r="H157" s="2"/>
      <c r="I157" s="134" t="str">
        <f t="shared" si="19"/>
        <v/>
      </c>
      <c r="J157" s="152"/>
      <c r="K157" s="34" t="s">
        <v>408</v>
      </c>
      <c r="L157" s="34" t="s">
        <v>408</v>
      </c>
      <c r="M157" s="6"/>
      <c r="N157" s="7"/>
      <c r="O157" s="141"/>
      <c r="P157" s="45"/>
      <c r="Q157" s="123">
        <f>(SUM(E$2:E$21)+SUM(E$25:E$154)+SUM(E$156:E157))/(COUNTA(E$2:E157)-4)</f>
        <v>0.38227948343079898</v>
      </c>
      <c r="R157" s="46">
        <f>(SUM(H$2:H157)*E$1+A157)/SUM(H$2:H157)</f>
        <v>0.34673274596182085</v>
      </c>
      <c r="S157" s="61"/>
    </row>
    <row r="158" spans="1:19" hidden="1" x14ac:dyDescent="0.3">
      <c r="A158" s="52">
        <f t="shared" si="15"/>
        <v>0.10208333333332539</v>
      </c>
      <c r="B158" s="8" t="s">
        <v>1</v>
      </c>
      <c r="C158" s="121">
        <f t="shared" si="17"/>
        <v>42983</v>
      </c>
      <c r="D158" s="121" t="s">
        <v>144</v>
      </c>
      <c r="E158" s="10"/>
      <c r="F158" s="10"/>
      <c r="G158" s="11"/>
      <c r="H158" s="45"/>
      <c r="I158" s="135" t="str">
        <f t="shared" si="19"/>
        <v/>
      </c>
      <c r="J158" s="153"/>
      <c r="K158" s="35" t="s">
        <v>408</v>
      </c>
      <c r="L158" s="35" t="s">
        <v>408</v>
      </c>
      <c r="M158" s="12"/>
      <c r="N158" s="7"/>
      <c r="O158" s="141"/>
      <c r="P158" s="45"/>
      <c r="Q158" s="123">
        <f>(SUM(E$2:E$21)+SUM(E$25:E$154)+SUM(E$156:E158))/(COUNTA(E$2:E158)-4)</f>
        <v>0.38227948343079898</v>
      </c>
      <c r="R158" s="46">
        <f>(SUM(H$2:H158)*E$1+A158)/SUM(H$2:H158)</f>
        <v>0.34673274596182085</v>
      </c>
      <c r="S158" s="62"/>
    </row>
    <row r="159" spans="1:19" hidden="1" x14ac:dyDescent="0.3">
      <c r="A159" s="52">
        <f t="shared" si="15"/>
        <v>0.10208333333332539</v>
      </c>
      <c r="B159" s="8" t="s">
        <v>2</v>
      </c>
      <c r="C159" s="121">
        <f t="shared" si="17"/>
        <v>42984</v>
      </c>
      <c r="D159" s="121" t="s">
        <v>145</v>
      </c>
      <c r="E159" s="10"/>
      <c r="F159" s="10"/>
      <c r="G159" s="11"/>
      <c r="H159" s="45"/>
      <c r="I159" s="135" t="str">
        <f t="shared" si="19"/>
        <v/>
      </c>
      <c r="J159" s="153"/>
      <c r="K159" s="35" t="s">
        <v>408</v>
      </c>
      <c r="L159" s="35">
        <v>34</v>
      </c>
      <c r="M159" s="12"/>
      <c r="N159" s="7"/>
      <c r="O159" s="141"/>
      <c r="P159" s="45"/>
      <c r="Q159" s="123">
        <f>(SUM(E$2:E$21)+SUM(E$25:E$154)+SUM(E$156:E159))/(COUNTA(E$2:E159)-4)</f>
        <v>0.38227948343079898</v>
      </c>
      <c r="R159" s="46">
        <f>(SUM(H$2:H159)*E$1+A159)/SUM(H$2:H159)</f>
        <v>0.34673274596182085</v>
      </c>
      <c r="S159" s="62"/>
    </row>
    <row r="160" spans="1:19" hidden="1" x14ac:dyDescent="0.3">
      <c r="A160" s="52">
        <f t="shared" si="15"/>
        <v>0.12083333333332538</v>
      </c>
      <c r="B160" s="8" t="s">
        <v>3</v>
      </c>
      <c r="C160" s="121">
        <f t="shared" si="17"/>
        <v>42985</v>
      </c>
      <c r="D160" s="121" t="s">
        <v>146</v>
      </c>
      <c r="E160" s="10">
        <v>0.37847222222222227</v>
      </c>
      <c r="F160" s="10">
        <v>0.75694444444444453</v>
      </c>
      <c r="G160" s="11">
        <v>1</v>
      </c>
      <c r="H160" s="45">
        <v>1</v>
      </c>
      <c r="I160" s="135" t="str">
        <f t="shared" si="19"/>
        <v/>
      </c>
      <c r="J160" s="153">
        <f t="shared" si="18"/>
        <v>1.8749999999999989E-2</v>
      </c>
      <c r="K160" s="35" t="s">
        <v>408</v>
      </c>
      <c r="L160" s="35" t="s">
        <v>408</v>
      </c>
      <c r="M160" s="12">
        <v>0.29166666666666669</v>
      </c>
      <c r="N160" s="7"/>
      <c r="O160" s="141"/>
      <c r="P160" s="45"/>
      <c r="Q160" s="123">
        <f>(SUM(E$2:E$21)+SUM(E$25:E$154)+SUM(E$156:E160))/(COUNTA(E$2:E160)-4)</f>
        <v>0.38224637681159396</v>
      </c>
      <c r="R160" s="46">
        <f>(SUM(H$2:H160)*E$1+A160)/SUM(H$2:H160)</f>
        <v>0.34688864628820953</v>
      </c>
      <c r="S160" s="62"/>
    </row>
    <row r="161" spans="1:19" hidden="1" x14ac:dyDescent="0.3">
      <c r="A161" s="53">
        <f t="shared" si="15"/>
        <v>0.10833333333332537</v>
      </c>
      <c r="B161" s="13" t="s">
        <v>4</v>
      </c>
      <c r="C161" s="117">
        <f t="shared" si="17"/>
        <v>42986</v>
      </c>
      <c r="D161" s="117" t="s">
        <v>147</v>
      </c>
      <c r="E161" s="15">
        <v>0.36458333333333331</v>
      </c>
      <c r="F161" s="15">
        <v>0.75347222222222221</v>
      </c>
      <c r="G161" s="16">
        <v>4</v>
      </c>
      <c r="H161" s="17">
        <v>1</v>
      </c>
      <c r="I161" s="136">
        <f>IF(J161&lt;0,-J161,"")</f>
        <v>1.2500000000000011E-2</v>
      </c>
      <c r="J161" s="154">
        <f t="shared" si="18"/>
        <v>-1.2500000000000011E-2</v>
      </c>
      <c r="K161" s="36">
        <v>25</v>
      </c>
      <c r="L161" s="36">
        <v>23</v>
      </c>
      <c r="M161" s="18">
        <v>0.33333333333333331</v>
      </c>
      <c r="N161" s="7"/>
      <c r="O161" s="141"/>
      <c r="P161" s="137">
        <f>A161-A156</f>
        <v>6.2499999999999778E-3</v>
      </c>
      <c r="Q161" s="123">
        <f>(SUM(E$2:E$21)+SUM(E$25:E$154)+SUM(E$156:E161))/(COUNTA(E$2:E161)-4)</f>
        <v>0.3820941091954021</v>
      </c>
      <c r="R161" s="46">
        <f>(SUM(H$2:H161)*E$1+A161)/SUM(H$2:H161)</f>
        <v>0.34677128427128429</v>
      </c>
      <c r="S161" s="41">
        <f>IF(COUNTA(M157:M161)=0,0,SUM(M157:M161)/COUNTA(M157:M161))</f>
        <v>0.3125</v>
      </c>
    </row>
    <row r="162" spans="1:19" hidden="1" x14ac:dyDescent="0.3">
      <c r="A162" s="51">
        <f t="shared" si="15"/>
        <v>0.13749999999999199</v>
      </c>
      <c r="B162" s="2" t="s">
        <v>0</v>
      </c>
      <c r="C162" s="120">
        <f t="shared" si="17"/>
        <v>42989</v>
      </c>
      <c r="D162" s="120" t="s">
        <v>148</v>
      </c>
      <c r="E162" s="4">
        <v>0.37847222222222227</v>
      </c>
      <c r="F162" s="4">
        <v>0.76736111111111116</v>
      </c>
      <c r="G162" s="5">
        <v>1</v>
      </c>
      <c r="H162" s="2">
        <v>1</v>
      </c>
      <c r="I162" s="134" t="str">
        <f t="shared" si="19"/>
        <v/>
      </c>
      <c r="J162" s="152">
        <f t="shared" si="18"/>
        <v>2.9166666666666619E-2</v>
      </c>
      <c r="K162" s="34">
        <v>30</v>
      </c>
      <c r="L162" s="34">
        <v>30</v>
      </c>
      <c r="M162" s="6">
        <v>0.29166666666666669</v>
      </c>
      <c r="N162" s="7"/>
      <c r="O162" s="142"/>
      <c r="Q162" s="123">
        <f>(SUM(E$2:E$21)+SUM(E$25:E$154)+SUM(E$156:E162))/(COUNTA(E$2:E162)-4)</f>
        <v>0.38206315289648601</v>
      </c>
      <c r="R162" s="46">
        <f>(SUM(H$2:H162)*E$1+A162)/SUM(H$2:H162)</f>
        <v>0.34701359084406291</v>
      </c>
      <c r="S162" s="61"/>
    </row>
    <row r="163" spans="1:19" hidden="1" x14ac:dyDescent="0.3">
      <c r="A163" s="52">
        <f t="shared" si="15"/>
        <v>0.15624999999999192</v>
      </c>
      <c r="B163" s="8" t="s">
        <v>1</v>
      </c>
      <c r="C163" s="121">
        <f t="shared" si="17"/>
        <v>42990</v>
      </c>
      <c r="D163" s="121" t="s">
        <v>149</v>
      </c>
      <c r="E163" s="10">
        <v>0.37847222222222227</v>
      </c>
      <c r="F163" s="10">
        <v>0.77083333333333337</v>
      </c>
      <c r="G163" s="11">
        <v>2</v>
      </c>
      <c r="H163" s="45">
        <v>1</v>
      </c>
      <c r="I163" s="135" t="str">
        <f t="shared" si="19"/>
        <v/>
      </c>
      <c r="J163" s="153">
        <f t="shared" si="18"/>
        <v>1.8749999999999933E-2</v>
      </c>
      <c r="K163" s="35">
        <v>30</v>
      </c>
      <c r="L163" s="35">
        <v>31</v>
      </c>
      <c r="M163" s="12">
        <v>0.27083333333333331</v>
      </c>
      <c r="N163" s="7"/>
      <c r="O163" s="142"/>
      <c r="Q163" s="123">
        <f>(SUM(E$2:E$21)+SUM(E$25:E$154)+SUM(E$156:E163))/(COUNTA(E$2:E163)-4)</f>
        <v>0.38203272128060245</v>
      </c>
      <c r="R163" s="46">
        <f>(SUM(H$2:H163)*E$1+A163)/SUM(H$2:H163)</f>
        <v>0.34716312056737586</v>
      </c>
      <c r="S163" s="62"/>
    </row>
    <row r="164" spans="1:19" hidden="1" x14ac:dyDescent="0.3">
      <c r="A164" s="52">
        <f t="shared" si="15"/>
        <v>0.19236111111110296</v>
      </c>
      <c r="B164" s="8" t="s">
        <v>2</v>
      </c>
      <c r="C164" s="121">
        <f t="shared" si="17"/>
        <v>42991</v>
      </c>
      <c r="D164" s="121" t="s">
        <v>150</v>
      </c>
      <c r="E164" s="10">
        <v>0.36458333333333331</v>
      </c>
      <c r="F164" s="10">
        <v>0.76041666666666663</v>
      </c>
      <c r="G164" s="11">
        <v>0</v>
      </c>
      <c r="H164" s="45">
        <v>1</v>
      </c>
      <c r="I164" s="135" t="str">
        <f t="shared" si="19"/>
        <v/>
      </c>
      <c r="J164" s="153">
        <f t="shared" si="18"/>
        <v>3.6111111111111038E-2</v>
      </c>
      <c r="K164" s="35">
        <v>31</v>
      </c>
      <c r="L164" s="35">
        <v>27</v>
      </c>
      <c r="M164" s="12">
        <v>0.29166666666666669</v>
      </c>
      <c r="N164" s="7"/>
      <c r="O164" s="142"/>
      <c r="Q164" s="123">
        <f>(SUM(E$2:E$21)+SUM(E$25:E$154)+SUM(E$156:E164))/(COUNTA(E$2:E164)-4)</f>
        <v>0.38188608776844052</v>
      </c>
      <c r="R164" s="46">
        <f>(SUM(H$2:H164)*E$1+A164)/SUM(H$2:H164)</f>
        <v>0.34745663384903885</v>
      </c>
      <c r="S164" s="62"/>
    </row>
    <row r="165" spans="1:19" hidden="1" x14ac:dyDescent="0.3">
      <c r="A165" s="52">
        <f t="shared" si="15"/>
        <v>0.20416666666665848</v>
      </c>
      <c r="B165" s="8" t="s">
        <v>3</v>
      </c>
      <c r="C165" s="121">
        <f t="shared" si="17"/>
        <v>42992</v>
      </c>
      <c r="D165" s="121" t="s">
        <v>151</v>
      </c>
      <c r="E165" s="10">
        <v>0.375</v>
      </c>
      <c r="F165" s="10">
        <v>0.74652777777777779</v>
      </c>
      <c r="G165" s="11">
        <v>0</v>
      </c>
      <c r="H165" s="45">
        <v>1</v>
      </c>
      <c r="I165" s="135" t="str">
        <f t="shared" si="19"/>
        <v/>
      </c>
      <c r="J165" s="153">
        <f t="shared" si="18"/>
        <v>1.1805555555555514E-2</v>
      </c>
      <c r="K165" s="35" t="s">
        <v>408</v>
      </c>
      <c r="L165" s="35">
        <v>26</v>
      </c>
      <c r="M165" s="12">
        <v>0.16666666666666666</v>
      </c>
      <c r="N165" s="7"/>
      <c r="O165" s="142"/>
      <c r="Q165" s="123">
        <f>(SUM(E$2:E$21)+SUM(E$25:E$154)+SUM(E$156:E165))/(COUNTA(E$2:E165)-4)</f>
        <v>0.38182870370370353</v>
      </c>
      <c r="R165" s="46">
        <f>(SUM(H$2:H165)*E$1+A165)/SUM(H$2:H165)</f>
        <v>0.34754184100418412</v>
      </c>
      <c r="S165" s="62"/>
    </row>
    <row r="166" spans="1:19" hidden="1" x14ac:dyDescent="0.3">
      <c r="A166" s="128">
        <f t="shared" si="15"/>
        <v>0.16388888888888067</v>
      </c>
      <c r="B166" s="13" t="s">
        <v>4</v>
      </c>
      <c r="C166" s="117">
        <f t="shared" si="17"/>
        <v>42993</v>
      </c>
      <c r="D166" s="117" t="s">
        <v>152</v>
      </c>
      <c r="E166" s="15">
        <v>0.375</v>
      </c>
      <c r="F166" s="15">
        <v>0.73611111111111116</v>
      </c>
      <c r="G166" s="16">
        <v>4</v>
      </c>
      <c r="H166" s="17">
        <v>1</v>
      </c>
      <c r="I166" s="136">
        <f>IF(J166&lt;0,-J166,"")</f>
        <v>4.0277777777777801E-2</v>
      </c>
      <c r="J166" s="154">
        <f t="shared" si="18"/>
        <v>-4.0277777777777801E-2</v>
      </c>
      <c r="K166" s="36" t="s">
        <v>408</v>
      </c>
      <c r="L166" s="36">
        <v>20</v>
      </c>
      <c r="M166" s="18">
        <v>0.25</v>
      </c>
      <c r="N166" s="7"/>
      <c r="O166" s="143"/>
      <c r="P166" s="137">
        <f>A166-A161</f>
        <v>5.5555555555555303E-2</v>
      </c>
      <c r="Q166" s="123">
        <f>(SUM(E$2:E$21)+SUM(E$25:E$154)+SUM(E$156:E166))/(COUNTA(E$2:E166)-4)</f>
        <v>0.38177226813590431</v>
      </c>
      <c r="R166" s="46">
        <f>(SUM(H$2:H166)*E$1+A166)/SUM(H$2:H166)</f>
        <v>0.34719340710004604</v>
      </c>
      <c r="S166" s="41">
        <f>IF(COUNTA(M162:M166)=0,0,SUM(M162:M166)/COUNTA(M162:M166))</f>
        <v>0.25416666666666671</v>
      </c>
    </row>
    <row r="167" spans="1:19" hidden="1" x14ac:dyDescent="0.3">
      <c r="A167" s="51">
        <f t="shared" si="15"/>
        <v>0.20347222222221387</v>
      </c>
      <c r="B167" s="2" t="s">
        <v>0</v>
      </c>
      <c r="C167" s="120">
        <f t="shared" si="17"/>
        <v>42996</v>
      </c>
      <c r="D167" s="120" t="s">
        <v>153</v>
      </c>
      <c r="E167" s="4">
        <v>0.375</v>
      </c>
      <c r="F167" s="4">
        <v>0.77430555555555547</v>
      </c>
      <c r="G167" s="5">
        <v>0</v>
      </c>
      <c r="H167" s="2">
        <v>1</v>
      </c>
      <c r="I167" s="134" t="str">
        <f t="shared" si="19"/>
        <v/>
      </c>
      <c r="J167" s="152">
        <f>IF(H167=1,F167-E167-MAX(G167,1)*$F$1-$E$1,F167-E167-$E$1*H167)</f>
        <v>3.9583333333333193E-2</v>
      </c>
      <c r="K167" s="34">
        <v>47</v>
      </c>
      <c r="L167" s="34">
        <v>41</v>
      </c>
      <c r="M167" s="6">
        <v>0.29166666666666669</v>
      </c>
      <c r="N167" s="7"/>
      <c r="O167" s="142"/>
      <c r="P167" s="45"/>
      <c r="Q167" s="123">
        <f>(SUM(E$2:E$21)+SUM(E$25:E$154)+SUM(E$156:E167))/(COUNTA(E$2:E167)-4)</f>
        <v>0.38171675774134772</v>
      </c>
      <c r="R167" s="46">
        <f>(SUM(H$2:H167)*E$1+A167)/SUM(H$2:H167)</f>
        <v>0.3475080018289895</v>
      </c>
      <c r="S167" s="61"/>
    </row>
    <row r="168" spans="1:19" hidden="1" x14ac:dyDescent="0.3">
      <c r="A168" s="52">
        <f t="shared" si="15"/>
        <v>0.24305555555554711</v>
      </c>
      <c r="B168" s="8" t="s">
        <v>1</v>
      </c>
      <c r="C168" s="121">
        <f t="shared" si="17"/>
        <v>42997</v>
      </c>
      <c r="D168" s="121" t="s">
        <v>154</v>
      </c>
      <c r="E168" s="10">
        <v>0.3611111111111111</v>
      </c>
      <c r="F168" s="10">
        <v>0.76041666666666663</v>
      </c>
      <c r="G168" s="11">
        <v>1</v>
      </c>
      <c r="H168" s="45">
        <v>1</v>
      </c>
      <c r="I168" s="135" t="str">
        <f t="shared" si="19"/>
        <v/>
      </c>
      <c r="J168" s="153">
        <f t="shared" si="18"/>
        <v>3.9583333333333248E-2</v>
      </c>
      <c r="K168" s="35">
        <v>34</v>
      </c>
      <c r="L168" s="35">
        <v>29</v>
      </c>
      <c r="M168" s="12">
        <v>0.41666666666666669</v>
      </c>
      <c r="N168" s="7"/>
      <c r="O168" s="142"/>
      <c r="P168" s="45"/>
      <c r="Q168" s="123">
        <f>(SUM(E$2:E$21)+SUM(E$25:E$154)+SUM(E$156:E168))/(COUNTA(E$2:E168)-4)</f>
        <v>0.38154923215898812</v>
      </c>
      <c r="R168" s="46">
        <f>(SUM(H$2:H168)*E$1+A168)/SUM(H$2:H168)</f>
        <v>0.3478174603174603</v>
      </c>
      <c r="S168" s="62"/>
    </row>
    <row r="169" spans="1:19" hidden="1" x14ac:dyDescent="0.3">
      <c r="A169" s="52">
        <f t="shared" si="15"/>
        <v>0.25486111111110255</v>
      </c>
      <c r="B169" s="8" t="s">
        <v>2</v>
      </c>
      <c r="C169" s="9">
        <f t="shared" si="17"/>
        <v>42998</v>
      </c>
      <c r="D169" s="9" t="s">
        <v>155</v>
      </c>
      <c r="E169" s="10">
        <v>0.37152777777777773</v>
      </c>
      <c r="F169" s="10">
        <v>0.74305555555555547</v>
      </c>
      <c r="G169" s="11">
        <v>0</v>
      </c>
      <c r="H169" s="45">
        <v>1</v>
      </c>
      <c r="I169" s="135" t="str">
        <f t="shared" si="19"/>
        <v/>
      </c>
      <c r="J169" s="153">
        <f t="shared" si="18"/>
        <v>1.1805555555555458E-2</v>
      </c>
      <c r="K169" s="35">
        <v>29</v>
      </c>
      <c r="L169" s="35">
        <v>29</v>
      </c>
      <c r="M169" s="12">
        <v>0.26041666666666669</v>
      </c>
      <c r="N169" s="7"/>
      <c r="O169" s="143"/>
      <c r="P169" s="45"/>
      <c r="Q169" s="123">
        <f>(SUM(E$2:E$21)+SUM(E$25:E$154)+SUM(E$156:E169))/(COUNTA(E$2:E169)-4)</f>
        <v>0.38146841397849446</v>
      </c>
      <c r="R169" s="46">
        <f>(SUM(H$2:H169)*E$1+A169)/SUM(H$2:H169)</f>
        <v>0.34789698605488079</v>
      </c>
      <c r="S169" s="62"/>
    </row>
    <row r="170" spans="1:19" hidden="1" x14ac:dyDescent="0.3">
      <c r="A170" s="52">
        <f t="shared" si="15"/>
        <v>0.25486111111110255</v>
      </c>
      <c r="B170" s="8" t="s">
        <v>3</v>
      </c>
      <c r="C170" s="85">
        <f t="shared" si="17"/>
        <v>42999</v>
      </c>
      <c r="D170" s="85" t="s">
        <v>156</v>
      </c>
      <c r="E170" s="10"/>
      <c r="F170" s="10"/>
      <c r="G170" s="11"/>
      <c r="H170" s="45"/>
      <c r="I170" s="135" t="str">
        <f t="shared" si="19"/>
        <v/>
      </c>
      <c r="J170" s="153"/>
      <c r="K170" s="35" t="s">
        <v>408</v>
      </c>
      <c r="L170" s="35" t="s">
        <v>408</v>
      </c>
      <c r="M170" s="12"/>
      <c r="N170" s="7"/>
      <c r="O170" s="142"/>
      <c r="P170" s="45"/>
      <c r="Q170" s="123">
        <f>(SUM(E$2:E$21)+SUM(E$25:E$154)+SUM(E$156:E170))/(COUNTA(E$2:E170)-4)</f>
        <v>0.38146841397849446</v>
      </c>
      <c r="R170" s="46">
        <f>(SUM(H$2:H170)*E$1+A170)/SUM(H$2:H170)</f>
        <v>0.34789698605488079</v>
      </c>
      <c r="S170" s="62"/>
    </row>
    <row r="171" spans="1:19" hidden="1" x14ac:dyDescent="0.3">
      <c r="A171" s="53">
        <f t="shared" si="15"/>
        <v>0.25486111111110255</v>
      </c>
      <c r="B171" s="13" t="s">
        <v>4</v>
      </c>
      <c r="C171" s="86">
        <f t="shared" si="17"/>
        <v>43000</v>
      </c>
      <c r="D171" s="86" t="s">
        <v>157</v>
      </c>
      <c r="E171" s="15"/>
      <c r="F171" s="15"/>
      <c r="G171" s="16"/>
      <c r="H171" s="17"/>
      <c r="I171" s="136" t="str">
        <f>IF(J171&lt;0,-J171,"")</f>
        <v/>
      </c>
      <c r="J171" s="154"/>
      <c r="K171" s="36" t="s">
        <v>408</v>
      </c>
      <c r="L171" s="36" t="s">
        <v>408</v>
      </c>
      <c r="M171" s="18"/>
      <c r="N171" s="7"/>
      <c r="O171" s="143"/>
      <c r="P171" s="137">
        <f>A171-A166</f>
        <v>9.0972222222221871E-2</v>
      </c>
      <c r="Q171" s="123">
        <f>(SUM(E$2:E$21)+SUM(E$25:E$154)+SUM(E$156:E171))/(COUNTA(E$2:E171)-4)</f>
        <v>0.38146841397849446</v>
      </c>
      <c r="R171" s="46">
        <f>(SUM(H$2:H171)*E$1+A171)/SUM(H$2:H171)</f>
        <v>0.34789698605488079</v>
      </c>
      <c r="S171" s="41">
        <f>IF(COUNTA(M167:M171)=0,0,SUM(M167:M171)/COUNTA(M167:M171))</f>
        <v>0.32291666666666669</v>
      </c>
    </row>
    <row r="172" spans="1:19" hidden="1" x14ac:dyDescent="0.3">
      <c r="A172" s="51">
        <f t="shared" si="15"/>
        <v>0.23541666666665811</v>
      </c>
      <c r="B172" s="2" t="s">
        <v>0</v>
      </c>
      <c r="C172" s="3">
        <f t="shared" si="17"/>
        <v>43003</v>
      </c>
      <c r="D172" s="3" t="s">
        <v>158</v>
      </c>
      <c r="E172" s="4">
        <v>0.38541666666666669</v>
      </c>
      <c r="F172" s="4">
        <v>0.76736111111111116</v>
      </c>
      <c r="G172" s="5">
        <v>4</v>
      </c>
      <c r="H172" s="2">
        <v>1</v>
      </c>
      <c r="I172" s="134">
        <f t="shared" ref="I172:I190" si="20">IF(J172&lt;0,-J172,"")</f>
        <v>1.9444444444444431E-2</v>
      </c>
      <c r="J172" s="152">
        <f t="shared" ref="J172:J179" si="21">IF(H172=1,F172-E172-MAX(G172,1)*$F$1-$E$1,F172-E172-$E$1*H172)</f>
        <v>-1.9444444444444431E-2</v>
      </c>
      <c r="K172" s="34">
        <v>34</v>
      </c>
      <c r="L172" s="34">
        <v>40</v>
      </c>
      <c r="M172" s="6">
        <v>0.16666666666666666</v>
      </c>
      <c r="N172" s="7"/>
      <c r="O172" s="142"/>
      <c r="P172" s="45"/>
      <c r="Q172" s="123">
        <f>(SUM(E$2:E$21)+SUM(E$25:E$154)+SUM(E$156:E172))/(COUNTA(E$2:E172)-4)</f>
        <v>0.38149999999999984</v>
      </c>
      <c r="R172" s="46">
        <f>(SUM(H$2:H172)*E$1+A172)/SUM(H$2:H172)</f>
        <v>0.34772423025435073</v>
      </c>
      <c r="S172" s="61"/>
    </row>
    <row r="173" spans="1:19" hidden="1" x14ac:dyDescent="0.3">
      <c r="A173" s="52">
        <f t="shared" si="15"/>
        <v>0.2541666666666581</v>
      </c>
      <c r="B173" s="8" t="s">
        <v>1</v>
      </c>
      <c r="C173" s="121">
        <f t="shared" si="17"/>
        <v>43004</v>
      </c>
      <c r="D173" s="121" t="s">
        <v>159</v>
      </c>
      <c r="E173" s="10">
        <v>0.37152777777777773</v>
      </c>
      <c r="F173" s="10">
        <v>0.75</v>
      </c>
      <c r="G173" s="11">
        <v>0</v>
      </c>
      <c r="H173" s="45">
        <v>1</v>
      </c>
      <c r="I173" s="135" t="str">
        <f t="shared" si="20"/>
        <v/>
      </c>
      <c r="J173" s="153">
        <f t="shared" si="21"/>
        <v>1.8749999999999989E-2</v>
      </c>
      <c r="K173" s="35">
        <v>40</v>
      </c>
      <c r="L173" s="35">
        <v>32</v>
      </c>
      <c r="M173" s="12">
        <v>0.1875</v>
      </c>
      <c r="N173" s="7"/>
      <c r="O173" s="142"/>
      <c r="P173" s="45"/>
      <c r="Q173" s="123">
        <f>(SUM(E$2:E$21)+SUM(E$25:E$154)+SUM(E$156:E173))/(COUNTA(E$2:E173)-4)</f>
        <v>0.38142085537918857</v>
      </c>
      <c r="R173" s="46">
        <f>(SUM(H$2:H173)*E$1+A173)/SUM(H$2:H173)</f>
        <v>0.34785856573705176</v>
      </c>
      <c r="S173" s="62"/>
    </row>
    <row r="174" spans="1:19" hidden="1" x14ac:dyDescent="0.3">
      <c r="A174" s="52">
        <f t="shared" si="15"/>
        <v>0.28680555555554699</v>
      </c>
      <c r="B174" s="8" t="s">
        <v>2</v>
      </c>
      <c r="C174" s="121">
        <f t="shared" si="17"/>
        <v>43005</v>
      </c>
      <c r="D174" s="121" t="s">
        <v>160</v>
      </c>
      <c r="E174" s="10">
        <v>0.375</v>
      </c>
      <c r="F174" s="10">
        <v>0.76736111111111116</v>
      </c>
      <c r="G174" s="11">
        <v>1</v>
      </c>
      <c r="H174" s="45">
        <v>1</v>
      </c>
      <c r="I174" s="135" t="str">
        <f t="shared" si="20"/>
        <v/>
      </c>
      <c r="J174" s="153">
        <f t="shared" si="21"/>
        <v>3.2638888888888884E-2</v>
      </c>
      <c r="K174" s="35">
        <v>32</v>
      </c>
      <c r="L174" s="35">
        <v>32</v>
      </c>
      <c r="M174" s="12">
        <v>0.29166666666666669</v>
      </c>
      <c r="N174" s="7"/>
      <c r="O174" s="142"/>
      <c r="P174" s="45"/>
      <c r="Q174" s="123">
        <f>(SUM(E$2:E$21)+SUM(E$25:E$154)+SUM(E$156:E174))/(COUNTA(E$2:E174)-4)</f>
        <v>0.38137029746281698</v>
      </c>
      <c r="R174" s="46">
        <f>(SUM(H$2:H174)*E$1+A174)/SUM(H$2:H174)</f>
        <v>0.34810057092665786</v>
      </c>
      <c r="S174" s="62"/>
    </row>
    <row r="175" spans="1:19" hidden="1" x14ac:dyDescent="0.3">
      <c r="A175" s="52">
        <f t="shared" si="15"/>
        <v>0.25694444444443582</v>
      </c>
      <c r="B175" s="8" t="s">
        <v>3</v>
      </c>
      <c r="C175" s="121">
        <f t="shared" si="17"/>
        <v>43006</v>
      </c>
      <c r="D175" s="121" t="s">
        <v>161</v>
      </c>
      <c r="E175" s="10">
        <v>0.37847222222222227</v>
      </c>
      <c r="F175" s="10">
        <v>0.75</v>
      </c>
      <c r="G175" s="11">
        <v>4</v>
      </c>
      <c r="H175" s="45">
        <v>1</v>
      </c>
      <c r="I175" s="135">
        <f t="shared" si="20"/>
        <v>2.9861111111111172E-2</v>
      </c>
      <c r="J175" s="153">
        <f t="shared" si="21"/>
        <v>-2.9861111111111172E-2</v>
      </c>
      <c r="K175" s="35">
        <v>32</v>
      </c>
      <c r="L175" s="35">
        <v>25</v>
      </c>
      <c r="M175" s="12">
        <v>0.27083333333333331</v>
      </c>
      <c r="N175" s="7"/>
      <c r="O175" s="142"/>
      <c r="P175" s="45"/>
      <c r="Q175" s="123">
        <f>(SUM(E$2:E$21)+SUM(E$25:E$154)+SUM(E$156:E175))/(COUNTA(E$2:E175)-4)</f>
        <v>0.38134765624999983</v>
      </c>
      <c r="R175" s="46">
        <f>(SUM(H$2:H175)*E$1+A175)/SUM(H$2:H175)</f>
        <v>0.34784858387799561</v>
      </c>
      <c r="S175" s="62"/>
    </row>
    <row r="176" spans="1:19" hidden="1" x14ac:dyDescent="0.3">
      <c r="A176" s="53">
        <f t="shared" si="15"/>
        <v>0.26111111111110252</v>
      </c>
      <c r="B176" s="13" t="s">
        <v>4</v>
      </c>
      <c r="C176" s="117">
        <f t="shared" si="17"/>
        <v>43007</v>
      </c>
      <c r="D176" s="117" t="s">
        <v>162</v>
      </c>
      <c r="E176" s="15">
        <v>0.36805555555555558</v>
      </c>
      <c r="F176" s="15">
        <v>0.54513888888888895</v>
      </c>
      <c r="G176" s="16">
        <v>0</v>
      </c>
      <c r="H176" s="17">
        <v>0.5</v>
      </c>
      <c r="I176" s="136" t="str">
        <f>IF(J176&lt;0,-J176,"")</f>
        <v/>
      </c>
      <c r="J176" s="154">
        <f t="shared" si="21"/>
        <v>4.1666666666666796E-3</v>
      </c>
      <c r="K176" s="36" t="s">
        <v>408</v>
      </c>
      <c r="L176" s="36">
        <v>25</v>
      </c>
      <c r="M176" s="18">
        <v>0.20833333333333334</v>
      </c>
      <c r="N176" s="7">
        <f>SUM(H156:H176)</f>
        <v>15.5</v>
      </c>
      <c r="O176" s="143"/>
      <c r="P176" s="137">
        <f>A176-A171</f>
        <v>6.2499999999999778E-3</v>
      </c>
      <c r="Q176" s="123">
        <f>(SUM(E$2:E$21)+SUM(E$25:E$154)+SUM(E$156:E176))/(COUNTA(E$2:E176)-4)</f>
        <v>0.38124461670973281</v>
      </c>
      <c r="R176" s="46">
        <f>(SUM(H$2:H176)*E$1+A176)/SUM(H$2:H176)</f>
        <v>0.3478732638888889</v>
      </c>
      <c r="S176" s="41">
        <f>IF(COUNTA(M172:M176)=0,0,SUM(M172:M176)/COUNTA(M172:M176))</f>
        <v>0.22499999999999995</v>
      </c>
    </row>
    <row r="177" spans="1:19" hidden="1" x14ac:dyDescent="0.3">
      <c r="A177" s="51">
        <f t="shared" si="15"/>
        <v>0.29027777777776914</v>
      </c>
      <c r="B177" s="2" t="s">
        <v>0</v>
      </c>
      <c r="C177" s="120">
        <f t="shared" si="17"/>
        <v>43010</v>
      </c>
      <c r="D177" s="120" t="s">
        <v>163</v>
      </c>
      <c r="E177" s="4">
        <v>0.37847222222222227</v>
      </c>
      <c r="F177" s="4">
        <v>0.76736111111111116</v>
      </c>
      <c r="G177" s="5">
        <v>0</v>
      </c>
      <c r="H177" s="2">
        <v>1</v>
      </c>
      <c r="I177" s="134" t="str">
        <f t="shared" si="20"/>
        <v/>
      </c>
      <c r="J177" s="152">
        <f t="shared" si="21"/>
        <v>2.9166666666666619E-2</v>
      </c>
      <c r="K177" s="34">
        <v>43</v>
      </c>
      <c r="L177" s="34">
        <v>38</v>
      </c>
      <c r="M177" s="6">
        <v>0.20833333333333334</v>
      </c>
      <c r="N177" s="7"/>
      <c r="O177" s="142"/>
      <c r="P177" s="45"/>
      <c r="Q177" s="123">
        <f>(SUM(E$2:E$21)+SUM(E$25:E$154)+SUM(E$156:E177))/(COUNTA(E$2:E177)-4)</f>
        <v>0.38122329059829047</v>
      </c>
      <c r="R177" s="46">
        <f>(SUM(H$2:H177)*E$1+A177)/SUM(H$2:H177)</f>
        <v>0.34808354866494395</v>
      </c>
      <c r="S177" s="61"/>
    </row>
    <row r="178" spans="1:19" hidden="1" x14ac:dyDescent="0.3">
      <c r="A178" s="52">
        <f t="shared" si="15"/>
        <v>0.3194444444444357</v>
      </c>
      <c r="B178" s="8" t="s">
        <v>1</v>
      </c>
      <c r="C178" s="121">
        <f t="shared" si="17"/>
        <v>43011</v>
      </c>
      <c r="D178" s="121" t="s">
        <v>164</v>
      </c>
      <c r="E178" s="10">
        <v>0.3576388888888889</v>
      </c>
      <c r="F178" s="10">
        <v>0.76041666666666663</v>
      </c>
      <c r="G178" s="11">
        <v>2</v>
      </c>
      <c r="H178" s="45">
        <v>1</v>
      </c>
      <c r="I178" s="135" t="str">
        <f t="shared" si="20"/>
        <v/>
      </c>
      <c r="J178" s="153">
        <f t="shared" si="21"/>
        <v>2.9166666666666563E-2</v>
      </c>
      <c r="K178" s="35">
        <v>32</v>
      </c>
      <c r="L178" s="35">
        <v>23</v>
      </c>
      <c r="M178" s="12">
        <v>0.3125</v>
      </c>
      <c r="N178" s="7"/>
      <c r="O178" s="142"/>
      <c r="P178" s="45"/>
      <c r="Q178" s="123">
        <f>(SUM(E$2:E$21)+SUM(E$25:E$154)+SUM(E$156:E178))/(COUNTA(E$2:E178)-4)</f>
        <v>0.38104325699745528</v>
      </c>
      <c r="R178" s="46">
        <f>(SUM(H$2:H178)*E$1+A178)/SUM(H$2:H178)</f>
        <v>0.34829059829059827</v>
      </c>
      <c r="S178" s="62"/>
    </row>
    <row r="179" spans="1:19" hidden="1" x14ac:dyDescent="0.3">
      <c r="A179" s="52">
        <f t="shared" si="15"/>
        <v>0.31388888888888011</v>
      </c>
      <c r="B179" s="8" t="s">
        <v>2</v>
      </c>
      <c r="C179" s="9">
        <f t="shared" si="17"/>
        <v>43012</v>
      </c>
      <c r="D179" s="9" t="s">
        <v>165</v>
      </c>
      <c r="E179" s="10">
        <v>0.36458333333333331</v>
      </c>
      <c r="F179" s="10">
        <v>0.71875</v>
      </c>
      <c r="G179" s="11">
        <v>1</v>
      </c>
      <c r="H179" s="45">
        <v>1</v>
      </c>
      <c r="I179" s="135">
        <f t="shared" si="20"/>
        <v>5.5555555555555913E-3</v>
      </c>
      <c r="J179" s="153">
        <f t="shared" si="21"/>
        <v>-5.5555555555555913E-3</v>
      </c>
      <c r="K179" s="35">
        <v>23</v>
      </c>
      <c r="L179" s="35">
        <v>24</v>
      </c>
      <c r="M179" s="12">
        <v>0.22916666666666666</v>
      </c>
      <c r="N179" s="7"/>
      <c r="O179" s="143"/>
      <c r="P179" s="45"/>
      <c r="Q179" s="123">
        <f>(SUM(E$2:E$21)+SUM(E$25:E$154)+SUM(E$156:E179))/(COUNTA(E$2:E179)-4)</f>
        <v>0.38091856060606044</v>
      </c>
      <c r="R179" s="46">
        <f>(SUM(H$2:H179)*E$1+A179)/SUM(H$2:H179)</f>
        <v>0.34822943172179815</v>
      </c>
      <c r="S179" s="62"/>
    </row>
    <row r="180" spans="1:19" hidden="1" x14ac:dyDescent="0.3">
      <c r="A180" s="52">
        <f t="shared" si="15"/>
        <v>0.31388888888888011</v>
      </c>
      <c r="B180" s="8" t="s">
        <v>3</v>
      </c>
      <c r="C180" s="85">
        <f t="shared" si="17"/>
        <v>43013</v>
      </c>
      <c r="D180" s="85" t="s">
        <v>166</v>
      </c>
      <c r="E180" s="10"/>
      <c r="F180" s="10"/>
      <c r="G180" s="11"/>
      <c r="H180" s="45"/>
      <c r="I180" s="135" t="str">
        <f t="shared" si="20"/>
        <v/>
      </c>
      <c r="J180" s="153"/>
      <c r="K180" s="35" t="s">
        <v>408</v>
      </c>
      <c r="L180" s="35" t="s">
        <v>408</v>
      </c>
      <c r="M180" s="12"/>
      <c r="N180" s="7"/>
      <c r="O180" s="142"/>
      <c r="P180" s="45"/>
      <c r="Q180" s="123">
        <f>(SUM(E$2:E$21)+SUM(E$25:E$154)+SUM(E$156:E180))/(COUNTA(E$2:E180)-4)</f>
        <v>0.38091856060606044</v>
      </c>
      <c r="R180" s="46">
        <f>(SUM(H$2:H180)*E$1+A180)/SUM(H$2:H180)</f>
        <v>0.34822943172179815</v>
      </c>
      <c r="S180" s="62"/>
    </row>
    <row r="181" spans="1:19" hidden="1" x14ac:dyDescent="0.3">
      <c r="A181" s="53">
        <f t="shared" si="15"/>
        <v>0.31388888888888011</v>
      </c>
      <c r="B181" s="13" t="s">
        <v>4</v>
      </c>
      <c r="C181" s="86">
        <f t="shared" si="17"/>
        <v>43014</v>
      </c>
      <c r="D181" s="86" t="s">
        <v>167</v>
      </c>
      <c r="E181" s="15"/>
      <c r="F181" s="15"/>
      <c r="G181" s="16"/>
      <c r="H181" s="17"/>
      <c r="I181" s="136" t="str">
        <f>IF(J181&lt;0,-J181,"")</f>
        <v/>
      </c>
      <c r="J181" s="154"/>
      <c r="K181" s="36" t="s">
        <v>408</v>
      </c>
      <c r="L181" s="36" t="s">
        <v>408</v>
      </c>
      <c r="M181" s="18"/>
      <c r="N181" s="7"/>
      <c r="O181" s="142"/>
      <c r="P181" s="137">
        <f>A181-A176</f>
        <v>5.277777777777759E-2</v>
      </c>
      <c r="Q181" s="123">
        <f>(SUM(E$2:E$21)+SUM(E$25:E$154)+SUM(E$156:E181))/(COUNTA(E$2:E181)-4)</f>
        <v>0.38091856060606044</v>
      </c>
      <c r="R181" s="46">
        <f>(SUM(H$2:H181)*E$1+A181)/SUM(H$2:H181)</f>
        <v>0.34822943172179815</v>
      </c>
      <c r="S181" s="41">
        <f>IF(COUNTA(M177:M181)=0,0,SUM(M177:M181)/COUNTA(M177:M181))</f>
        <v>0.25</v>
      </c>
    </row>
    <row r="182" spans="1:19" hidden="1" x14ac:dyDescent="0.3">
      <c r="A182" s="51">
        <f t="shared" si="15"/>
        <v>0.35694444444443568</v>
      </c>
      <c r="B182" s="2" t="s">
        <v>0</v>
      </c>
      <c r="C182" s="3">
        <f t="shared" si="17"/>
        <v>43017</v>
      </c>
      <c r="D182" s="3" t="s">
        <v>168</v>
      </c>
      <c r="E182" s="4">
        <v>0.36458333333333331</v>
      </c>
      <c r="F182" s="4">
        <v>0.76736111111111116</v>
      </c>
      <c r="G182" s="5">
        <v>1</v>
      </c>
      <c r="H182" s="2">
        <v>1</v>
      </c>
      <c r="I182" s="134" t="str">
        <f t="shared" si="20"/>
        <v/>
      </c>
      <c r="J182" s="152">
        <f>IF(H182=1,F182-E182-MAX(G182,1)*$F$1-$E$1,F182-E182-$E$1*H182)</f>
        <v>4.3055555555555569E-2</v>
      </c>
      <c r="K182" s="34">
        <v>52</v>
      </c>
      <c r="L182" s="34">
        <v>52</v>
      </c>
      <c r="M182" s="6">
        <v>0.20833333333333334</v>
      </c>
      <c r="N182" s="7"/>
      <c r="O182" s="142"/>
      <c r="P182" s="45"/>
      <c r="Q182" s="123">
        <f>(SUM(E$2:E$21)+SUM(E$25:E$154)+SUM(E$156:E182))/(COUNTA(E$2:E182)-4)</f>
        <v>0.3807957393483708</v>
      </c>
      <c r="R182" s="46">
        <f>(SUM(H$2:H182)*E$1+A182)/SUM(H$2:H182)</f>
        <v>0.34853745791245788</v>
      </c>
      <c r="S182" s="61"/>
    </row>
    <row r="183" spans="1:19" hidden="1" x14ac:dyDescent="0.3">
      <c r="A183" s="52">
        <f t="shared" si="15"/>
        <v>0.35486111111110225</v>
      </c>
      <c r="B183" s="8" t="s">
        <v>1</v>
      </c>
      <c r="C183" s="9">
        <f t="shared" si="17"/>
        <v>43018</v>
      </c>
      <c r="D183" s="9" t="s">
        <v>169</v>
      </c>
      <c r="E183" s="10">
        <v>0.375</v>
      </c>
      <c r="F183" s="10">
        <v>0.76041666666666663</v>
      </c>
      <c r="G183" s="11">
        <v>3</v>
      </c>
      <c r="H183" s="45">
        <v>1</v>
      </c>
      <c r="I183" s="135">
        <f t="shared" si="20"/>
        <v>2.083333333333437E-3</v>
      </c>
      <c r="J183" s="153">
        <f>IF(H183=1,F183-E183-MAX(G183,1)*$F$1-$E$1,F183-E183-$E$1*H183)</f>
        <v>-2.083333333333437E-3</v>
      </c>
      <c r="K183" s="35">
        <v>52</v>
      </c>
      <c r="L183" s="35">
        <v>49</v>
      </c>
      <c r="M183" s="12">
        <v>0.21875</v>
      </c>
      <c r="N183" s="7"/>
      <c r="O183" s="142"/>
      <c r="P183" s="45"/>
      <c r="Q183" s="123">
        <f>(SUM(E$2:E$21)+SUM(E$25:E$154)+SUM(E$156:E183))/(COUNTA(E$2:E183)-4)</f>
        <v>0.38075248756218893</v>
      </c>
      <c r="R183" s="46">
        <f>(SUM(H$2:H183)*E$1+A183)/SUM(H$2:H183)</f>
        <v>0.34850146198830406</v>
      </c>
      <c r="S183" s="62"/>
    </row>
    <row r="184" spans="1:19" hidden="1" x14ac:dyDescent="0.3">
      <c r="A184" s="52">
        <f t="shared" si="15"/>
        <v>0.3458333333333245</v>
      </c>
      <c r="B184" s="8" t="s">
        <v>2</v>
      </c>
      <c r="C184" s="9">
        <f t="shared" si="17"/>
        <v>43019</v>
      </c>
      <c r="D184" s="9" t="s">
        <v>170</v>
      </c>
      <c r="E184" s="10">
        <v>0.375</v>
      </c>
      <c r="F184" s="10">
        <v>0.72569444444444453</v>
      </c>
      <c r="G184" s="11">
        <v>0</v>
      </c>
      <c r="H184" s="45">
        <v>1</v>
      </c>
      <c r="I184" s="135">
        <f t="shared" si="20"/>
        <v>9.0277777777777457E-3</v>
      </c>
      <c r="J184" s="153">
        <f>IF(H184=1,F184-E184-MAX(G184,1)*$F$1-$E$1,F184-E184-$E$1*H184)</f>
        <v>-9.0277777777777457E-3</v>
      </c>
      <c r="K184" s="35">
        <v>54</v>
      </c>
      <c r="L184" s="35">
        <v>49</v>
      </c>
      <c r="M184" s="12">
        <v>0.21875</v>
      </c>
      <c r="N184" s="7"/>
      <c r="O184" s="143"/>
      <c r="P184" s="45"/>
      <c r="Q184" s="123">
        <f>(SUM(E$2:E$21)+SUM(E$25:E$154)+SUM(E$156:E184))/(COUNTA(E$2:E184)-4)</f>
        <v>0.38070987654320976</v>
      </c>
      <c r="R184" s="46">
        <f>(SUM(H$2:H184)*E$1+A184)/SUM(H$2:H184)</f>
        <v>0.34841417910447764</v>
      </c>
      <c r="S184" s="62"/>
    </row>
    <row r="185" spans="1:19" hidden="1" x14ac:dyDescent="0.3">
      <c r="A185" s="52">
        <f t="shared" si="15"/>
        <v>0.3458333333333245</v>
      </c>
      <c r="B185" s="8" t="s">
        <v>3</v>
      </c>
      <c r="C185" s="85">
        <f t="shared" si="17"/>
        <v>43020</v>
      </c>
      <c r="D185" s="85" t="s">
        <v>171</v>
      </c>
      <c r="E185" s="10"/>
      <c r="F185" s="10"/>
      <c r="G185" s="11"/>
      <c r="H185" s="45"/>
      <c r="I185" s="135" t="str">
        <f t="shared" si="20"/>
        <v/>
      </c>
      <c r="J185" s="153"/>
      <c r="K185" s="35" t="s">
        <v>408</v>
      </c>
      <c r="L185" s="35" t="s">
        <v>408</v>
      </c>
      <c r="M185" s="12"/>
      <c r="N185" s="7"/>
      <c r="O185" s="142"/>
      <c r="P185" s="45"/>
      <c r="Q185" s="123">
        <f>(SUM(E$2:E$21)+SUM(E$25:E$154)+SUM(E$156:E185))/(COUNTA(E$2:E185)-4)</f>
        <v>0.38070987654320976</v>
      </c>
      <c r="R185" s="46">
        <f>(SUM(H$2:H185)*E$1+A185)/SUM(H$2:H185)</f>
        <v>0.34841417910447764</v>
      </c>
      <c r="S185" s="62"/>
    </row>
    <row r="186" spans="1:19" hidden="1" x14ac:dyDescent="0.3">
      <c r="A186" s="53">
        <f t="shared" si="15"/>
        <v>0.3458333333333245</v>
      </c>
      <c r="B186" s="13" t="s">
        <v>4</v>
      </c>
      <c r="C186" s="86">
        <f t="shared" si="17"/>
        <v>43021</v>
      </c>
      <c r="D186" s="86" t="s">
        <v>172</v>
      </c>
      <c r="E186" s="15"/>
      <c r="F186" s="15"/>
      <c r="G186" s="16"/>
      <c r="H186" s="17"/>
      <c r="I186" s="136" t="str">
        <f>IF(J186&lt;0,-J186,"")</f>
        <v/>
      </c>
      <c r="J186" s="154"/>
      <c r="K186" s="36" t="s">
        <v>408</v>
      </c>
      <c r="L186" s="36" t="s">
        <v>408</v>
      </c>
      <c r="M186" s="18"/>
      <c r="N186" s="7"/>
      <c r="O186" s="142"/>
      <c r="P186" s="137">
        <f>A186-A181</f>
        <v>3.1944444444444386E-2</v>
      </c>
      <c r="Q186" s="123">
        <f>(SUM(E$2:E$21)+SUM(E$25:E$154)+SUM(E$156:E186))/(COUNTA(E$2:E186)-4)</f>
        <v>0.38070987654320976</v>
      </c>
      <c r="R186" s="46">
        <f>(SUM(H$2:H186)*E$1+A186)/SUM(H$2:H186)</f>
        <v>0.34841417910447764</v>
      </c>
      <c r="S186" s="41">
        <f>IF(COUNTA(M182:M186)=0,0,SUM(M182:M186)/COUNTA(M182:M186))</f>
        <v>0.21527777777777779</v>
      </c>
    </row>
    <row r="187" spans="1:19" hidden="1" x14ac:dyDescent="0.3">
      <c r="A187" s="51">
        <f t="shared" si="15"/>
        <v>0.37499999999999106</v>
      </c>
      <c r="B187" s="2" t="s">
        <v>0</v>
      </c>
      <c r="C187" s="3">
        <f t="shared" si="17"/>
        <v>43024</v>
      </c>
      <c r="D187" s="3" t="s">
        <v>173</v>
      </c>
      <c r="E187" s="4">
        <v>0.375</v>
      </c>
      <c r="F187" s="10">
        <v>0.76388888888888884</v>
      </c>
      <c r="G187" s="5">
        <v>0</v>
      </c>
      <c r="H187" s="2">
        <v>1</v>
      </c>
      <c r="I187" s="134" t="str">
        <f t="shared" si="20"/>
        <v/>
      </c>
      <c r="J187" s="152">
        <f t="shared" ref="J187:J198" si="22">IF(H187=1,F187-E187-MAX(G187,1)*$F$1-$E$1,F187-E187-$E$1*H187)</f>
        <v>2.9166666666666563E-2</v>
      </c>
      <c r="K187" s="34">
        <v>44</v>
      </c>
      <c r="L187" s="34">
        <v>34</v>
      </c>
      <c r="M187" s="6">
        <v>0.26041666666666669</v>
      </c>
      <c r="N187" s="7"/>
      <c r="O187" s="142"/>
      <c r="P187" s="45"/>
      <c r="Q187" s="123">
        <f>(SUM(E$2:E$21)+SUM(E$25:E$154)+SUM(E$156:E187))/(COUNTA(E$2:E187)-4)</f>
        <v>0.38066789215686259</v>
      </c>
      <c r="R187" s="46">
        <f>(SUM(H$2:H187)*E$1+A187)/SUM(H$2:H187)</f>
        <v>0.34861111111111109</v>
      </c>
      <c r="S187" s="61"/>
    </row>
    <row r="188" spans="1:19" hidden="1" x14ac:dyDescent="0.3">
      <c r="A188" s="52">
        <f t="shared" si="15"/>
        <v>0.43541666666665774</v>
      </c>
      <c r="B188" s="8" t="s">
        <v>1</v>
      </c>
      <c r="C188" s="9">
        <f t="shared" si="17"/>
        <v>43025</v>
      </c>
      <c r="D188" s="9" t="s">
        <v>174</v>
      </c>
      <c r="E188" s="10">
        <v>0.38194444444444442</v>
      </c>
      <c r="F188" s="10">
        <v>0.80208333333333337</v>
      </c>
      <c r="G188" s="11">
        <v>1</v>
      </c>
      <c r="H188" s="45">
        <v>1</v>
      </c>
      <c r="I188" s="135" t="str">
        <f t="shared" si="20"/>
        <v/>
      </c>
      <c r="J188" s="153">
        <f t="shared" si="22"/>
        <v>6.0416666666666674E-2</v>
      </c>
      <c r="K188" s="35"/>
      <c r="L188" s="35">
        <v>34</v>
      </c>
      <c r="M188" s="12">
        <v>0.1875</v>
      </c>
      <c r="N188" s="7"/>
      <c r="O188" s="142"/>
      <c r="P188" s="45"/>
      <c r="Q188" s="123">
        <f>(SUM(E$2:E$21)+SUM(E$25:E$154)+SUM(E$156:E188))/(COUNTA(E$2:E188)-4)</f>
        <v>0.38067721005677196</v>
      </c>
      <c r="R188" s="46">
        <f>(SUM(H$2:H188)*E$1+A188)/SUM(H$2:H188)</f>
        <v>0.3490349264705882</v>
      </c>
      <c r="S188" s="62"/>
    </row>
    <row r="189" spans="1:19" hidden="1" x14ac:dyDescent="0.3">
      <c r="A189" s="52">
        <f t="shared" si="15"/>
        <v>0.46458333333332436</v>
      </c>
      <c r="B189" s="8" t="s">
        <v>2</v>
      </c>
      <c r="C189" s="121">
        <f t="shared" si="17"/>
        <v>43026</v>
      </c>
      <c r="D189" s="121" t="s">
        <v>175</v>
      </c>
      <c r="E189" s="10">
        <v>0.37152777777777773</v>
      </c>
      <c r="F189" s="10">
        <v>0.76041666666666663</v>
      </c>
      <c r="G189" s="11">
        <v>1</v>
      </c>
      <c r="H189" s="45">
        <v>1</v>
      </c>
      <c r="I189" s="135" t="str">
        <f t="shared" si="20"/>
        <v/>
      </c>
      <c r="J189" s="153">
        <f t="shared" si="22"/>
        <v>2.9166666666666619E-2</v>
      </c>
      <c r="K189" s="35">
        <v>34</v>
      </c>
      <c r="L189" s="35">
        <v>34</v>
      </c>
      <c r="M189" s="12">
        <v>0.27083333333333331</v>
      </c>
      <c r="N189" s="7"/>
      <c r="O189" s="142"/>
      <c r="P189" s="45"/>
      <c r="Q189" s="123">
        <f>(SUM(E$2:E$21)+SUM(E$25:E$154)+SUM(E$156:E189))/(COUNTA(E$2:E189)-4)</f>
        <v>0.38061090982286622</v>
      </c>
      <c r="R189" s="46">
        <f>(SUM(H$2:H189)*E$1+A189)/SUM(H$2:H189)</f>
        <v>0.34922445255474449</v>
      </c>
      <c r="S189" s="62"/>
    </row>
    <row r="190" spans="1:19" hidden="1" x14ac:dyDescent="0.3">
      <c r="A190" s="52">
        <f t="shared" si="15"/>
        <v>0.54236111111110219</v>
      </c>
      <c r="B190" s="8" t="s">
        <v>3</v>
      </c>
      <c r="C190" s="121">
        <f t="shared" si="17"/>
        <v>43027</v>
      </c>
      <c r="D190" s="121" t="s">
        <v>176</v>
      </c>
      <c r="E190" s="10">
        <v>0.36458333333333331</v>
      </c>
      <c r="F190" s="10">
        <v>0.80208333333333337</v>
      </c>
      <c r="G190" s="11">
        <v>0</v>
      </c>
      <c r="H190" s="45">
        <v>1</v>
      </c>
      <c r="I190" s="135" t="str">
        <f t="shared" si="20"/>
        <v/>
      </c>
      <c r="J190" s="153">
        <f t="shared" si="22"/>
        <v>7.7777777777777779E-2</v>
      </c>
      <c r="K190" s="35"/>
      <c r="L190" s="35">
        <v>39</v>
      </c>
      <c r="M190" s="12">
        <v>0.22916666666666666</v>
      </c>
      <c r="N190" s="7"/>
      <c r="O190" s="142"/>
      <c r="P190" s="45"/>
      <c r="Q190" s="123">
        <f>(SUM(E$2:E$21)+SUM(E$25:E$154)+SUM(E$156:E190))/(COUNTA(E$2:E190)-4)</f>
        <v>0.38049560351718614</v>
      </c>
      <c r="R190" s="46">
        <f>(SUM(H$2:H190)*E$1+A190)/SUM(H$2:H190)</f>
        <v>0.3497634863123994</v>
      </c>
      <c r="S190" s="62"/>
    </row>
    <row r="191" spans="1:19" hidden="1" x14ac:dyDescent="0.3">
      <c r="A191" s="53">
        <f t="shared" ref="A191:A254" si="23">A190+J191</f>
        <v>0.5229166666666577</v>
      </c>
      <c r="B191" s="13" t="s">
        <v>4</v>
      </c>
      <c r="C191" s="117">
        <f t="shared" si="17"/>
        <v>43028</v>
      </c>
      <c r="D191" s="117" t="s">
        <v>177</v>
      </c>
      <c r="E191" s="15">
        <v>0.38194444444444442</v>
      </c>
      <c r="F191" s="15">
        <v>0.72222222222222221</v>
      </c>
      <c r="G191" s="16">
        <v>1</v>
      </c>
      <c r="H191" s="17">
        <v>1</v>
      </c>
      <c r="I191" s="136">
        <f>IF(J191&lt;0,-J191,"")</f>
        <v>1.9444444444444486E-2</v>
      </c>
      <c r="J191" s="154">
        <f t="shared" si="22"/>
        <v>-1.9444444444444486E-2</v>
      </c>
      <c r="K191" s="36">
        <v>39</v>
      </c>
      <c r="L191" s="36">
        <v>39</v>
      </c>
      <c r="M191" s="18">
        <v>0.22916666666666666</v>
      </c>
      <c r="N191" s="7"/>
      <c r="O191" s="143"/>
      <c r="P191" s="137">
        <f>A191-A186</f>
        <v>0.1770833333333332</v>
      </c>
      <c r="Q191" s="123">
        <f>(SUM(E$2:E$21)+SUM(E$25:E$154)+SUM(E$156:E191))/(COUNTA(E$2:E191)-4)</f>
        <v>0.38050595238095225</v>
      </c>
      <c r="R191" s="46">
        <f>(SUM(H$2:H191)*E$1+A191)/SUM(H$2:H191)</f>
        <v>0.34959532374100721</v>
      </c>
      <c r="S191" s="41">
        <f>IF(COUNTA(M187:M191)=0,0,SUM(M187:M191)/COUNTA(M187:M191))</f>
        <v>0.23541666666666666</v>
      </c>
    </row>
    <row r="192" spans="1:19" hidden="1" x14ac:dyDescent="0.3">
      <c r="A192" s="51">
        <f t="shared" si="23"/>
        <v>0.55208333333332427</v>
      </c>
      <c r="B192" s="2" t="s">
        <v>0</v>
      </c>
      <c r="C192" s="120">
        <f t="shared" si="17"/>
        <v>43031</v>
      </c>
      <c r="D192" s="120" t="s">
        <v>178</v>
      </c>
      <c r="E192" s="4">
        <v>0.375</v>
      </c>
      <c r="F192" s="4">
        <v>0.76388888888888884</v>
      </c>
      <c r="G192" s="5">
        <v>1</v>
      </c>
      <c r="H192" s="2">
        <v>1</v>
      </c>
      <c r="I192" s="134" t="str">
        <f t="shared" ref="I192:I210" si="24">IF(J192&lt;0,-J192,"")</f>
        <v/>
      </c>
      <c r="J192" s="152">
        <f t="shared" si="22"/>
        <v>2.9166666666666563E-2</v>
      </c>
      <c r="K192" s="34">
        <v>47</v>
      </c>
      <c r="L192" s="34">
        <v>41</v>
      </c>
      <c r="M192" s="6">
        <v>0.26041666666666669</v>
      </c>
      <c r="N192" s="7"/>
      <c r="O192" s="142"/>
      <c r="P192" s="45"/>
      <c r="Q192" s="123">
        <f>(SUM(E$2:E$21)+SUM(E$25:E$154)+SUM(E$156:E192))/(COUNTA(E$2:E192)-4)</f>
        <v>0.3804669030732859</v>
      </c>
      <c r="R192" s="46">
        <f>(SUM(H$2:H192)*E$1+A192)/SUM(H$2:H192)</f>
        <v>0.34977678571428567</v>
      </c>
      <c r="S192" s="61"/>
    </row>
    <row r="193" spans="1:19" hidden="1" x14ac:dyDescent="0.3">
      <c r="A193" s="52">
        <f t="shared" si="23"/>
        <v>0.56041666666665746</v>
      </c>
      <c r="B193" s="8" t="s">
        <v>1</v>
      </c>
      <c r="C193" s="121">
        <f t="shared" si="17"/>
        <v>43032</v>
      </c>
      <c r="D193" s="121" t="s">
        <v>179</v>
      </c>
      <c r="E193" s="10">
        <v>0.36805555555555558</v>
      </c>
      <c r="F193" s="10">
        <v>0.75</v>
      </c>
      <c r="G193" s="11">
        <v>2</v>
      </c>
      <c r="H193" s="45">
        <v>1</v>
      </c>
      <c r="I193" s="135" t="str">
        <f t="shared" si="24"/>
        <v/>
      </c>
      <c r="J193" s="153">
        <f t="shared" si="22"/>
        <v>8.3333333333332482E-3</v>
      </c>
      <c r="K193" s="35"/>
      <c r="L193" s="35">
        <v>40</v>
      </c>
      <c r="M193" s="12">
        <v>0.27083333333333331</v>
      </c>
      <c r="N193" s="7"/>
      <c r="O193" s="142"/>
      <c r="P193" s="45"/>
      <c r="Q193" s="123">
        <f>(SUM(E$2:E$21)+SUM(E$25:E$154)+SUM(E$156:E193))/(COUNTA(E$2:E193)-4)</f>
        <v>0.38037949921752728</v>
      </c>
      <c r="R193" s="46">
        <f>(SUM(H$2:H193)*E$1+A193)/SUM(H$2:H193)</f>
        <v>0.3498079196217494</v>
      </c>
      <c r="S193" s="62"/>
    </row>
    <row r="194" spans="1:19" hidden="1" x14ac:dyDescent="0.3">
      <c r="A194" s="52">
        <f t="shared" si="23"/>
        <v>0.59999999999999076</v>
      </c>
      <c r="B194" s="8" t="s">
        <v>2</v>
      </c>
      <c r="C194" s="121">
        <f t="shared" si="17"/>
        <v>43033</v>
      </c>
      <c r="D194" s="121" t="s">
        <v>180</v>
      </c>
      <c r="E194" s="10">
        <v>0.37152777777777773</v>
      </c>
      <c r="F194" s="10">
        <v>0.77083333333333337</v>
      </c>
      <c r="G194" s="11">
        <v>0</v>
      </c>
      <c r="H194" s="45">
        <v>1</v>
      </c>
      <c r="I194" s="135" t="str">
        <f t="shared" si="24"/>
        <v/>
      </c>
      <c r="J194" s="153">
        <f t="shared" si="22"/>
        <v>3.9583333333333359E-2</v>
      </c>
      <c r="K194" s="35">
        <v>40</v>
      </c>
      <c r="L194" s="35">
        <v>40</v>
      </c>
      <c r="M194" s="12">
        <v>0.27083333333333331</v>
      </c>
      <c r="N194" s="7"/>
      <c r="O194" s="142"/>
      <c r="P194" s="45"/>
      <c r="Q194" s="123">
        <f>(SUM(E$2:E$21)+SUM(E$25:E$154)+SUM(E$156:E194))/(COUNTA(E$2:E194)-4)</f>
        <v>0.38031759906759888</v>
      </c>
      <c r="R194" s="46">
        <f>(SUM(H$2:H194)*E$1+A194)/SUM(H$2:H194)</f>
        <v>0.35005868544600938</v>
      </c>
      <c r="S194" s="62"/>
    </row>
    <row r="195" spans="1:19" hidden="1" x14ac:dyDescent="0.3">
      <c r="A195" s="52">
        <f t="shared" si="23"/>
        <v>0.63958333333332407</v>
      </c>
      <c r="B195" s="8" t="s">
        <v>3</v>
      </c>
      <c r="C195" s="121">
        <f t="shared" si="17"/>
        <v>43034</v>
      </c>
      <c r="D195" s="121" t="s">
        <v>181</v>
      </c>
      <c r="E195" s="10">
        <v>0.37152777777777773</v>
      </c>
      <c r="F195" s="10">
        <v>0.77083333333333337</v>
      </c>
      <c r="G195" s="11">
        <v>1</v>
      </c>
      <c r="H195" s="45">
        <v>1</v>
      </c>
      <c r="I195" s="135" t="str">
        <f t="shared" si="24"/>
        <v/>
      </c>
      <c r="J195" s="153">
        <f t="shared" si="22"/>
        <v>3.9583333333333359E-2</v>
      </c>
      <c r="K195" s="35"/>
      <c r="L195" s="35">
        <v>36</v>
      </c>
      <c r="M195" s="12">
        <v>0.20833333333333334</v>
      </c>
      <c r="N195" s="7"/>
      <c r="O195" s="142"/>
      <c r="P195" s="45"/>
      <c r="Q195" s="123">
        <f>(SUM(E$2:E$21)+SUM(E$25:E$154)+SUM(E$156:E195))/(COUNTA(E$2:E195)-4)</f>
        <v>0.38025655864197522</v>
      </c>
      <c r="R195" s="46">
        <f>(SUM(H$2:H195)*E$1+A195)/SUM(H$2:H195)</f>
        <v>0.35030594405594406</v>
      </c>
      <c r="S195" s="62"/>
    </row>
    <row r="196" spans="1:19" hidden="1" x14ac:dyDescent="0.3">
      <c r="A196" s="53">
        <f t="shared" si="23"/>
        <v>0.61666666666665737</v>
      </c>
      <c r="B196" s="13" t="s">
        <v>4</v>
      </c>
      <c r="C196" s="117">
        <f t="shared" si="17"/>
        <v>43035</v>
      </c>
      <c r="D196" s="117" t="s">
        <v>182</v>
      </c>
      <c r="E196" s="15">
        <v>0.37152777777777773</v>
      </c>
      <c r="F196" s="15">
        <v>0.70833333333333337</v>
      </c>
      <c r="G196" s="16">
        <v>0</v>
      </c>
      <c r="H196" s="17">
        <v>1</v>
      </c>
      <c r="I196" s="136">
        <f>IF(J196&lt;0,-J196,"")</f>
        <v>2.2916666666666641E-2</v>
      </c>
      <c r="J196" s="154">
        <f t="shared" si="22"/>
        <v>-2.2916666666666641E-2</v>
      </c>
      <c r="K196" s="36">
        <v>43</v>
      </c>
      <c r="L196" s="36"/>
      <c r="M196" s="18">
        <v>0.22916666666666666</v>
      </c>
      <c r="N196" s="7"/>
      <c r="O196" s="143"/>
      <c r="P196" s="137">
        <f>A196-A191</f>
        <v>9.3749999999999667E-2</v>
      </c>
      <c r="Q196" s="123">
        <f>(SUM(E$2:E$21)+SUM(E$25:E$154)+SUM(E$156:E196))/(COUNTA(E$2:E196)-4)</f>
        <v>0.38019636015325653</v>
      </c>
      <c r="R196" s="46">
        <f>(SUM(H$2:H196)*E$1+A196)/SUM(H$2:H196)</f>
        <v>0.3501157407407407</v>
      </c>
      <c r="S196" s="41">
        <f>IF(COUNTA(M192:M196)=0,0,SUM(M192:M196)/COUNTA(M192:M196))</f>
        <v>0.24791666666666665</v>
      </c>
    </row>
    <row r="197" spans="1:19" hidden="1" x14ac:dyDescent="0.3">
      <c r="A197" s="51">
        <f t="shared" si="23"/>
        <v>0.62152777777776846</v>
      </c>
      <c r="B197" s="2" t="s">
        <v>0</v>
      </c>
      <c r="C197" s="120">
        <f t="shared" si="17"/>
        <v>43038</v>
      </c>
      <c r="D197" s="120" t="s">
        <v>183</v>
      </c>
      <c r="E197" s="4">
        <v>0.375</v>
      </c>
      <c r="F197" s="4">
        <v>0.73958333333333337</v>
      </c>
      <c r="G197" s="5">
        <v>1</v>
      </c>
      <c r="H197" s="2">
        <v>1</v>
      </c>
      <c r="I197" s="134" t="str">
        <f t="shared" si="24"/>
        <v/>
      </c>
      <c r="J197" s="152">
        <f t="shared" si="22"/>
        <v>4.8611111111110938E-3</v>
      </c>
      <c r="K197" s="34">
        <v>37</v>
      </c>
      <c r="L197" s="34"/>
      <c r="M197" s="6">
        <v>0.22916666666666666</v>
      </c>
      <c r="N197" s="7"/>
      <c r="O197" s="142"/>
      <c r="P197" s="138"/>
      <c r="Q197" s="123">
        <f>(SUM(E$2:E$21)+SUM(E$25:E$154)+SUM(E$156:E197))/(COUNTA(E$2:E197)-4)</f>
        <v>0.38016076864535753</v>
      </c>
      <c r="R197" s="46">
        <f>(SUM(H$2:H197)*E$1+A197)/SUM(H$2:H197)</f>
        <v>0.35011973180076633</v>
      </c>
      <c r="S197" s="61"/>
    </row>
    <row r="198" spans="1:19" hidden="1" x14ac:dyDescent="0.3">
      <c r="A198" s="52">
        <f t="shared" si="23"/>
        <v>0.6715277777777684</v>
      </c>
      <c r="B198" s="8" t="s">
        <v>1</v>
      </c>
      <c r="C198" s="9">
        <f t="shared" si="17"/>
        <v>43039</v>
      </c>
      <c r="D198" s="9" t="s">
        <v>184</v>
      </c>
      <c r="E198" s="10">
        <v>0.36458333333333331</v>
      </c>
      <c r="F198" s="10">
        <v>0.77430555555555547</v>
      </c>
      <c r="G198" s="11">
        <v>0</v>
      </c>
      <c r="H198" s="45">
        <v>1</v>
      </c>
      <c r="I198" s="135" t="str">
        <f t="shared" si="24"/>
        <v/>
      </c>
      <c r="J198" s="153">
        <f t="shared" si="22"/>
        <v>4.9999999999999878E-2</v>
      </c>
      <c r="K198" s="35">
        <v>37</v>
      </c>
      <c r="L198" s="35">
        <v>32</v>
      </c>
      <c r="M198" s="12">
        <v>0.29166666666666669</v>
      </c>
      <c r="N198" s="7">
        <f>SUM(H177:H198)</f>
        <v>18</v>
      </c>
      <c r="O198" s="142"/>
      <c r="P198" s="138"/>
      <c r="Q198" s="123">
        <f>(SUM(E$2:E$21)+SUM(E$25:E$154)+SUM(E$156:E198))/(COUNTA(E$2:E198)-4)</f>
        <v>0.38005479969765671</v>
      </c>
      <c r="R198" s="46">
        <f>(SUM(H$2:H198)*E$1+A198)/SUM(H$2:H198)</f>
        <v>0.35043283866057839</v>
      </c>
      <c r="S198" s="62"/>
    </row>
    <row r="199" spans="1:19" hidden="1" x14ac:dyDescent="0.3">
      <c r="A199" s="127">
        <f t="shared" si="23"/>
        <v>0.6715277777777684</v>
      </c>
      <c r="B199" s="8" t="s">
        <v>2</v>
      </c>
      <c r="C199" s="74">
        <f t="shared" si="17"/>
        <v>43040</v>
      </c>
      <c r="D199" s="74" t="s">
        <v>185</v>
      </c>
      <c r="E199" s="10"/>
      <c r="F199" s="10"/>
      <c r="G199" s="11"/>
      <c r="H199" s="45"/>
      <c r="I199" s="135" t="str">
        <f t="shared" si="24"/>
        <v/>
      </c>
      <c r="J199" s="153"/>
      <c r="K199" s="35">
        <v>32</v>
      </c>
      <c r="L199" s="35">
        <v>26</v>
      </c>
      <c r="M199" s="12">
        <v>0.29166666666666669</v>
      </c>
      <c r="N199" s="7"/>
      <c r="O199" s="142"/>
      <c r="P199" s="138"/>
      <c r="Q199" s="123">
        <f>(SUM(E$2:E$21)+SUM(E$25:E$154)+SUM(E$156:E199))/(COUNTA(E$2:E199)-4)</f>
        <v>0.38005479969765671</v>
      </c>
      <c r="R199" s="46">
        <f>(SUM(H$2:H199)*E$1+A199)/SUM(H$2:H199)</f>
        <v>0.35043283866057839</v>
      </c>
      <c r="S199" s="62"/>
    </row>
    <row r="200" spans="1:19" hidden="1" x14ac:dyDescent="0.3">
      <c r="A200" s="52">
        <f t="shared" si="23"/>
        <v>0.69722222222221275</v>
      </c>
      <c r="B200" s="8" t="s">
        <v>3</v>
      </c>
      <c r="C200" s="9">
        <f t="shared" ref="C200:C263" si="25">C195+7</f>
        <v>43041</v>
      </c>
      <c r="D200" s="9" t="s">
        <v>186</v>
      </c>
      <c r="E200" s="10">
        <v>0.375</v>
      </c>
      <c r="F200" s="10">
        <v>0.76041666666666663</v>
      </c>
      <c r="G200" s="11">
        <v>0</v>
      </c>
      <c r="H200" s="45">
        <v>1</v>
      </c>
      <c r="I200" s="135" t="str">
        <f t="shared" si="24"/>
        <v/>
      </c>
      <c r="J200" s="153">
        <f t="shared" ref="J200:J263" si="26">IF(H200=1,F200-E200-MAX(G200,1)*$F$1-$E$1,F200-E200-$E$1*H200)</f>
        <v>2.5694444444444353E-2</v>
      </c>
      <c r="K200" s="35">
        <v>39</v>
      </c>
      <c r="L200" s="35">
        <v>26</v>
      </c>
      <c r="M200" s="12">
        <v>0.16666666666666666</v>
      </c>
      <c r="N200" s="7"/>
      <c r="O200" s="142"/>
      <c r="P200" s="138"/>
      <c r="Q200" s="123">
        <f>(SUM(E$2:E$21)+SUM(E$25:E$154)+SUM(E$156:E200))/(COUNTA(E$2:E200)-4)</f>
        <v>0.38002064564564553</v>
      </c>
      <c r="R200" s="46">
        <f>(SUM(H$2:H200)*E$1+A200)/SUM(H$2:H200)</f>
        <v>0.35057634164777024</v>
      </c>
      <c r="S200" s="62"/>
    </row>
    <row r="201" spans="1:19" hidden="1" x14ac:dyDescent="0.3">
      <c r="A201" s="53">
        <f t="shared" si="23"/>
        <v>0.6291666666666571</v>
      </c>
      <c r="B201" s="13" t="s">
        <v>4</v>
      </c>
      <c r="C201" s="117">
        <f t="shared" si="25"/>
        <v>43042</v>
      </c>
      <c r="D201" s="117" t="s">
        <v>187</v>
      </c>
      <c r="E201" s="15">
        <v>0.3576388888888889</v>
      </c>
      <c r="F201" s="15">
        <v>0.64930555555555558</v>
      </c>
      <c r="G201" s="16">
        <v>0</v>
      </c>
      <c r="H201" s="17">
        <v>1</v>
      </c>
      <c r="I201" s="136">
        <f>IF(J201&lt;0,-J201,"")</f>
        <v>6.8055555555555591E-2</v>
      </c>
      <c r="J201" s="154">
        <f t="shared" si="26"/>
        <v>-6.8055555555555591E-2</v>
      </c>
      <c r="K201" s="36">
        <v>26</v>
      </c>
      <c r="L201" s="131">
        <v>21</v>
      </c>
      <c r="M201" s="18">
        <v>0.25</v>
      </c>
      <c r="N201" s="7"/>
      <c r="O201" s="143"/>
      <c r="P201" s="137">
        <f>A201-A196</f>
        <v>1.2499999999999734E-2</v>
      </c>
      <c r="Q201" s="123">
        <f>(SUM(E$2:E$21)+SUM(E$25:E$154)+SUM(E$156:E201))/(COUNTA(E$2:E201)-4)</f>
        <v>0.37987043251304986</v>
      </c>
      <c r="R201" s="46">
        <f>(SUM(H$2:H201)*E$1+A201)/SUM(H$2:H201)</f>
        <v>0.35008445945945943</v>
      </c>
      <c r="S201" s="41">
        <f>IF(COUNTA(M197:M201)=0,0,SUM(M197:M201)/COUNTA(M197:M201))</f>
        <v>0.24583333333333329</v>
      </c>
    </row>
    <row r="202" spans="1:19" hidden="1" x14ac:dyDescent="0.3">
      <c r="A202" s="51">
        <f t="shared" si="23"/>
        <v>0.61319444444443472</v>
      </c>
      <c r="B202" s="2" t="s">
        <v>0</v>
      </c>
      <c r="C202" s="120">
        <f t="shared" si="25"/>
        <v>43045</v>
      </c>
      <c r="D202" s="120" t="s">
        <v>188</v>
      </c>
      <c r="E202" s="4">
        <v>0.38541666666666669</v>
      </c>
      <c r="F202" s="4">
        <v>0.74305555555555547</v>
      </c>
      <c r="G202" s="5">
        <v>2</v>
      </c>
      <c r="H202" s="2">
        <v>1</v>
      </c>
      <c r="I202" s="134">
        <f t="shared" si="24"/>
        <v>1.5972222222222388E-2</v>
      </c>
      <c r="J202" s="152">
        <f t="shared" si="26"/>
        <v>-1.5972222222222388E-2</v>
      </c>
      <c r="K202" s="34">
        <v>35</v>
      </c>
      <c r="L202" s="34">
        <v>35</v>
      </c>
      <c r="M202" s="6">
        <v>0.16666666666666666</v>
      </c>
      <c r="N202" s="7"/>
      <c r="O202" s="142"/>
      <c r="P202" s="138"/>
      <c r="Q202" s="123">
        <f>(SUM(E$2:E$21)+SUM(E$25:E$154)+SUM(E$156:E202))/(COUNTA(E$2:E202)-4)</f>
        <v>0.3799074074074073</v>
      </c>
      <c r="R202" s="46">
        <f>(SUM(H$2:H202)*E$1+A202)/SUM(H$2:H202)</f>
        <v>0.34994873228933632</v>
      </c>
      <c r="S202" s="61"/>
    </row>
    <row r="203" spans="1:19" hidden="1" x14ac:dyDescent="0.3">
      <c r="A203" s="52">
        <f t="shared" si="23"/>
        <v>0.66319444444443465</v>
      </c>
      <c r="B203" s="8" t="s">
        <v>1</v>
      </c>
      <c r="C203" s="121">
        <f t="shared" si="25"/>
        <v>43046</v>
      </c>
      <c r="D203" s="121" t="s">
        <v>189</v>
      </c>
      <c r="E203" s="10">
        <v>0.3611111111111111</v>
      </c>
      <c r="F203" s="10">
        <v>0.77083333333333337</v>
      </c>
      <c r="G203" s="11">
        <v>0</v>
      </c>
      <c r="H203" s="45">
        <v>1</v>
      </c>
      <c r="I203" s="135" t="str">
        <f t="shared" si="24"/>
        <v/>
      </c>
      <c r="J203" s="153">
        <f t="shared" si="26"/>
        <v>4.9999999999999989E-2</v>
      </c>
      <c r="K203" s="132">
        <v>21</v>
      </c>
      <c r="L203" s="35">
        <v>25</v>
      </c>
      <c r="M203" s="12">
        <v>0.3125</v>
      </c>
      <c r="N203" s="7"/>
      <c r="O203" s="142"/>
      <c r="P203" s="138"/>
      <c r="Q203" s="123">
        <f>(SUM(E$2:E$21)+SUM(E$25:E$154)+SUM(E$156:E203))/(COUNTA(E$2:E203)-4)</f>
        <v>0.3797829286239881</v>
      </c>
      <c r="R203" s="46">
        <f>(SUM(H$2:H203)*E$1+A203)/SUM(H$2:H203)</f>
        <v>0.35025462962962961</v>
      </c>
      <c r="S203" s="62"/>
    </row>
    <row r="204" spans="1:19" hidden="1" x14ac:dyDescent="0.3">
      <c r="A204" s="52">
        <f t="shared" si="23"/>
        <v>0.70972222222221237</v>
      </c>
      <c r="B204" s="8" t="s">
        <v>2</v>
      </c>
      <c r="C204" s="121">
        <f t="shared" si="25"/>
        <v>43047</v>
      </c>
      <c r="D204" s="121" t="s">
        <v>190</v>
      </c>
      <c r="E204" s="10">
        <v>0.36458333333333331</v>
      </c>
      <c r="F204" s="10">
        <v>0.77083333333333337</v>
      </c>
      <c r="G204" s="11">
        <v>0</v>
      </c>
      <c r="H204" s="45">
        <v>1</v>
      </c>
      <c r="I204" s="135" t="str">
        <f t="shared" si="24"/>
        <v/>
      </c>
      <c r="J204" s="153">
        <f t="shared" si="26"/>
        <v>4.6527777777777779E-2</v>
      </c>
      <c r="K204" s="35">
        <v>25</v>
      </c>
      <c r="L204" s="35">
        <v>28</v>
      </c>
      <c r="M204" s="12">
        <v>0.1875</v>
      </c>
      <c r="N204" s="7"/>
      <c r="O204" s="142"/>
      <c r="P204" s="138"/>
      <c r="Q204" s="123">
        <f>(SUM(E$2:E$21)+SUM(E$25:E$154)+SUM(E$156:E204))/(COUNTA(E$2:E204)-4)</f>
        <v>0.37968293128654956</v>
      </c>
      <c r="R204" s="46">
        <f>(SUM(H$2:H204)*E$1+A204)/SUM(H$2:H204)</f>
        <v>0.35053348050036787</v>
      </c>
      <c r="S204" s="62"/>
    </row>
    <row r="205" spans="1:19" hidden="1" x14ac:dyDescent="0.3">
      <c r="A205" s="52">
        <f t="shared" si="23"/>
        <v>0.6972222222222122</v>
      </c>
      <c r="B205" s="8" t="s">
        <v>3</v>
      </c>
      <c r="C205" s="121">
        <f t="shared" si="25"/>
        <v>43048</v>
      </c>
      <c r="D205" s="121" t="s">
        <v>191</v>
      </c>
      <c r="E205" s="10">
        <v>0.375</v>
      </c>
      <c r="F205" s="10">
        <v>0.76388888888888884</v>
      </c>
      <c r="G205" s="11">
        <v>4</v>
      </c>
      <c r="H205" s="45">
        <v>1</v>
      </c>
      <c r="I205" s="135">
        <f t="shared" si="24"/>
        <v>1.2500000000000122E-2</v>
      </c>
      <c r="J205" s="153">
        <f t="shared" si="26"/>
        <v>-1.2500000000000122E-2</v>
      </c>
      <c r="K205" s="35">
        <v>30</v>
      </c>
      <c r="L205" s="35">
        <v>25</v>
      </c>
      <c r="M205" s="12">
        <v>0.3125</v>
      </c>
      <c r="N205" s="7"/>
      <c r="O205" s="142"/>
      <c r="P205" s="138"/>
      <c r="Q205" s="123">
        <f>(SUM(E$2:E$21)+SUM(E$25:E$154)+SUM(E$156:E205))/(COUNTA(E$2:E205)-4)</f>
        <v>0.37965232389251985</v>
      </c>
      <c r="R205" s="46">
        <f>(SUM(H$2:H205)*E$1+A205)/SUM(H$2:H205)</f>
        <v>0.35042032163742687</v>
      </c>
      <c r="S205" s="62"/>
    </row>
    <row r="206" spans="1:19" hidden="1" x14ac:dyDescent="0.3">
      <c r="A206" s="53">
        <f t="shared" si="23"/>
        <v>0.63263888888887876</v>
      </c>
      <c r="B206" s="13" t="s">
        <v>4</v>
      </c>
      <c r="C206" s="117">
        <f t="shared" si="25"/>
        <v>43049</v>
      </c>
      <c r="D206" s="117" t="s">
        <v>192</v>
      </c>
      <c r="E206" s="15">
        <v>0.3611111111111111</v>
      </c>
      <c r="F206" s="15">
        <v>0.65625</v>
      </c>
      <c r="G206" s="16">
        <v>1</v>
      </c>
      <c r="H206" s="17">
        <v>1</v>
      </c>
      <c r="I206" s="136">
        <f>IF(J206&lt;0,-J206,"")</f>
        <v>6.4583333333333381E-2</v>
      </c>
      <c r="J206" s="154">
        <f t="shared" si="26"/>
        <v>-6.4583333333333381E-2</v>
      </c>
      <c r="K206" s="36">
        <v>36</v>
      </c>
      <c r="L206" s="36">
        <v>36</v>
      </c>
      <c r="M206" s="18">
        <v>0.27083333333333331</v>
      </c>
      <c r="N206" s="7"/>
      <c r="O206" s="143" t="str">
        <f>IF(P206&lt;0,-P206,"")</f>
        <v/>
      </c>
      <c r="P206" s="137">
        <f>A206-A201</f>
        <v>3.4722222222216548E-3</v>
      </c>
      <c r="Q206" s="123">
        <f>(SUM(E$2:E$21)+SUM(E$25:E$154)+SUM(E$156:E206))/(COUNTA(E$2:E206)-4)</f>
        <v>0.37953192640692629</v>
      </c>
      <c r="R206" s="46">
        <f>(SUM(H$2:H206)*E$1+A206)/SUM(H$2:H206)</f>
        <v>0.34996822803195349</v>
      </c>
      <c r="S206" s="41">
        <f>IF(COUNTA(M202:M206)=0,0,SUM(M202:M206)/COUNTA(M202:M206))</f>
        <v>0.25</v>
      </c>
    </row>
    <row r="207" spans="1:19" hidden="1" x14ac:dyDescent="0.3">
      <c r="A207" s="51">
        <f t="shared" si="23"/>
        <v>0.7173611111111009</v>
      </c>
      <c r="B207" s="2" t="s">
        <v>0</v>
      </c>
      <c r="C207" s="120">
        <f t="shared" si="25"/>
        <v>43052</v>
      </c>
      <c r="D207" s="120" t="s">
        <v>193</v>
      </c>
      <c r="E207" s="4">
        <v>0.35416666666666669</v>
      </c>
      <c r="F207" s="4">
        <v>0.79861111111111116</v>
      </c>
      <c r="G207" s="5">
        <v>1</v>
      </c>
      <c r="H207" s="2">
        <v>1</v>
      </c>
      <c r="I207" s="134" t="str">
        <f t="shared" si="24"/>
        <v/>
      </c>
      <c r="J207" s="152">
        <f t="shared" si="26"/>
        <v>8.4722222222222199E-2</v>
      </c>
      <c r="K207" s="34"/>
      <c r="L207" s="34">
        <v>40</v>
      </c>
      <c r="M207" s="6">
        <v>0.27083333333333331</v>
      </c>
      <c r="N207" s="7"/>
      <c r="O207" s="143" t="str">
        <f t="shared" ref="O207:O270" si="27">IF(P207&lt;0,-P207,"")</f>
        <v/>
      </c>
      <c r="P207" s="138"/>
      <c r="Q207" s="123">
        <f>(SUM(E$2:E$21)+SUM(E$25:E$154)+SUM(E$156:E207))/(COUNTA(E$2:E207)-4)</f>
        <v>0.37936827956989233</v>
      </c>
      <c r="R207" s="46">
        <f>(SUM(H$2:H207)*E$1+A207)/SUM(H$2:H207)</f>
        <v>0.35049152236652237</v>
      </c>
      <c r="S207" s="61"/>
    </row>
    <row r="208" spans="1:19" hidden="1" x14ac:dyDescent="0.3">
      <c r="A208" s="52">
        <f t="shared" si="23"/>
        <v>0.73958333333332305</v>
      </c>
      <c r="B208" s="8" t="s">
        <v>1</v>
      </c>
      <c r="C208" s="121">
        <f t="shared" si="25"/>
        <v>43053</v>
      </c>
      <c r="D208" s="121" t="s">
        <v>194</v>
      </c>
      <c r="E208" s="10">
        <v>0.36805555555555558</v>
      </c>
      <c r="F208" s="10">
        <v>0.75</v>
      </c>
      <c r="G208" s="11">
        <v>0</v>
      </c>
      <c r="H208" s="45">
        <v>1</v>
      </c>
      <c r="I208" s="135" t="str">
        <f t="shared" si="24"/>
        <v/>
      </c>
      <c r="J208" s="153">
        <f t="shared" si="26"/>
        <v>2.2222222222222143E-2</v>
      </c>
      <c r="K208" s="35">
        <v>34</v>
      </c>
      <c r="L208" s="35">
        <v>34</v>
      </c>
      <c r="M208" s="12">
        <v>0.16666666666666666</v>
      </c>
      <c r="N208" s="7"/>
      <c r="O208" s="143" t="str">
        <f t="shared" si="27"/>
        <v/>
      </c>
      <c r="P208" s="138"/>
      <c r="Q208" s="123">
        <f>(SUM(E$2:E$21)+SUM(E$25:E$154)+SUM(E$156:E208))/(COUNTA(E$2:E208)-4)</f>
        <v>0.37929576210826199</v>
      </c>
      <c r="R208" s="46">
        <f>(SUM(H$2:H208)*E$1+A208)/SUM(H$2:H208)</f>
        <v>0.35060483870967735</v>
      </c>
      <c r="S208" s="62"/>
    </row>
    <row r="209" spans="1:19" hidden="1" x14ac:dyDescent="0.3">
      <c r="A209" s="52">
        <f t="shared" si="23"/>
        <v>0.76527777777776751</v>
      </c>
      <c r="B209" s="8" t="s">
        <v>2</v>
      </c>
      <c r="C209" s="121">
        <f t="shared" si="25"/>
        <v>43054</v>
      </c>
      <c r="D209" s="121" t="s">
        <v>195</v>
      </c>
      <c r="E209" s="10">
        <v>0.37152777777777773</v>
      </c>
      <c r="F209" s="10">
        <v>0.75694444444444453</v>
      </c>
      <c r="G209" s="11">
        <v>0</v>
      </c>
      <c r="H209" s="45">
        <v>1</v>
      </c>
      <c r="I209" s="135" t="str">
        <f t="shared" si="24"/>
        <v/>
      </c>
      <c r="J209" s="153">
        <f t="shared" si="26"/>
        <v>2.569444444444452E-2</v>
      </c>
      <c r="K209" s="35">
        <v>26</v>
      </c>
      <c r="L209" s="35">
        <v>26</v>
      </c>
      <c r="M209" s="12">
        <v>0.16666666666666666</v>
      </c>
      <c r="N209" s="7"/>
      <c r="O209" s="143" t="str">
        <f t="shared" si="27"/>
        <v/>
      </c>
      <c r="P209" s="138"/>
      <c r="Q209" s="123">
        <f>(SUM(E$2:E$21)+SUM(E$25:E$154)+SUM(E$156:E209))/(COUNTA(E$2:E209)-4)</f>
        <v>0.3792462845010614</v>
      </c>
      <c r="R209" s="46">
        <f>(SUM(H$2:H209)*E$1+A209)/SUM(H$2:H209)</f>
        <v>0.35073896011396011</v>
      </c>
      <c r="S209" s="62"/>
    </row>
    <row r="210" spans="1:19" hidden="1" x14ac:dyDescent="0.3">
      <c r="A210" s="52">
        <f t="shared" si="23"/>
        <v>0.71805555555554523</v>
      </c>
      <c r="B210" s="8" t="s">
        <v>3</v>
      </c>
      <c r="C210" s="121">
        <f t="shared" si="25"/>
        <v>43055</v>
      </c>
      <c r="D210" s="121" t="s">
        <v>196</v>
      </c>
      <c r="E210" s="10">
        <v>0.36805555555555558</v>
      </c>
      <c r="F210" s="10">
        <v>0.70833333333333337</v>
      </c>
      <c r="G210" s="11">
        <v>3</v>
      </c>
      <c r="H210" s="45">
        <v>1</v>
      </c>
      <c r="I210" s="135">
        <f t="shared" si="24"/>
        <v>4.7222222222222276E-2</v>
      </c>
      <c r="J210" s="153">
        <f t="shared" si="26"/>
        <v>-4.7222222222222276E-2</v>
      </c>
      <c r="K210" s="35">
        <v>33</v>
      </c>
      <c r="L210" s="35">
        <v>23</v>
      </c>
      <c r="M210" s="12">
        <v>0.27083333333333331</v>
      </c>
      <c r="N210" s="7"/>
      <c r="O210" s="143" t="str">
        <f t="shared" si="27"/>
        <v/>
      </c>
      <c r="P210" s="138"/>
      <c r="Q210" s="123">
        <f>(SUM(E$2:E$21)+SUM(E$25:E$154)+SUM(E$156:E210))/(COUNTA(E$2:E210)-4)</f>
        <v>0.37917545710267214</v>
      </c>
      <c r="R210" s="46">
        <f>(SUM(H$2:H210)*E$1+A210)/SUM(H$2:H210)</f>
        <v>0.35040693559801839</v>
      </c>
      <c r="S210" s="62"/>
    </row>
    <row r="211" spans="1:19" hidden="1" x14ac:dyDescent="0.3">
      <c r="A211" s="53">
        <f t="shared" si="23"/>
        <v>0.71805555555554523</v>
      </c>
      <c r="B211" s="13" t="s">
        <v>4</v>
      </c>
      <c r="C211" s="65">
        <f t="shared" si="25"/>
        <v>43056</v>
      </c>
      <c r="D211" s="65" t="s">
        <v>197</v>
      </c>
      <c r="E211" s="15"/>
      <c r="F211" s="15"/>
      <c r="G211" s="16"/>
      <c r="H211" s="17"/>
      <c r="I211" s="136" t="str">
        <f>IF(J211&lt;0,-J211,"")</f>
        <v/>
      </c>
      <c r="J211" s="154">
        <f t="shared" si="26"/>
        <v>0</v>
      </c>
      <c r="K211" s="36"/>
      <c r="L211" s="36"/>
      <c r="M211" s="18"/>
      <c r="N211" s="7"/>
      <c r="O211" s="143" t="str">
        <f t="shared" si="27"/>
        <v/>
      </c>
      <c r="P211" s="137">
        <f>A211-A206</f>
        <v>8.5416666666666474E-2</v>
      </c>
      <c r="Q211" s="123">
        <f>(SUM(E$2:E$21)+SUM(E$25:E$154)+SUM(E$156:E211))/(COUNTA(E$2:E211)-4)</f>
        <v>0.37917545710267214</v>
      </c>
      <c r="R211" s="46">
        <f>(SUM(H$2:H211)*E$1+A211)/SUM(H$2:H211)</f>
        <v>0.35040693559801839</v>
      </c>
      <c r="S211" s="41">
        <f>IF(COUNTA(M207:M211)=0,0,SUM(M207:M211)/COUNTA(M207:M211))</f>
        <v>0.21875</v>
      </c>
    </row>
    <row r="212" spans="1:19" hidden="1" x14ac:dyDescent="0.3">
      <c r="A212" s="51">
        <f t="shared" si="23"/>
        <v>0.71805555555554523</v>
      </c>
      <c r="B212" s="2" t="s">
        <v>0</v>
      </c>
      <c r="C212" s="139">
        <f t="shared" si="25"/>
        <v>43059</v>
      </c>
      <c r="D212" s="139" t="s">
        <v>198</v>
      </c>
      <c r="E212" s="4"/>
      <c r="F212" s="4"/>
      <c r="G212" s="5"/>
      <c r="H212" s="2"/>
      <c r="I212" s="134" t="str">
        <f t="shared" ref="I212:I230" si="28">IF(J212&lt;0,-J212,"")</f>
        <v/>
      </c>
      <c r="J212" s="152">
        <f t="shared" si="26"/>
        <v>0</v>
      </c>
      <c r="K212" s="34"/>
      <c r="L212" s="34">
        <v>47</v>
      </c>
      <c r="M212" s="6"/>
      <c r="N212" s="7"/>
      <c r="O212" s="143" t="str">
        <f t="shared" si="27"/>
        <v/>
      </c>
      <c r="P212" s="138"/>
      <c r="Q212" s="123">
        <f>(SUM(E$2:E$21)+SUM(E$25:E$154)+SUM(E$156:E212))/(COUNTA(E$2:E212)-4)</f>
        <v>0.37917545710267214</v>
      </c>
      <c r="R212" s="46">
        <f>(SUM(H$2:H212)*E$1+A212)/SUM(H$2:H212)</f>
        <v>0.35040693559801839</v>
      </c>
      <c r="S212" s="61"/>
    </row>
    <row r="213" spans="1:19" hidden="1" x14ac:dyDescent="0.3">
      <c r="A213" s="52">
        <f t="shared" si="23"/>
        <v>0.72638888888887843</v>
      </c>
      <c r="B213" s="8" t="s">
        <v>1</v>
      </c>
      <c r="C213" s="121">
        <f t="shared" si="25"/>
        <v>43060</v>
      </c>
      <c r="D213" s="121" t="s">
        <v>199</v>
      </c>
      <c r="E213" s="10">
        <v>0.37847222222222227</v>
      </c>
      <c r="F213" s="10">
        <v>0.76041666666666663</v>
      </c>
      <c r="G213" s="11">
        <v>2</v>
      </c>
      <c r="H213" s="45">
        <v>1</v>
      </c>
      <c r="I213" s="135" t="str">
        <f t="shared" si="28"/>
        <v/>
      </c>
      <c r="J213" s="153">
        <f>IF(H213=1,F213-E213-MAX(G213,1)*$F$1-$E$1,F213-E213-$E$1*H213)</f>
        <v>8.3333333333331927E-3</v>
      </c>
      <c r="K213" s="35">
        <v>42</v>
      </c>
      <c r="L213" s="35">
        <v>34</v>
      </c>
      <c r="M213" s="12">
        <v>0.125</v>
      </c>
      <c r="N213" s="7"/>
      <c r="O213" s="143" t="str">
        <f t="shared" si="27"/>
        <v/>
      </c>
      <c r="P213" s="138"/>
      <c r="Q213" s="123">
        <f>(SUM(E$2:E$21)+SUM(E$25:E$154)+SUM(E$156:E213))/(COUNTA(E$2:E213)-4)</f>
        <v>0.37917103424178888</v>
      </c>
      <c r="R213" s="46">
        <f>(SUM(H$2:H213)*E$1+A213)/SUM(H$2:H213)</f>
        <v>0.35043073136427566</v>
      </c>
      <c r="S213" s="62"/>
    </row>
    <row r="214" spans="1:19" hidden="1" x14ac:dyDescent="0.3">
      <c r="A214" s="52">
        <f t="shared" si="23"/>
        <v>0.74513888888887847</v>
      </c>
      <c r="B214" s="8" t="s">
        <v>2</v>
      </c>
      <c r="C214" s="121">
        <f t="shared" si="25"/>
        <v>43061</v>
      </c>
      <c r="D214" s="121" t="s">
        <v>200</v>
      </c>
      <c r="E214" s="10">
        <v>0.35069444444444442</v>
      </c>
      <c r="F214" s="10">
        <v>0.75694444444444453</v>
      </c>
      <c r="G214" s="11">
        <v>3</v>
      </c>
      <c r="H214" s="45">
        <v>1</v>
      </c>
      <c r="I214" s="135" t="str">
        <f t="shared" si="28"/>
        <v/>
      </c>
      <c r="J214" s="153">
        <f t="shared" si="26"/>
        <v>1.8750000000000044E-2</v>
      </c>
      <c r="K214" s="35">
        <v>32</v>
      </c>
      <c r="L214" s="35">
        <v>32</v>
      </c>
      <c r="M214" s="12">
        <v>0.14583333333333334</v>
      </c>
      <c r="N214" s="7"/>
      <c r="O214" s="143" t="str">
        <f t="shared" si="27"/>
        <v/>
      </c>
      <c r="P214" s="45"/>
      <c r="Q214" s="123">
        <f>(SUM(E$2:E$21)+SUM(E$25:E$154)+SUM(E$156:E214))/(COUNTA(E$2:E214)-4)</f>
        <v>0.37899305555555546</v>
      </c>
      <c r="R214" s="46">
        <f>(SUM(H$2:H214)*E$1+A214)/SUM(H$2:H214)</f>
        <v>0.35051974143955272</v>
      </c>
      <c r="S214" s="62"/>
    </row>
    <row r="215" spans="1:19" hidden="1" x14ac:dyDescent="0.3">
      <c r="A215" s="52">
        <f t="shared" si="23"/>
        <v>0.72222222222221188</v>
      </c>
      <c r="B215" s="8" t="s">
        <v>3</v>
      </c>
      <c r="C215" s="121">
        <f t="shared" si="25"/>
        <v>43062</v>
      </c>
      <c r="D215" s="121" t="s">
        <v>201</v>
      </c>
      <c r="E215" s="10">
        <v>0.37152777777777773</v>
      </c>
      <c r="F215" s="10">
        <v>0.75</v>
      </c>
      <c r="G215" s="11">
        <v>4</v>
      </c>
      <c r="H215" s="45">
        <v>1</v>
      </c>
      <c r="I215" s="135">
        <f t="shared" si="28"/>
        <v>2.2916666666666641E-2</v>
      </c>
      <c r="J215" s="153">
        <f t="shared" si="26"/>
        <v>-2.2916666666666641E-2</v>
      </c>
      <c r="K215" s="35"/>
      <c r="L215" s="35">
        <v>32</v>
      </c>
      <c r="M215" s="12">
        <v>0.33333333333333331</v>
      </c>
      <c r="N215" s="7"/>
      <c r="O215" s="143" t="str">
        <f t="shared" si="27"/>
        <v/>
      </c>
      <c r="P215" s="45"/>
      <c r="Q215" s="123">
        <f>(SUM(E$2:E$21)+SUM(E$25:E$154)+SUM(E$156:E215))/(COUNTA(E$2:E215)-4)</f>
        <v>0.37894668737060028</v>
      </c>
      <c r="R215" s="46">
        <f>(SUM(H$2:H215)*E$1+A215)/SUM(H$2:H215)</f>
        <v>0.35034722222222225</v>
      </c>
      <c r="S215" s="62"/>
    </row>
    <row r="216" spans="1:19" hidden="1" x14ac:dyDescent="0.3">
      <c r="A216" s="53">
        <f t="shared" si="23"/>
        <v>0.65416666666665635</v>
      </c>
      <c r="B216" s="13" t="s">
        <v>4</v>
      </c>
      <c r="C216" s="117">
        <f t="shared" si="25"/>
        <v>43063</v>
      </c>
      <c r="D216" s="117" t="s">
        <v>202</v>
      </c>
      <c r="E216" s="15">
        <v>0.36458333333333331</v>
      </c>
      <c r="F216" s="15">
        <v>0.65625</v>
      </c>
      <c r="G216" s="16">
        <v>0</v>
      </c>
      <c r="H216" s="17">
        <v>1</v>
      </c>
      <c r="I216" s="136">
        <f>IF(J216&lt;0,-J216,"")</f>
        <v>6.8055555555555591E-2</v>
      </c>
      <c r="J216" s="154">
        <f t="shared" si="26"/>
        <v>-6.8055555555555591E-2</v>
      </c>
      <c r="K216" s="36">
        <v>32</v>
      </c>
      <c r="L216" s="36">
        <v>28</v>
      </c>
      <c r="M216" s="18">
        <v>0.14583333333333334</v>
      </c>
      <c r="N216" s="7"/>
      <c r="O216" s="143">
        <f>IF(P216&lt;0,-P216,"")</f>
        <v>6.3888888888888884E-2</v>
      </c>
      <c r="P216" s="137">
        <f>A216-A211</f>
        <v>-6.3888888888888884E-2</v>
      </c>
      <c r="Q216" s="123">
        <f>(SUM(E$2:E$21)+SUM(E$25:E$154)+SUM(E$156:E216))/(COUNTA(E$2:E216)-4)</f>
        <v>0.37885802469135788</v>
      </c>
      <c r="R216" s="46">
        <f>(SUM(H$2:H216)*E$1+A216)/SUM(H$2:H216)</f>
        <v>0.34989648033126292</v>
      </c>
      <c r="S216" s="41">
        <f>IF(COUNTA(M212:M216)=0,0,SUM(M212:M216)/COUNTA(M212:M216))</f>
        <v>0.18750000000000003</v>
      </c>
    </row>
    <row r="217" spans="1:19" hidden="1" x14ac:dyDescent="0.3">
      <c r="A217" s="51">
        <f t="shared" si="23"/>
        <v>0.65902777777776744</v>
      </c>
      <c r="B217" s="2" t="s">
        <v>0</v>
      </c>
      <c r="C217" s="120">
        <f t="shared" si="25"/>
        <v>43066</v>
      </c>
      <c r="D217" s="120" t="s">
        <v>203</v>
      </c>
      <c r="E217" s="4">
        <v>0.38194444444444442</v>
      </c>
      <c r="F217" s="4">
        <v>0.74652777777777779</v>
      </c>
      <c r="G217" s="5">
        <v>1</v>
      </c>
      <c r="H217" s="2">
        <v>1</v>
      </c>
      <c r="I217" s="134" t="str">
        <f t="shared" si="28"/>
        <v/>
      </c>
      <c r="J217" s="152">
        <f t="shared" si="26"/>
        <v>4.8611111111110938E-3</v>
      </c>
      <c r="K217" s="34">
        <v>45</v>
      </c>
      <c r="L217" s="34">
        <v>33</v>
      </c>
      <c r="M217" s="6">
        <v>0.35416666666666669</v>
      </c>
      <c r="N217" s="7"/>
      <c r="O217" s="143" t="str">
        <f t="shared" si="27"/>
        <v/>
      </c>
      <c r="P217" s="45"/>
      <c r="Q217" s="123">
        <f>(SUM(E$2:E$21)+SUM(E$25:E$154)+SUM(E$156:E217))/(COUNTA(E$2:E217)-4)</f>
        <v>0.37887695978186764</v>
      </c>
      <c r="R217" s="46">
        <f>(SUM(H$2:H217)*E$1+A217)/SUM(H$2:H217)</f>
        <v>0.34990140603566527</v>
      </c>
      <c r="S217" s="61"/>
    </row>
    <row r="218" spans="1:19" hidden="1" x14ac:dyDescent="0.3">
      <c r="A218" s="52">
        <f t="shared" si="23"/>
        <v>0.69861111111110086</v>
      </c>
      <c r="B218" s="8" t="s">
        <v>1</v>
      </c>
      <c r="C218" s="121">
        <f t="shared" si="25"/>
        <v>43067</v>
      </c>
      <c r="D218" s="121" t="s">
        <v>204</v>
      </c>
      <c r="E218" s="10">
        <v>0.3576388888888889</v>
      </c>
      <c r="F218" s="10">
        <v>0.75694444444444453</v>
      </c>
      <c r="G218" s="11">
        <v>1</v>
      </c>
      <c r="H218" s="45">
        <v>1</v>
      </c>
      <c r="I218" s="135" t="str">
        <f t="shared" si="28"/>
        <v/>
      </c>
      <c r="J218" s="153">
        <f t="shared" si="26"/>
        <v>3.9583333333333359E-2</v>
      </c>
      <c r="K218" s="35"/>
      <c r="L218" s="35">
        <v>33</v>
      </c>
      <c r="M218" s="12">
        <v>0.125</v>
      </c>
      <c r="N218" s="7"/>
      <c r="O218" s="143" t="str">
        <f t="shared" si="27"/>
        <v/>
      </c>
      <c r="P218" s="45"/>
      <c r="Q218" s="123">
        <f>(SUM(E$2:E$21)+SUM(E$25:E$154)+SUM(E$156:E218))/(COUNTA(E$2:E218)-4)</f>
        <v>0.37874745934959336</v>
      </c>
      <c r="R218" s="46">
        <f>(SUM(H$2:H218)*E$1+A218)/SUM(H$2:H218)</f>
        <v>0.35011929107021128</v>
      </c>
      <c r="S218" s="62"/>
    </row>
    <row r="219" spans="1:19" hidden="1" x14ac:dyDescent="0.3">
      <c r="A219" s="52">
        <f t="shared" si="23"/>
        <v>0.73819444444443416</v>
      </c>
      <c r="B219" s="8" t="s">
        <v>2</v>
      </c>
      <c r="C219" s="121">
        <f t="shared" si="25"/>
        <v>43068</v>
      </c>
      <c r="D219" s="121" t="s">
        <v>205</v>
      </c>
      <c r="E219" s="10">
        <v>0.3576388888888889</v>
      </c>
      <c r="F219" s="10">
        <v>0.75694444444444453</v>
      </c>
      <c r="G219" s="11">
        <v>1</v>
      </c>
      <c r="H219" s="45">
        <v>1</v>
      </c>
      <c r="I219" s="135" t="str">
        <f t="shared" si="28"/>
        <v/>
      </c>
      <c r="J219" s="153">
        <f t="shared" si="26"/>
        <v>3.9583333333333359E-2</v>
      </c>
      <c r="K219" s="35">
        <v>32</v>
      </c>
      <c r="L219" s="35">
        <v>29</v>
      </c>
      <c r="M219" s="12">
        <v>0.20833333333333334</v>
      </c>
      <c r="N219" s="7"/>
      <c r="O219" s="143" t="str">
        <f t="shared" si="27"/>
        <v/>
      </c>
      <c r="P219" s="45"/>
      <c r="Q219" s="123">
        <f>(SUM(E$2:E$21)+SUM(E$25:E$154)+SUM(E$156:E219))/(COUNTA(E$2:E219)-4)</f>
        <v>0.37861952861952847</v>
      </c>
      <c r="R219" s="46">
        <f>(SUM(H$2:H219)*E$1+A219)/SUM(H$2:H219)</f>
        <v>0.35033451897018969</v>
      </c>
      <c r="S219" s="62"/>
    </row>
    <row r="220" spans="1:19" hidden="1" x14ac:dyDescent="0.3">
      <c r="A220" s="52">
        <f t="shared" si="23"/>
        <v>0.72569444444443398</v>
      </c>
      <c r="B220" s="8" t="s">
        <v>3</v>
      </c>
      <c r="C220" s="121">
        <f t="shared" si="25"/>
        <v>43069</v>
      </c>
      <c r="D220" s="121" t="s">
        <v>206</v>
      </c>
      <c r="E220" s="10">
        <v>0.3888888888888889</v>
      </c>
      <c r="F220" s="10">
        <v>0.76388888888888884</v>
      </c>
      <c r="G220" s="11">
        <v>3</v>
      </c>
      <c r="H220" s="45">
        <v>1</v>
      </c>
      <c r="I220" s="135">
        <f t="shared" si="28"/>
        <v>1.2500000000000122E-2</v>
      </c>
      <c r="J220" s="153">
        <f t="shared" si="26"/>
        <v>-1.2500000000000122E-2</v>
      </c>
      <c r="K220" s="35">
        <v>23</v>
      </c>
      <c r="L220" s="35">
        <v>32</v>
      </c>
      <c r="M220" s="12">
        <v>0.33333333333333331</v>
      </c>
      <c r="N220" s="7">
        <f>SUM(H199:H220)</f>
        <v>19</v>
      </c>
      <c r="O220" s="143" t="str">
        <f t="shared" si="27"/>
        <v/>
      </c>
      <c r="P220" s="45"/>
      <c r="Q220" s="123">
        <f>(SUM(E$2:E$21)+SUM(E$25:E$154)+SUM(E$156:E220))/(COUNTA(E$2:E220)-4)</f>
        <v>0.37868139223560893</v>
      </c>
      <c r="R220" s="46">
        <f>(SUM(H$2:H220)*E$1+A220)/SUM(H$2:H220)</f>
        <v>0.35023148148148148</v>
      </c>
      <c r="S220" s="62"/>
    </row>
    <row r="221" spans="1:19" hidden="1" x14ac:dyDescent="0.3">
      <c r="A221" s="53">
        <f t="shared" si="23"/>
        <v>0.65416666666665613</v>
      </c>
      <c r="B221" s="13" t="s">
        <v>4</v>
      </c>
      <c r="C221" s="117">
        <f t="shared" si="25"/>
        <v>43070</v>
      </c>
      <c r="D221" s="117" t="s">
        <v>207</v>
      </c>
      <c r="E221" s="15">
        <v>0.3576388888888889</v>
      </c>
      <c r="F221" s="15">
        <v>0.64583333333333337</v>
      </c>
      <c r="G221" s="16">
        <v>0</v>
      </c>
      <c r="H221" s="17">
        <v>1</v>
      </c>
      <c r="I221" s="136">
        <f>IF(J221&lt;0,-J221,"")</f>
        <v>7.1527777777777801E-2</v>
      </c>
      <c r="J221" s="154">
        <f t="shared" si="26"/>
        <v>-7.1527777777777801E-2</v>
      </c>
      <c r="K221" s="36">
        <v>32</v>
      </c>
      <c r="L221" s="36">
        <v>32</v>
      </c>
      <c r="M221" s="18">
        <v>0.25</v>
      </c>
      <c r="N221" s="7"/>
      <c r="O221" s="143" t="str">
        <f t="shared" si="27"/>
        <v/>
      </c>
      <c r="P221" s="137">
        <f>A221-A216</f>
        <v>0</v>
      </c>
      <c r="Q221" s="123">
        <f>(SUM(E$2:E$21)+SUM(E$25:E$154)+SUM(E$156:E221))/(COUNTA(E$2:E221)-4)</f>
        <v>0.37855538922155674</v>
      </c>
      <c r="R221" s="46">
        <f>(SUM(H$2:H221)*E$1+A221)/SUM(H$2:H221)</f>
        <v>0.34977409638554213</v>
      </c>
      <c r="S221" s="41">
        <f>IF(COUNTA(M217:M221)=0,0,SUM(M217:M221)/COUNTA(M217:M221))</f>
        <v>0.25416666666666665</v>
      </c>
    </row>
    <row r="222" spans="1:19" hidden="1" x14ac:dyDescent="0.3">
      <c r="A222" s="51">
        <f t="shared" si="23"/>
        <v>0.64861111111110059</v>
      </c>
      <c r="B222" s="2" t="s">
        <v>0</v>
      </c>
      <c r="C222" s="120">
        <f t="shared" si="25"/>
        <v>43073</v>
      </c>
      <c r="D222" s="120" t="s">
        <v>208</v>
      </c>
      <c r="E222" s="4">
        <v>0.375</v>
      </c>
      <c r="F222" s="4">
        <v>0.79861111111111116</v>
      </c>
      <c r="G222" s="5">
        <v>6</v>
      </c>
      <c r="H222" s="2">
        <v>1</v>
      </c>
      <c r="I222" s="134">
        <f t="shared" si="28"/>
        <v>5.5555555555555358E-3</v>
      </c>
      <c r="J222" s="152">
        <f t="shared" si="26"/>
        <v>-5.5555555555555358E-3</v>
      </c>
      <c r="K222" s="34">
        <v>37</v>
      </c>
      <c r="L222" s="34">
        <v>24</v>
      </c>
      <c r="M222" s="6">
        <v>0.25</v>
      </c>
      <c r="N222" s="7"/>
      <c r="O222" s="143" t="str">
        <f t="shared" si="27"/>
        <v/>
      </c>
      <c r="P222" s="45"/>
      <c r="Q222" s="123">
        <f>(SUM(E$2:E$21)+SUM(E$25:E$154)+SUM(E$156:E222))/(COUNTA(E$2:E222)-4)</f>
        <v>0.37853422619047605</v>
      </c>
      <c r="R222" s="46">
        <f>(SUM(H$2:H222)*E$1+A222)/SUM(H$2:H222)</f>
        <v>0.34971723220226214</v>
      </c>
      <c r="S222" s="61"/>
    </row>
    <row r="223" spans="1:19" hidden="1" x14ac:dyDescent="0.3">
      <c r="A223" s="52">
        <f t="shared" si="23"/>
        <v>0.66388888888887831</v>
      </c>
      <c r="B223" s="8" t="s">
        <v>1</v>
      </c>
      <c r="C223" s="121">
        <f t="shared" si="25"/>
        <v>43074</v>
      </c>
      <c r="D223" s="121" t="s">
        <v>209</v>
      </c>
      <c r="E223" s="10">
        <v>0.38194444444444442</v>
      </c>
      <c r="F223" s="10">
        <v>0.77083333333333337</v>
      </c>
      <c r="G223" s="11">
        <v>2</v>
      </c>
      <c r="H223" s="45">
        <v>1</v>
      </c>
      <c r="I223" s="135" t="str">
        <f t="shared" si="28"/>
        <v/>
      </c>
      <c r="J223" s="153">
        <f t="shared" si="26"/>
        <v>1.5277777777777779E-2</v>
      </c>
      <c r="K223" s="35">
        <v>24</v>
      </c>
      <c r="L223" s="35">
        <v>23</v>
      </c>
      <c r="M223" s="12">
        <v>0.25</v>
      </c>
      <c r="N223" s="7"/>
      <c r="O223" s="143" t="str">
        <f t="shared" si="27"/>
        <v/>
      </c>
      <c r="P223" s="45"/>
      <c r="Q223" s="123">
        <f>(SUM(E$2:E$21)+SUM(E$25:E$154)+SUM(E$156:E223))/(COUNTA(E$2:E223)-4)</f>
        <v>0.37855440499671256</v>
      </c>
      <c r="R223" s="46">
        <f>(SUM(H$2:H223)*E$1+A223)/SUM(H$2:H223)</f>
        <v>0.34978505291005291</v>
      </c>
      <c r="S223" s="62"/>
    </row>
    <row r="224" spans="1:19" hidden="1" x14ac:dyDescent="0.3">
      <c r="A224" s="52">
        <f t="shared" si="23"/>
        <v>0.6652777777777672</v>
      </c>
      <c r="B224" s="8" t="s">
        <v>2</v>
      </c>
      <c r="C224" s="121">
        <f t="shared" si="25"/>
        <v>43075</v>
      </c>
      <c r="D224" s="121" t="s">
        <v>210</v>
      </c>
      <c r="E224" s="10">
        <v>0.375</v>
      </c>
      <c r="F224" s="10">
        <v>0.79166666666666663</v>
      </c>
      <c r="G224" s="11">
        <v>5</v>
      </c>
      <c r="H224" s="45">
        <v>1</v>
      </c>
      <c r="I224" s="135" t="str">
        <f t="shared" si="28"/>
        <v/>
      </c>
      <c r="J224" s="153">
        <f t="shared" si="26"/>
        <v>1.3888888888888284E-3</v>
      </c>
      <c r="K224" s="35">
        <v>23</v>
      </c>
      <c r="L224" s="35">
        <v>23</v>
      </c>
      <c r="M224" s="12">
        <v>0.20833333333333334</v>
      </c>
      <c r="N224" s="7"/>
      <c r="O224" s="143" t="str">
        <f t="shared" si="27"/>
        <v/>
      </c>
      <c r="P224" s="45"/>
      <c r="Q224" s="123">
        <f>(SUM(E$2:E$21)+SUM(E$25:E$154)+SUM(E$156:E224))/(COUNTA(E$2:E224)-4)</f>
        <v>0.37853349673202608</v>
      </c>
      <c r="R224" s="46">
        <f>(SUM(H$2:H224)*E$1+A224)/SUM(H$2:H224)</f>
        <v>0.34976988823142668</v>
      </c>
      <c r="S224" s="62"/>
    </row>
    <row r="225" spans="1:19" hidden="1" x14ac:dyDescent="0.3">
      <c r="A225" s="52">
        <f t="shared" si="23"/>
        <v>0.63194444444443398</v>
      </c>
      <c r="B225" s="8" t="s">
        <v>3</v>
      </c>
      <c r="C225" s="121">
        <f t="shared" si="25"/>
        <v>43076</v>
      </c>
      <c r="D225" s="121" t="s">
        <v>211</v>
      </c>
      <c r="E225" s="10">
        <v>0.37847222222222199</v>
      </c>
      <c r="F225" s="10">
        <v>0.77430555555555547</v>
      </c>
      <c r="G225" s="11">
        <v>6</v>
      </c>
      <c r="H225" s="45">
        <v>1</v>
      </c>
      <c r="I225" s="135">
        <f t="shared" si="28"/>
        <v>3.3333333333333215E-2</v>
      </c>
      <c r="J225" s="153">
        <f t="shared" si="26"/>
        <v>-3.3333333333333215E-2</v>
      </c>
      <c r="K225" s="35"/>
      <c r="L225" s="35">
        <v>17</v>
      </c>
      <c r="M225" s="12">
        <v>0.3125</v>
      </c>
      <c r="N225" s="7"/>
      <c r="O225" s="143" t="str">
        <f t="shared" si="27"/>
        <v/>
      </c>
      <c r="P225" s="45"/>
      <c r="Q225" s="123">
        <f>(SUM(E$2:E$21)+SUM(E$25:E$154)+SUM(E$156:E225))/(COUNTA(E$2:E225)-4)</f>
        <v>0.37853313840155933</v>
      </c>
      <c r="R225" s="46">
        <f>(SUM(H$2:H225)*E$1+A225)/SUM(H$2:H225)</f>
        <v>0.34955065359477122</v>
      </c>
      <c r="S225" s="62"/>
    </row>
    <row r="226" spans="1:19" hidden="1" x14ac:dyDescent="0.3">
      <c r="A226" s="53">
        <f t="shared" si="23"/>
        <v>0.55694444444443403</v>
      </c>
      <c r="B226" s="13" t="s">
        <v>4</v>
      </c>
      <c r="C226" s="117">
        <f t="shared" si="25"/>
        <v>43077</v>
      </c>
      <c r="D226" s="117" t="s">
        <v>212</v>
      </c>
      <c r="E226" s="15">
        <v>0.36458333333333331</v>
      </c>
      <c r="F226" s="15">
        <v>0.64930555555555558</v>
      </c>
      <c r="G226" s="16">
        <v>0</v>
      </c>
      <c r="H226" s="17">
        <v>1</v>
      </c>
      <c r="I226" s="136">
        <f>IF(J226&lt;0,-J226,"")</f>
        <v>7.5000000000000011E-2</v>
      </c>
      <c r="J226" s="154">
        <f t="shared" si="26"/>
        <v>-7.5000000000000011E-2</v>
      </c>
      <c r="K226" s="36">
        <v>21</v>
      </c>
      <c r="L226" s="36">
        <v>25</v>
      </c>
      <c r="M226" s="18">
        <v>0.14583333333333334</v>
      </c>
      <c r="N226" s="7"/>
      <c r="O226" s="143">
        <f t="shared" si="27"/>
        <v>9.7222222222222099E-2</v>
      </c>
      <c r="P226" s="137">
        <f>A226-A221</f>
        <v>-9.7222222222222099E-2</v>
      </c>
      <c r="Q226" s="123">
        <f>(SUM(E$2:E$21)+SUM(E$25:E$154)+SUM(E$156:E226))/(COUNTA(E$2:E226)-4)</f>
        <v>0.37845203488372076</v>
      </c>
      <c r="R226" s="46">
        <f>(SUM(H$2:H226)*E$1+A226)/SUM(H$2:H226)</f>
        <v>0.34909031838856397</v>
      </c>
      <c r="S226" s="41">
        <f>IF(COUNTA(M222:M226)=0,0,SUM(M222:M226)/COUNTA(M222:M226))</f>
        <v>0.23333333333333334</v>
      </c>
    </row>
    <row r="227" spans="1:19" hidden="1" x14ac:dyDescent="0.3">
      <c r="A227" s="51">
        <f t="shared" si="23"/>
        <v>0.56180555555554501</v>
      </c>
      <c r="B227" s="2" t="s">
        <v>0</v>
      </c>
      <c r="C227" s="120">
        <f t="shared" si="25"/>
        <v>43080</v>
      </c>
      <c r="D227" s="120" t="s">
        <v>213</v>
      </c>
      <c r="E227" s="4">
        <v>0.38194444444444442</v>
      </c>
      <c r="F227" s="4">
        <v>0.77430555555555547</v>
      </c>
      <c r="G227" s="5">
        <v>3</v>
      </c>
      <c r="H227" s="2">
        <v>1</v>
      </c>
      <c r="I227" s="134" t="str">
        <f t="shared" si="28"/>
        <v/>
      </c>
      <c r="J227" s="152">
        <f t="shared" si="26"/>
        <v>4.8611111111109828E-3</v>
      </c>
      <c r="K227" s="34">
        <v>32</v>
      </c>
      <c r="L227" s="34"/>
      <c r="M227" s="6">
        <v>0.27083333333333331</v>
      </c>
      <c r="N227" s="7"/>
      <c r="O227" s="143" t="str">
        <f t="shared" si="27"/>
        <v/>
      </c>
      <c r="P227" s="45"/>
      <c r="Q227" s="123">
        <f>(SUM(E$2:E$21)+SUM(E$25:E$154)+SUM(E$156:E227))/(COUNTA(E$2:E227)-4)</f>
        <v>0.37847222222222204</v>
      </c>
      <c r="R227" s="46">
        <f>(SUM(H$2:H227)*E$1+A227)/SUM(H$2:H227)</f>
        <v>0.34909964470284238</v>
      </c>
      <c r="S227" s="61"/>
    </row>
    <row r="228" spans="1:19" hidden="1" x14ac:dyDescent="0.3">
      <c r="A228" s="52">
        <f t="shared" si="23"/>
        <v>0.60833333333332262</v>
      </c>
      <c r="B228" s="8" t="s">
        <v>1</v>
      </c>
      <c r="C228" s="121">
        <f t="shared" si="25"/>
        <v>43081</v>
      </c>
      <c r="D228" s="121" t="s">
        <v>214</v>
      </c>
      <c r="E228" s="10">
        <v>0.36805555555555558</v>
      </c>
      <c r="F228" s="10">
        <v>0.77430555555555547</v>
      </c>
      <c r="G228" s="11">
        <v>0</v>
      </c>
      <c r="H228" s="45">
        <v>1</v>
      </c>
      <c r="I228" s="135" t="str">
        <f t="shared" si="28"/>
        <v/>
      </c>
      <c r="J228" s="153">
        <f t="shared" si="26"/>
        <v>4.6527777777777612E-2</v>
      </c>
      <c r="K228" s="35">
        <v>27</v>
      </c>
      <c r="L228" s="35"/>
      <c r="M228" s="12">
        <v>0.1875</v>
      </c>
      <c r="N228" s="7"/>
      <c r="O228" s="143" t="str">
        <f t="shared" si="27"/>
        <v/>
      </c>
      <c r="P228" s="45"/>
      <c r="Q228" s="123">
        <f>(SUM(E$2:E$21)+SUM(E$25:E$154)+SUM(E$156:E228))/(COUNTA(E$2:E228)-4)</f>
        <v>0.37841235632183889</v>
      </c>
      <c r="R228" s="46">
        <f>(SUM(H$2:H228)*E$1+A228)/SUM(H$2:H228)</f>
        <v>0.34934971098265893</v>
      </c>
      <c r="S228" s="62"/>
    </row>
    <row r="229" spans="1:19" hidden="1" x14ac:dyDescent="0.3">
      <c r="A229" s="52">
        <f t="shared" si="23"/>
        <v>0.6444444444444335</v>
      </c>
      <c r="B229" s="8" t="s">
        <v>2</v>
      </c>
      <c r="C229" s="121">
        <f t="shared" si="25"/>
        <v>43082</v>
      </c>
      <c r="D229" s="121" t="s">
        <v>215</v>
      </c>
      <c r="E229" s="10">
        <v>0.37847222222222227</v>
      </c>
      <c r="F229" s="10">
        <v>0.77430555555555547</v>
      </c>
      <c r="G229" s="11">
        <v>1</v>
      </c>
      <c r="H229" s="45">
        <v>1</v>
      </c>
      <c r="I229" s="135" t="str">
        <f t="shared" si="28"/>
        <v/>
      </c>
      <c r="J229" s="153">
        <f t="shared" si="26"/>
        <v>3.6111111111110927E-2</v>
      </c>
      <c r="K229" s="35">
        <v>27</v>
      </c>
      <c r="L229" s="35">
        <v>18</v>
      </c>
      <c r="M229" s="12">
        <v>0.3125</v>
      </c>
      <c r="N229" s="7"/>
      <c r="O229" s="143" t="str">
        <f t="shared" si="27"/>
        <v/>
      </c>
      <c r="P229" s="45"/>
      <c r="Q229" s="123">
        <f>(SUM(E$2:E$21)+SUM(E$25:E$154)+SUM(E$156:E229))/(COUNTA(E$2:E229)-4)</f>
        <v>0.37841269841269831</v>
      </c>
      <c r="R229" s="46">
        <f>(SUM(H$2:H229)*E$1+A229)/SUM(H$2:H229)</f>
        <v>0.34953703703703703</v>
      </c>
      <c r="S229" s="62"/>
    </row>
    <row r="230" spans="1:19" hidden="1" x14ac:dyDescent="0.3">
      <c r="A230" s="52">
        <f t="shared" si="23"/>
        <v>0.61111111111110006</v>
      </c>
      <c r="B230" s="8" t="s">
        <v>3</v>
      </c>
      <c r="C230" s="121">
        <f t="shared" si="25"/>
        <v>43083</v>
      </c>
      <c r="D230" s="121" t="s">
        <v>216</v>
      </c>
      <c r="E230" s="10">
        <v>0.38194444444444442</v>
      </c>
      <c r="F230" s="10">
        <v>0.76388888888888884</v>
      </c>
      <c r="G230" s="11">
        <v>5</v>
      </c>
      <c r="H230" s="45">
        <v>1</v>
      </c>
      <c r="I230" s="135">
        <f t="shared" si="28"/>
        <v>3.3333333333333381E-2</v>
      </c>
      <c r="J230" s="153">
        <f t="shared" si="26"/>
        <v>-3.3333333333333381E-2</v>
      </c>
      <c r="K230" s="35"/>
      <c r="L230" s="35">
        <v>25</v>
      </c>
      <c r="M230" s="12">
        <v>0.22916666666666666</v>
      </c>
      <c r="N230" s="7"/>
      <c r="O230" s="143" t="str">
        <f t="shared" si="27"/>
        <v/>
      </c>
      <c r="P230" s="45"/>
      <c r="Q230" s="123">
        <f>(SUM(E$2:E$21)+SUM(E$25:E$154)+SUM(E$156:E230))/(COUNTA(E$2:E230)-4)</f>
        <v>0.37843276515151503</v>
      </c>
      <c r="R230" s="46">
        <f>(SUM(H$2:H230)*E$1+A230)/SUM(H$2:H230)</f>
        <v>0.34932539682539682</v>
      </c>
      <c r="S230" s="62"/>
    </row>
    <row r="231" spans="1:19" hidden="1" x14ac:dyDescent="0.3">
      <c r="A231" s="53">
        <f t="shared" si="23"/>
        <v>0.51874999999998883</v>
      </c>
      <c r="B231" s="13" t="s">
        <v>4</v>
      </c>
      <c r="C231" s="117">
        <f t="shared" si="25"/>
        <v>43084</v>
      </c>
      <c r="D231" s="117" t="s">
        <v>217</v>
      </c>
      <c r="E231" s="15">
        <v>0.375</v>
      </c>
      <c r="F231" s="15">
        <v>0.64236111111111105</v>
      </c>
      <c r="G231" s="16">
        <v>0</v>
      </c>
      <c r="H231" s="17">
        <v>1</v>
      </c>
      <c r="I231" s="136">
        <f>IF(J231&lt;0,-J231,"")</f>
        <v>9.2361111111111227E-2</v>
      </c>
      <c r="J231" s="154">
        <f t="shared" si="26"/>
        <v>-9.2361111111111227E-2</v>
      </c>
      <c r="K231" s="36">
        <v>35</v>
      </c>
      <c r="L231" s="36">
        <v>32</v>
      </c>
      <c r="M231" s="18">
        <v>0.27083333333333331</v>
      </c>
      <c r="N231" s="7"/>
      <c r="O231" s="143">
        <f t="shared" si="27"/>
        <v>3.8194444444445197E-2</v>
      </c>
      <c r="P231" s="137">
        <f>A231-A226</f>
        <v>-3.8194444444445197E-2</v>
      </c>
      <c r="Q231" s="123">
        <f>(SUM(E$2:E$21)+SUM(E$25:E$154)+SUM(E$156:E231))/(COUNTA(E$2:E231)-4)</f>
        <v>0.37841337099811662</v>
      </c>
      <c r="R231" s="46">
        <f>(SUM(H$2:H231)*E$1+A231)/SUM(H$2:H231)</f>
        <v>0.34878077651515149</v>
      </c>
      <c r="S231" s="41">
        <f>IF(COUNTA(M227:M231)=0,0,SUM(M227:M231)/COUNTA(M227:M231))</f>
        <v>0.25416666666666665</v>
      </c>
    </row>
    <row r="232" spans="1:19" hidden="1" x14ac:dyDescent="0.3">
      <c r="A232" s="51">
        <f t="shared" si="23"/>
        <v>0.53402777777776655</v>
      </c>
      <c r="B232" s="2" t="s">
        <v>0</v>
      </c>
      <c r="C232" s="120">
        <f t="shared" si="25"/>
        <v>43087</v>
      </c>
      <c r="D232" s="120" t="s">
        <v>218</v>
      </c>
      <c r="E232" s="4">
        <v>0.3888888888888889</v>
      </c>
      <c r="F232" s="4">
        <v>0.77777777777777779</v>
      </c>
      <c r="G232" s="5">
        <v>2</v>
      </c>
      <c r="H232" s="2">
        <v>1</v>
      </c>
      <c r="I232" s="134" t="str">
        <f t="shared" ref="I232:I250" si="29">IF(J232&lt;0,-J232,"")</f>
        <v/>
      </c>
      <c r="J232" s="152">
        <f t="shared" si="26"/>
        <v>1.5277777777777724E-2</v>
      </c>
      <c r="K232" s="34">
        <v>37</v>
      </c>
      <c r="L232" s="34">
        <v>24</v>
      </c>
      <c r="M232" s="6">
        <v>0.41666666666666669</v>
      </c>
      <c r="N232" s="7"/>
      <c r="O232" s="143" t="str">
        <f t="shared" si="27"/>
        <v/>
      </c>
      <c r="P232" s="45"/>
      <c r="Q232" s="123">
        <f>(SUM(E$2:E$21)+SUM(E$25:E$154)+SUM(E$156:E232))/(COUNTA(E$2:E232)-4)</f>
        <v>0.3784722222222221</v>
      </c>
      <c r="R232" s="46">
        <f>(SUM(H$2:H232)*E$1+A232)/SUM(H$2:H232)</f>
        <v>0.34885043942247329</v>
      </c>
      <c r="S232" s="61"/>
    </row>
    <row r="233" spans="1:19" hidden="1" x14ac:dyDescent="0.3">
      <c r="A233" s="52">
        <f t="shared" si="23"/>
        <v>0.54930555555554439</v>
      </c>
      <c r="B233" s="8" t="s">
        <v>1</v>
      </c>
      <c r="C233" s="121">
        <f t="shared" si="25"/>
        <v>43088</v>
      </c>
      <c r="D233" s="121" t="s">
        <v>219</v>
      </c>
      <c r="E233" s="10">
        <v>0.40277777777777773</v>
      </c>
      <c r="F233" s="10">
        <v>0.77777777777777779</v>
      </c>
      <c r="G233" s="11">
        <v>1</v>
      </c>
      <c r="H233" s="45">
        <v>1</v>
      </c>
      <c r="I233" s="135" t="str">
        <f t="shared" si="29"/>
        <v/>
      </c>
      <c r="J233" s="153">
        <f t="shared" si="26"/>
        <v>1.5277777777777779E-2</v>
      </c>
      <c r="K233" s="35">
        <v>23</v>
      </c>
      <c r="L233" s="35">
        <v>23</v>
      </c>
      <c r="M233" s="12">
        <v>0.125</v>
      </c>
      <c r="N233" s="7"/>
      <c r="O233" s="143" t="str">
        <f t="shared" si="27"/>
        <v/>
      </c>
      <c r="P233" s="45"/>
      <c r="Q233" s="123">
        <f>(SUM(E$2:E$21)+SUM(E$25:E$154)+SUM(E$156:E233))/(COUNTA(E$2:E233)-4)</f>
        <v>0.37860800744878947</v>
      </c>
      <c r="R233" s="46">
        <f>(SUM(H$2:H233)*E$1+A233)/SUM(H$2:H233)</f>
        <v>0.34891931960049938</v>
      </c>
      <c r="S233" s="62"/>
    </row>
    <row r="234" spans="1:19" hidden="1" x14ac:dyDescent="0.3">
      <c r="A234" s="52">
        <f t="shared" si="23"/>
        <v>0.54374999999998874</v>
      </c>
      <c r="B234" s="8" t="s">
        <v>2</v>
      </c>
      <c r="C234" s="121">
        <f t="shared" si="25"/>
        <v>43089</v>
      </c>
      <c r="D234" s="121" t="s">
        <v>220</v>
      </c>
      <c r="E234" s="10">
        <v>0.40625</v>
      </c>
      <c r="F234" s="10">
        <v>0.76041666666666663</v>
      </c>
      <c r="G234" s="11">
        <v>1</v>
      </c>
      <c r="H234" s="45">
        <v>1</v>
      </c>
      <c r="I234" s="135">
        <f t="shared" si="29"/>
        <v>5.5555555555556468E-3</v>
      </c>
      <c r="J234" s="153">
        <f t="shared" si="26"/>
        <v>-5.5555555555556468E-3</v>
      </c>
      <c r="K234" s="35">
        <v>31</v>
      </c>
      <c r="L234" s="35">
        <v>27</v>
      </c>
      <c r="M234" s="12">
        <v>0.25</v>
      </c>
      <c r="N234" s="7"/>
      <c r="O234" s="143" t="str">
        <f t="shared" si="27"/>
        <v/>
      </c>
      <c r="P234" s="45"/>
      <c r="Q234" s="123">
        <f>(SUM(E$2:E$21)+SUM(E$25:E$154)+SUM(E$156:E234))/(COUNTA(E$2:E234)-4)</f>
        <v>0.37876157407407396</v>
      </c>
      <c r="R234" s="46">
        <f>(SUM(H$2:H234)*E$1+A234)/SUM(H$2:H234)</f>
        <v>0.34887104283054005</v>
      </c>
      <c r="S234" s="62"/>
    </row>
    <row r="235" spans="1:19" hidden="1" x14ac:dyDescent="0.3">
      <c r="A235" s="52">
        <f t="shared" si="23"/>
        <v>0.58680555555554426</v>
      </c>
      <c r="B235" s="8" t="s">
        <v>3</v>
      </c>
      <c r="C235" s="121">
        <f t="shared" si="25"/>
        <v>43090</v>
      </c>
      <c r="D235" s="121" t="s">
        <v>221</v>
      </c>
      <c r="E235" s="10">
        <v>0.36458333333333331</v>
      </c>
      <c r="F235" s="10">
        <v>0.76736111111111116</v>
      </c>
      <c r="G235" s="11">
        <v>0</v>
      </c>
      <c r="H235" s="45">
        <v>1</v>
      </c>
      <c r="I235" s="135" t="str">
        <f t="shared" si="29"/>
        <v/>
      </c>
      <c r="J235" s="153">
        <f t="shared" si="26"/>
        <v>4.3055555555555569E-2</v>
      </c>
      <c r="K235" s="35"/>
      <c r="L235" s="35">
        <v>21</v>
      </c>
      <c r="M235" s="12">
        <v>0.25</v>
      </c>
      <c r="N235" s="7"/>
      <c r="O235" s="143" t="str">
        <f t="shared" si="27"/>
        <v/>
      </c>
      <c r="P235" s="45"/>
      <c r="Q235" s="123">
        <f>(SUM(E$2:E$21)+SUM(E$25:E$154)+SUM(E$156:E235))/(COUNTA(E$2:E235)-4)</f>
        <v>0.37868324125230191</v>
      </c>
      <c r="R235" s="46">
        <f>(SUM(H$2:H235)*E$1+A235)/SUM(H$2:H235)</f>
        <v>0.34909336419753084</v>
      </c>
      <c r="S235" s="62"/>
    </row>
    <row r="236" spans="1:19" hidden="1" x14ac:dyDescent="0.3">
      <c r="A236" s="53">
        <f t="shared" si="23"/>
        <v>0.49097222222221087</v>
      </c>
      <c r="B236" s="13" t="s">
        <v>4</v>
      </c>
      <c r="C236" s="117">
        <f t="shared" si="25"/>
        <v>43091</v>
      </c>
      <c r="D236" s="117" t="s">
        <v>222</v>
      </c>
      <c r="E236" s="15">
        <v>0.38541666666666669</v>
      </c>
      <c r="F236" s="15">
        <v>0.64930555555555558</v>
      </c>
      <c r="G236" s="16">
        <v>1</v>
      </c>
      <c r="H236" s="17">
        <v>1</v>
      </c>
      <c r="I236" s="136">
        <f>IF(J236&lt;0,-J236,"")</f>
        <v>9.5833333333333381E-2</v>
      </c>
      <c r="J236" s="154">
        <f t="shared" si="26"/>
        <v>-9.5833333333333381E-2</v>
      </c>
      <c r="K236" s="36">
        <v>27</v>
      </c>
      <c r="L236" s="36"/>
      <c r="M236" s="18">
        <v>0.27083333333333331</v>
      </c>
      <c r="N236" s="7"/>
      <c r="O236" s="143">
        <f t="shared" si="27"/>
        <v>2.7777777777777957E-2</v>
      </c>
      <c r="P236" s="137">
        <f>A236-A231</f>
        <v>-2.7777777777777957E-2</v>
      </c>
      <c r="Q236" s="123">
        <f>(SUM(E$2:E$21)+SUM(E$25:E$154)+SUM(E$156:E236))/(COUNTA(E$2:E236)-4)</f>
        <v>0.37872023809523797</v>
      </c>
      <c r="R236" s="46">
        <f>(SUM(H$2:H236)*E$1+A236)/SUM(H$2:H236)</f>
        <v>0.34854588704726824</v>
      </c>
      <c r="S236" s="41">
        <f>IF(COUNTA(M232:M236)=0,0,SUM(M232:M236)/COUNTA(M232:M236))</f>
        <v>0.26250000000000001</v>
      </c>
    </row>
    <row r="237" spans="1:19" hidden="1" x14ac:dyDescent="0.3">
      <c r="A237" s="51">
        <f t="shared" si="23"/>
        <v>0.49097222222221087</v>
      </c>
      <c r="B237" s="2" t="s">
        <v>0</v>
      </c>
      <c r="C237" s="71">
        <f t="shared" si="25"/>
        <v>43094</v>
      </c>
      <c r="D237" s="71" t="s">
        <v>223</v>
      </c>
      <c r="E237" s="4"/>
      <c r="F237" s="4"/>
      <c r="G237" s="5"/>
      <c r="H237" s="2"/>
      <c r="I237" s="134" t="str">
        <f t="shared" si="29"/>
        <v/>
      </c>
      <c r="J237" s="152">
        <f t="shared" si="26"/>
        <v>0</v>
      </c>
      <c r="K237" s="34">
        <v>40</v>
      </c>
      <c r="L237" s="34"/>
      <c r="M237" s="6"/>
      <c r="N237" s="7"/>
      <c r="O237" s="143" t="str">
        <f t="shared" si="27"/>
        <v/>
      </c>
      <c r="P237" s="45"/>
      <c r="Q237" s="123">
        <f>(SUM(E$2:E$21)+SUM(E$25:E$154)+SUM(E$156:E237))/(COUNTA(E$2:E237)-4)</f>
        <v>0.37872023809523797</v>
      </c>
      <c r="R237" s="46">
        <f>(SUM(H$2:H237)*E$1+A237)/SUM(H$2:H237)</f>
        <v>0.34854588704726824</v>
      </c>
      <c r="S237" s="61"/>
    </row>
    <row r="238" spans="1:19" hidden="1" x14ac:dyDescent="0.3">
      <c r="A238" s="52">
        <f t="shared" si="23"/>
        <v>0.49930555555554412</v>
      </c>
      <c r="B238" s="8" t="s">
        <v>1</v>
      </c>
      <c r="C238" s="121">
        <f t="shared" si="25"/>
        <v>43095</v>
      </c>
      <c r="D238" s="121" t="s">
        <v>224</v>
      </c>
      <c r="E238" s="10">
        <v>0.38194444444444442</v>
      </c>
      <c r="F238" s="10">
        <v>0.76388888888888884</v>
      </c>
      <c r="G238" s="11">
        <v>2</v>
      </c>
      <c r="H238" s="45">
        <v>1</v>
      </c>
      <c r="I238" s="135" t="str">
        <f t="shared" si="29"/>
        <v/>
      </c>
      <c r="J238" s="153">
        <f t="shared" si="26"/>
        <v>8.3333333333332482E-3</v>
      </c>
      <c r="K238" s="35"/>
      <c r="L238" s="35">
        <v>37</v>
      </c>
      <c r="M238" s="12">
        <v>0.27083333333333331</v>
      </c>
      <c r="N238" s="7"/>
      <c r="O238" s="143" t="str">
        <f t="shared" si="27"/>
        <v/>
      </c>
      <c r="P238" s="45"/>
      <c r="Q238" s="123">
        <f>(SUM(E$2:E$21)+SUM(E$25:E$154)+SUM(E$156:E238))/(COUNTA(E$2:E238)-4)</f>
        <v>0.37873785670916799</v>
      </c>
      <c r="R238" s="46">
        <f>(SUM(H$2:H238)*E$1+A238)/SUM(H$2:H238)</f>
        <v>0.34857677045177043</v>
      </c>
      <c r="S238" s="62"/>
    </row>
    <row r="239" spans="1:19" hidden="1" x14ac:dyDescent="0.3">
      <c r="A239" s="52">
        <f t="shared" si="23"/>
        <v>0.4833333333333219</v>
      </c>
      <c r="B239" s="8" t="s">
        <v>2</v>
      </c>
      <c r="C239" s="121">
        <f t="shared" si="25"/>
        <v>43096</v>
      </c>
      <c r="D239" s="121" t="s">
        <v>225</v>
      </c>
      <c r="E239" s="10">
        <v>0.39930555555555558</v>
      </c>
      <c r="F239" s="10">
        <v>0.75694444444444453</v>
      </c>
      <c r="G239" s="11">
        <v>2</v>
      </c>
      <c r="H239" s="45">
        <v>1</v>
      </c>
      <c r="I239" s="135">
        <f t="shared" si="29"/>
        <v>1.5972222222222221E-2</v>
      </c>
      <c r="J239" s="153">
        <f t="shared" si="26"/>
        <v>-1.5972222222222221E-2</v>
      </c>
      <c r="K239" s="35"/>
      <c r="L239" s="35">
        <v>31</v>
      </c>
      <c r="M239" s="12">
        <v>0.20833333333333334</v>
      </c>
      <c r="N239" s="7"/>
      <c r="O239" s="143" t="str">
        <f t="shared" si="27"/>
        <v/>
      </c>
      <c r="P239" s="45"/>
      <c r="Q239" s="123">
        <f>(SUM(E$2:E$21)+SUM(E$25:E$154)+SUM(E$156:E239))/(COUNTA(E$2:E239)-4)</f>
        <v>0.37884963768115931</v>
      </c>
      <c r="R239" s="46">
        <f>(SUM(H$2:H239)*E$1+A239)/SUM(H$2:H239)</f>
        <v>0.34847449908925315</v>
      </c>
      <c r="S239" s="62"/>
    </row>
    <row r="240" spans="1:19" hidden="1" x14ac:dyDescent="0.3">
      <c r="A240" s="52">
        <f t="shared" si="23"/>
        <v>0.49513888888887742</v>
      </c>
      <c r="B240" s="8" t="s">
        <v>3</v>
      </c>
      <c r="C240" s="121">
        <f t="shared" si="25"/>
        <v>43097</v>
      </c>
      <c r="D240" s="121" t="s">
        <v>226</v>
      </c>
      <c r="E240" s="10">
        <v>0.39583333333333331</v>
      </c>
      <c r="F240" s="10">
        <v>0.78125</v>
      </c>
      <c r="G240" s="11">
        <v>2</v>
      </c>
      <c r="H240" s="45">
        <v>1</v>
      </c>
      <c r="I240" s="135" t="str">
        <f t="shared" si="29"/>
        <v/>
      </c>
      <c r="J240" s="153">
        <f t="shared" si="26"/>
        <v>1.1805555555555514E-2</v>
      </c>
      <c r="K240" s="35"/>
      <c r="L240" s="35">
        <v>19</v>
      </c>
      <c r="M240" s="12">
        <v>0.14583333333333334</v>
      </c>
      <c r="N240" s="7"/>
      <c r="O240" s="143" t="str">
        <f t="shared" si="27"/>
        <v/>
      </c>
      <c r="P240" s="45"/>
      <c r="Q240" s="123">
        <f>(SUM(E$2:E$21)+SUM(E$25:E$154)+SUM(E$156:E240))/(COUNTA(E$2:E240)-4)</f>
        <v>0.37894144144144132</v>
      </c>
      <c r="R240" s="46">
        <f>(SUM(H$2:H240)*E$1+A240)/SUM(H$2:H240)</f>
        <v>0.34852430555555552</v>
      </c>
      <c r="S240" s="62"/>
    </row>
    <row r="241" spans="1:19" hidden="1" x14ac:dyDescent="0.3">
      <c r="A241" s="166">
        <f t="shared" si="23"/>
        <v>0.31944444444443298</v>
      </c>
      <c r="B241" s="13" t="s">
        <v>4</v>
      </c>
      <c r="C241" s="117">
        <f t="shared" si="25"/>
        <v>43098</v>
      </c>
      <c r="D241" s="117" t="s">
        <v>227</v>
      </c>
      <c r="E241" s="15">
        <v>0.39583333333333331</v>
      </c>
      <c r="F241" s="15">
        <v>0.64930555555555558</v>
      </c>
      <c r="G241" s="16">
        <v>6</v>
      </c>
      <c r="H241" s="17">
        <v>1</v>
      </c>
      <c r="I241" s="136">
        <f>IF(J241&lt;0,-J241,"")</f>
        <v>0.17569444444444443</v>
      </c>
      <c r="J241" s="154">
        <f t="shared" si="26"/>
        <v>-0.17569444444444443</v>
      </c>
      <c r="K241" s="36">
        <v>30</v>
      </c>
      <c r="L241" s="36"/>
      <c r="M241" s="18">
        <v>0.3125</v>
      </c>
      <c r="N241" s="7">
        <f>SUM(H221:H241)</f>
        <v>20</v>
      </c>
      <c r="O241" s="143">
        <f t="shared" si="27"/>
        <v>0.17152777777777789</v>
      </c>
      <c r="P241" s="137">
        <f>A241-A236</f>
        <v>-0.17152777777777789</v>
      </c>
      <c r="Q241" s="123">
        <f>(SUM(E$2:E$21)+SUM(E$25:E$154)+SUM(E$156:E241))/(COUNTA(E$2:E241)-4)</f>
        <v>0.37903225806451596</v>
      </c>
      <c r="R241" s="46">
        <f>(SUM(H$2:H241)*E$1+A241)/SUM(H$2:H241)</f>
        <v>0.34756006006006007</v>
      </c>
      <c r="S241" s="41">
        <f>IF(COUNTA(M237:M241)=0,0,SUM(M237:M241)/COUNTA(M237:M241))</f>
        <v>0.234375</v>
      </c>
    </row>
    <row r="242" spans="1:19" hidden="1" x14ac:dyDescent="0.3">
      <c r="A242" s="51">
        <f t="shared" si="23"/>
        <v>0.31944444444443298</v>
      </c>
      <c r="B242" s="2" t="s">
        <v>0</v>
      </c>
      <c r="C242" s="71">
        <f t="shared" si="25"/>
        <v>43101</v>
      </c>
      <c r="D242" s="71" t="s">
        <v>228</v>
      </c>
      <c r="E242" s="4"/>
      <c r="F242" s="4"/>
      <c r="G242" s="5"/>
      <c r="H242" s="2"/>
      <c r="I242" s="134" t="str">
        <f t="shared" si="29"/>
        <v/>
      </c>
      <c r="J242" s="152">
        <f t="shared" si="26"/>
        <v>0</v>
      </c>
      <c r="K242" s="34"/>
      <c r="L242" s="34"/>
      <c r="M242" s="6"/>
      <c r="N242" s="7"/>
      <c r="O242" s="143" t="str">
        <f t="shared" si="27"/>
        <v/>
      </c>
      <c r="P242" s="45"/>
      <c r="Q242" s="123">
        <f>(SUM(E$2:E$21)+SUM(E$25:E$154)+SUM(E$156:E242))/(COUNTA(E$2:E242)-4)</f>
        <v>0.37903225806451596</v>
      </c>
      <c r="R242" s="46">
        <f>(SUM(H$2:H242)*E$1+A242)/SUM(H$2:H242)</f>
        <v>0.34756006006006007</v>
      </c>
      <c r="S242" s="61"/>
    </row>
    <row r="243" spans="1:19" hidden="1" x14ac:dyDescent="0.3">
      <c r="A243" s="52">
        <f t="shared" si="23"/>
        <v>0.31944444444443298</v>
      </c>
      <c r="B243" s="8" t="s">
        <v>1</v>
      </c>
      <c r="C243" s="146">
        <f t="shared" si="25"/>
        <v>43102</v>
      </c>
      <c r="D243" s="146" t="s">
        <v>229</v>
      </c>
      <c r="E243" s="10"/>
      <c r="F243" s="10"/>
      <c r="G243" s="11"/>
      <c r="H243" s="45"/>
      <c r="I243" s="135" t="str">
        <f t="shared" si="29"/>
        <v/>
      </c>
      <c r="J243" s="153">
        <f t="shared" si="26"/>
        <v>0</v>
      </c>
      <c r="K243" s="35"/>
      <c r="L243" s="35"/>
      <c r="M243" s="12"/>
      <c r="N243" s="7"/>
      <c r="O243" s="143" t="str">
        <f t="shared" si="27"/>
        <v/>
      </c>
      <c r="P243" s="45"/>
      <c r="Q243" s="123">
        <f>(SUM(E$2:E$21)+SUM(E$25:E$154)+SUM(E$156:E243))/(COUNTA(E$2:E243)-4)</f>
        <v>0.37903225806451596</v>
      </c>
      <c r="R243" s="46">
        <f>(SUM(H$2:H243)*E$1+A243)/SUM(H$2:H243)</f>
        <v>0.34756006006006007</v>
      </c>
      <c r="S243" s="62"/>
    </row>
    <row r="244" spans="1:19" hidden="1" x14ac:dyDescent="0.3">
      <c r="A244" s="52">
        <f t="shared" si="23"/>
        <v>0.31944444444443298</v>
      </c>
      <c r="B244" s="8" t="s">
        <v>2</v>
      </c>
      <c r="C244" s="146">
        <f t="shared" si="25"/>
        <v>43103</v>
      </c>
      <c r="D244" s="146" t="s">
        <v>230</v>
      </c>
      <c r="E244" s="10"/>
      <c r="F244" s="10"/>
      <c r="G244" s="11"/>
      <c r="H244" s="45"/>
      <c r="I244" s="135" t="str">
        <f t="shared" si="29"/>
        <v/>
      </c>
      <c r="J244" s="153">
        <f t="shared" si="26"/>
        <v>0</v>
      </c>
      <c r="K244" s="35"/>
      <c r="L244" s="35"/>
      <c r="M244" s="12"/>
      <c r="N244" s="7"/>
      <c r="O244" s="143" t="str">
        <f t="shared" si="27"/>
        <v/>
      </c>
      <c r="P244" s="45"/>
      <c r="Q244" s="123">
        <f>(SUM(E$2:E$21)+SUM(E$25:E$154)+SUM(E$156:E244))/(COUNTA(E$2:E244)-4)</f>
        <v>0.37903225806451596</v>
      </c>
      <c r="R244" s="46">
        <f>(SUM(H$2:H244)*E$1+A244)/SUM(H$2:H244)</f>
        <v>0.34756006006006007</v>
      </c>
      <c r="S244" s="62"/>
    </row>
    <row r="245" spans="1:19" hidden="1" x14ac:dyDescent="0.3">
      <c r="A245" s="52">
        <f t="shared" si="23"/>
        <v>0.31944444444443298</v>
      </c>
      <c r="B245" s="8" t="s">
        <v>3</v>
      </c>
      <c r="C245" s="146">
        <f t="shared" si="25"/>
        <v>43104</v>
      </c>
      <c r="D245" s="146" t="s">
        <v>231</v>
      </c>
      <c r="E245" s="10"/>
      <c r="F245" s="10"/>
      <c r="G245" s="11"/>
      <c r="H245" s="45"/>
      <c r="I245" s="135" t="str">
        <f t="shared" si="29"/>
        <v/>
      </c>
      <c r="J245" s="153">
        <f t="shared" si="26"/>
        <v>0</v>
      </c>
      <c r="K245" s="35"/>
      <c r="L245" s="35"/>
      <c r="M245" s="12"/>
      <c r="N245" s="7"/>
      <c r="O245" s="143" t="str">
        <f t="shared" si="27"/>
        <v/>
      </c>
      <c r="P245" s="45"/>
      <c r="Q245" s="123">
        <f>(SUM(E$2:E$21)+SUM(E$25:E$154)+SUM(E$156:E245))/(COUNTA(E$2:E245)-4)</f>
        <v>0.37903225806451596</v>
      </c>
      <c r="R245" s="46">
        <f>(SUM(H$2:H245)*E$1+A245)/SUM(H$2:H245)</f>
        <v>0.34756006006006007</v>
      </c>
      <c r="S245" s="62"/>
    </row>
    <row r="246" spans="1:19" hidden="1" x14ac:dyDescent="0.3">
      <c r="A246" s="53">
        <f t="shared" si="23"/>
        <v>0.31944444444443298</v>
      </c>
      <c r="B246" s="13" t="s">
        <v>4</v>
      </c>
      <c r="C246" s="65">
        <f t="shared" si="25"/>
        <v>43105</v>
      </c>
      <c r="D246" s="65" t="s">
        <v>232</v>
      </c>
      <c r="E246" s="15"/>
      <c r="F246" s="15"/>
      <c r="G246" s="16"/>
      <c r="H246" s="17"/>
      <c r="I246" s="136" t="str">
        <f>IF(J246&lt;0,-J246,"")</f>
        <v/>
      </c>
      <c r="J246" s="154">
        <f t="shared" si="26"/>
        <v>0</v>
      </c>
      <c r="K246" s="36"/>
      <c r="L246" s="36"/>
      <c r="M246" s="18"/>
      <c r="N246" s="7"/>
      <c r="O246" s="143" t="str">
        <f t="shared" si="27"/>
        <v/>
      </c>
      <c r="P246" s="137">
        <f>A246-A241</f>
        <v>0</v>
      </c>
      <c r="Q246" s="123">
        <f>(SUM(E$2:E$21)+SUM(E$25:E$154)+SUM(E$156:E246))/(COUNTA(E$2:E246)-4)</f>
        <v>0.37903225806451596</v>
      </c>
      <c r="R246" s="46">
        <f>(SUM(H$2:H246)*E$1+A246)/SUM(H$2:H246)</f>
        <v>0.34756006006006007</v>
      </c>
      <c r="S246" s="41">
        <f>S241</f>
        <v>0.234375</v>
      </c>
    </row>
    <row r="247" spans="1:19" hidden="1" x14ac:dyDescent="0.3">
      <c r="A247" s="51">
        <f t="shared" si="23"/>
        <v>0.35208333333332187</v>
      </c>
      <c r="B247" s="2" t="s">
        <v>0</v>
      </c>
      <c r="C247" s="120">
        <f t="shared" si="25"/>
        <v>43108</v>
      </c>
      <c r="D247" s="120" t="s">
        <v>233</v>
      </c>
      <c r="E247" s="4">
        <v>0.375</v>
      </c>
      <c r="F247" s="4">
        <v>0.76736111111111116</v>
      </c>
      <c r="G247" s="5">
        <v>1</v>
      </c>
      <c r="H247" s="2">
        <v>1</v>
      </c>
      <c r="I247" s="134" t="str">
        <f t="shared" si="29"/>
        <v/>
      </c>
      <c r="J247" s="152">
        <f t="shared" si="26"/>
        <v>3.2638888888888884E-2</v>
      </c>
      <c r="K247" s="34">
        <v>35</v>
      </c>
      <c r="L247" s="34"/>
      <c r="M247" s="6">
        <v>0.25</v>
      </c>
      <c r="N247" s="7"/>
      <c r="O247" s="143" t="str">
        <f t="shared" si="27"/>
        <v/>
      </c>
      <c r="P247" s="45"/>
      <c r="Q247" s="123">
        <f>(SUM(E$2:E$21)+SUM(E$25:E$154)+SUM(E$156:E247))/(COUNTA(E$2:E247)-4)</f>
        <v>0.37901069518716562</v>
      </c>
      <c r="R247" s="46">
        <f>(SUM(H$2:H247)*E$1+A247)/SUM(H$2:H247)</f>
        <v>0.34772625448028671</v>
      </c>
      <c r="S247" s="61"/>
    </row>
    <row r="248" spans="1:19" hidden="1" x14ac:dyDescent="0.3">
      <c r="A248" s="52">
        <f t="shared" si="23"/>
        <v>0.36041666666665506</v>
      </c>
      <c r="B248" s="8" t="s">
        <v>1</v>
      </c>
      <c r="C248" s="121">
        <f t="shared" si="25"/>
        <v>43109</v>
      </c>
      <c r="D248" s="121" t="s">
        <v>234</v>
      </c>
      <c r="E248" s="10">
        <v>0.375</v>
      </c>
      <c r="F248" s="10">
        <v>0.74305555555555547</v>
      </c>
      <c r="G248" s="11">
        <v>0</v>
      </c>
      <c r="H248" s="45">
        <v>1</v>
      </c>
      <c r="I248" s="135" t="str">
        <f t="shared" si="29"/>
        <v/>
      </c>
      <c r="J248" s="153">
        <f t="shared" si="26"/>
        <v>8.3333333333331927E-3</v>
      </c>
      <c r="K248" s="35">
        <v>29</v>
      </c>
      <c r="L248" s="35">
        <v>20</v>
      </c>
      <c r="M248" s="12">
        <v>0.29166666666666669</v>
      </c>
      <c r="N248" s="7"/>
      <c r="O248" s="143" t="str">
        <f t="shared" si="27"/>
        <v/>
      </c>
      <c r="P248" s="45"/>
      <c r="Q248" s="123">
        <f>(SUM(E$2:E$21)+SUM(E$25:E$154)+SUM(E$156:E248))/(COUNTA(E$2:E248)-4)</f>
        <v>0.37898936170212749</v>
      </c>
      <c r="R248" s="46">
        <f>(SUM(H$2:H248)*E$1+A248)/SUM(H$2:H248)</f>
        <v>0.34776069518716579</v>
      </c>
      <c r="S248" s="62"/>
    </row>
    <row r="249" spans="1:19" hidden="1" x14ac:dyDescent="0.3">
      <c r="A249" s="52">
        <f t="shared" si="23"/>
        <v>0.39999999999998831</v>
      </c>
      <c r="B249" s="8" t="s">
        <v>2</v>
      </c>
      <c r="C249" s="121">
        <f t="shared" si="25"/>
        <v>43110</v>
      </c>
      <c r="D249" s="121" t="s">
        <v>235</v>
      </c>
      <c r="E249" s="10">
        <v>0.36458333333333331</v>
      </c>
      <c r="F249" s="10">
        <v>0.76388888888888884</v>
      </c>
      <c r="G249" s="11">
        <v>1</v>
      </c>
      <c r="H249" s="45">
        <v>1</v>
      </c>
      <c r="I249" s="135" t="str">
        <f t="shared" si="29"/>
        <v/>
      </c>
      <c r="J249" s="153">
        <f t="shared" si="26"/>
        <v>3.9583333333333248E-2</v>
      </c>
      <c r="K249" s="35">
        <v>20</v>
      </c>
      <c r="L249" s="35">
        <v>18</v>
      </c>
      <c r="M249" s="12">
        <v>0.11458333333333333</v>
      </c>
      <c r="N249" s="7"/>
      <c r="O249" s="143" t="str">
        <f t="shared" si="27"/>
        <v/>
      </c>
      <c r="P249" s="45"/>
      <c r="Q249" s="123">
        <f>(SUM(E$2:E$21)+SUM(E$25:E$154)+SUM(E$156:E249))/(COUNTA(E$2:E249)-4)</f>
        <v>0.3789131393298058</v>
      </c>
      <c r="R249" s="46">
        <f>(SUM(H$2:H249)*E$1+A249)/SUM(H$2:H249)</f>
        <v>0.34796099290780147</v>
      </c>
      <c r="S249" s="62"/>
    </row>
    <row r="250" spans="1:19" hidden="1" x14ac:dyDescent="0.3">
      <c r="A250" s="52">
        <f t="shared" si="23"/>
        <v>0.38402777777776598</v>
      </c>
      <c r="B250" s="8" t="s">
        <v>3</v>
      </c>
      <c r="C250" s="121">
        <f t="shared" si="25"/>
        <v>43111</v>
      </c>
      <c r="D250" s="121" t="s">
        <v>236</v>
      </c>
      <c r="E250" s="10">
        <v>0.375</v>
      </c>
      <c r="F250" s="10">
        <v>0.76041666666666663</v>
      </c>
      <c r="G250" s="11">
        <v>4</v>
      </c>
      <c r="H250" s="45">
        <v>1</v>
      </c>
      <c r="I250" s="135">
        <f t="shared" si="29"/>
        <v>1.5972222222222332E-2</v>
      </c>
      <c r="J250" s="153">
        <f t="shared" si="26"/>
        <v>-1.5972222222222332E-2</v>
      </c>
      <c r="K250" s="35"/>
      <c r="L250" s="35">
        <v>19</v>
      </c>
      <c r="M250" s="12">
        <v>0.16874999999999998</v>
      </c>
      <c r="N250" s="7"/>
      <c r="O250" s="143" t="str">
        <f t="shared" si="27"/>
        <v/>
      </c>
      <c r="P250" s="45"/>
      <c r="Q250" s="123">
        <f>(SUM(E$2:E$21)+SUM(E$25:E$154)+SUM(E$156:E250))/(COUNTA(E$2:E250)-4)</f>
        <v>0.37889254385964893</v>
      </c>
      <c r="R250" s="46">
        <f>(SUM(H$2:H250)*E$1+A250)/SUM(H$2:H250)</f>
        <v>0.34786522633744854</v>
      </c>
      <c r="S250" s="62"/>
    </row>
    <row r="251" spans="1:19" hidden="1" x14ac:dyDescent="0.3">
      <c r="A251" s="53">
        <f t="shared" si="23"/>
        <v>0.29166666666665481</v>
      </c>
      <c r="B251" s="13" t="s">
        <v>4</v>
      </c>
      <c r="C251" s="117">
        <f t="shared" si="25"/>
        <v>43112</v>
      </c>
      <c r="D251" s="117" t="s">
        <v>237</v>
      </c>
      <c r="E251" s="15">
        <v>0.37847222222222227</v>
      </c>
      <c r="F251" s="15">
        <v>0.64583333333333337</v>
      </c>
      <c r="G251" s="16">
        <v>0</v>
      </c>
      <c r="H251" s="17">
        <v>1</v>
      </c>
      <c r="I251" s="136">
        <f>IF(J251&lt;0,-J251,"")</f>
        <v>9.2361111111111172E-2</v>
      </c>
      <c r="J251" s="154">
        <f t="shared" si="26"/>
        <v>-9.2361111111111172E-2</v>
      </c>
      <c r="K251" s="36">
        <v>19</v>
      </c>
      <c r="L251" s="36">
        <v>25</v>
      </c>
      <c r="M251" s="18">
        <v>0.29166666666666669</v>
      </c>
      <c r="N251" s="7"/>
      <c r="O251" s="143">
        <f t="shared" si="27"/>
        <v>2.7777777777778179E-2</v>
      </c>
      <c r="P251" s="137">
        <f>A251-A246</f>
        <v>-2.7777777777778179E-2</v>
      </c>
      <c r="Q251" s="123">
        <f>(SUM(E$2:E$21)+SUM(E$25:E$154)+SUM(E$156:E251))/(COUNTA(E$2:E251)-4)</f>
        <v>0.37889034322280379</v>
      </c>
      <c r="R251" s="46">
        <f>(SUM(H$2:H251)*E$1+A251)/SUM(H$2:H251)</f>
        <v>0.3473684210526316</v>
      </c>
      <c r="S251" s="41">
        <f>IF(COUNTA(M247:M251)=0,0,SUM(M247:M251)/COUNTA(M247:M251))</f>
        <v>0.22333333333333333</v>
      </c>
    </row>
    <row r="252" spans="1:19" hidden="1" x14ac:dyDescent="0.3">
      <c r="A252" s="51">
        <f t="shared" si="23"/>
        <v>0.28888888888887709</v>
      </c>
      <c r="B252" s="2" t="s">
        <v>0</v>
      </c>
      <c r="C252" s="120">
        <f t="shared" si="25"/>
        <v>43115</v>
      </c>
      <c r="D252" s="120" t="s">
        <v>238</v>
      </c>
      <c r="E252" s="4">
        <v>0.38194444444444442</v>
      </c>
      <c r="F252" s="4">
        <v>0.55208333333333337</v>
      </c>
      <c r="G252" s="5">
        <v>0</v>
      </c>
      <c r="H252" s="2">
        <v>0.5</v>
      </c>
      <c r="I252" s="134">
        <f t="shared" ref="I252:I270" si="30">IF(J252&lt;0,-J252,"")</f>
        <v>2.7777777777777402E-3</v>
      </c>
      <c r="J252" s="152">
        <f t="shared" si="26"/>
        <v>-2.7777777777777402E-3</v>
      </c>
      <c r="K252" s="34">
        <v>35</v>
      </c>
      <c r="L252" s="34">
        <v>16</v>
      </c>
      <c r="M252" s="6">
        <v>0.27083333333333331</v>
      </c>
      <c r="N252" s="7"/>
      <c r="O252" s="143" t="str">
        <f t="shared" si="27"/>
        <v/>
      </c>
      <c r="P252" s="45"/>
      <c r="Q252" s="123">
        <f>(SUM(E$2:E$21)+SUM(E$25:E$154)+SUM(E$156:E252))/(COUNTA(E$2:E252)-4)</f>
        <v>0.37890624999999983</v>
      </c>
      <c r="R252" s="46">
        <f>(SUM(H$2:H252)*E$1+A252)/SUM(H$2:H252)</f>
        <v>0.34734981044036162</v>
      </c>
      <c r="S252" s="61"/>
    </row>
    <row r="253" spans="1:19" hidden="1" x14ac:dyDescent="0.3">
      <c r="A253" s="52">
        <f t="shared" si="23"/>
        <v>0.33541666666665476</v>
      </c>
      <c r="B253" s="8" t="s">
        <v>1</v>
      </c>
      <c r="C253" s="121">
        <f t="shared" si="25"/>
        <v>43116</v>
      </c>
      <c r="D253" s="121" t="s">
        <v>239</v>
      </c>
      <c r="E253" s="10">
        <v>0.37847222222222227</v>
      </c>
      <c r="F253" s="10">
        <v>0.78472222222222221</v>
      </c>
      <c r="G253" s="11">
        <v>0</v>
      </c>
      <c r="H253" s="45">
        <v>1</v>
      </c>
      <c r="I253" s="135" t="str">
        <f t="shared" si="30"/>
        <v/>
      </c>
      <c r="J253" s="153">
        <f t="shared" si="26"/>
        <v>4.6527777777777668E-2</v>
      </c>
      <c r="K253" s="35">
        <v>23</v>
      </c>
      <c r="L253" s="35">
        <v>24</v>
      </c>
      <c r="M253" s="12">
        <v>0.22916666666666666</v>
      </c>
      <c r="N253" s="7"/>
      <c r="O253" s="143" t="str">
        <f t="shared" si="27"/>
        <v/>
      </c>
      <c r="P253" s="45"/>
      <c r="Q253" s="123">
        <f>(SUM(E$2:E$21)+SUM(E$25:E$154)+SUM(E$156:E253))/(COUNTA(E$2:E253)-4)</f>
        <v>0.37890400115141026</v>
      </c>
      <c r="R253" s="46">
        <f>(SUM(H$2:H253)*E$1+A253)/SUM(H$2:H253)</f>
        <v>0.34758485639686681</v>
      </c>
      <c r="S253" s="62"/>
    </row>
    <row r="254" spans="1:19" hidden="1" x14ac:dyDescent="0.3">
      <c r="A254" s="52">
        <f t="shared" si="23"/>
        <v>0.36111111111109928</v>
      </c>
      <c r="B254" s="8" t="s">
        <v>2</v>
      </c>
      <c r="C254" s="121">
        <f t="shared" si="25"/>
        <v>43117</v>
      </c>
      <c r="D254" s="121" t="s">
        <v>240</v>
      </c>
      <c r="E254" s="10">
        <v>0.37152777777777773</v>
      </c>
      <c r="F254" s="10">
        <v>0.75694444444444453</v>
      </c>
      <c r="G254" s="11">
        <v>0</v>
      </c>
      <c r="H254" s="45">
        <v>1</v>
      </c>
      <c r="I254" s="135" t="str">
        <f t="shared" si="30"/>
        <v/>
      </c>
      <c r="J254" s="153">
        <f t="shared" si="26"/>
        <v>2.569444444444452E-2</v>
      </c>
      <c r="K254" s="35">
        <v>30</v>
      </c>
      <c r="L254" s="35">
        <v>30</v>
      </c>
      <c r="M254" s="12">
        <v>0.27083333333333331</v>
      </c>
      <c r="N254" s="7"/>
      <c r="O254" s="143" t="str">
        <f t="shared" si="27"/>
        <v/>
      </c>
      <c r="P254" s="45"/>
      <c r="Q254" s="123">
        <f>(SUM(E$2:E$21)+SUM(E$25:E$154)+SUM(E$156:E254))/(COUNTA(E$2:E254)-4)</f>
        <v>0.37886597938144317</v>
      </c>
      <c r="R254" s="46">
        <f>(SUM(H$2:H254)*E$1+A254)/SUM(H$2:H254)</f>
        <v>0.34770923520923519</v>
      </c>
      <c r="S254" s="62"/>
    </row>
    <row r="255" spans="1:19" hidden="1" x14ac:dyDescent="0.3">
      <c r="A255" s="52">
        <f t="shared" ref="A255:A318" si="31">A254+J255</f>
        <v>0.282638888888877</v>
      </c>
      <c r="B255" s="8" t="s">
        <v>3</v>
      </c>
      <c r="C255" s="121">
        <f t="shared" si="25"/>
        <v>43118</v>
      </c>
      <c r="D255" s="121" t="s">
        <v>241</v>
      </c>
      <c r="E255" s="10">
        <v>0.40625</v>
      </c>
      <c r="F255" s="10">
        <v>0.71527777777777779</v>
      </c>
      <c r="G255" s="11">
        <v>3</v>
      </c>
      <c r="H255" s="45">
        <v>1</v>
      </c>
      <c r="I255" s="135">
        <f t="shared" si="30"/>
        <v>7.8472222222222276E-2</v>
      </c>
      <c r="J255" s="153">
        <f t="shared" si="26"/>
        <v>-7.8472222222222276E-2</v>
      </c>
      <c r="K255" s="35">
        <v>30</v>
      </c>
      <c r="L255" s="35">
        <v>20</v>
      </c>
      <c r="M255" s="12">
        <v>0.25</v>
      </c>
      <c r="N255" s="7"/>
      <c r="O255" s="143" t="str">
        <f t="shared" si="27"/>
        <v/>
      </c>
      <c r="P255" s="45"/>
      <c r="Q255" s="123">
        <f>(SUM(E$2:E$21)+SUM(E$25:E$154)+SUM(E$156:E255))/(COUNTA(E$2:E255)-4)</f>
        <v>0.37900641025641013</v>
      </c>
      <c r="R255" s="46">
        <f>(SUM(H$2:H255)*E$1+A255)/SUM(H$2:H255)</f>
        <v>0.34729399942578237</v>
      </c>
      <c r="S255" s="62"/>
    </row>
    <row r="256" spans="1:19" hidden="1" x14ac:dyDescent="0.3">
      <c r="A256" s="165">
        <f t="shared" si="31"/>
        <v>0.2111111111110992</v>
      </c>
      <c r="B256" s="13" t="s">
        <v>4</v>
      </c>
      <c r="C256" s="117">
        <f t="shared" si="25"/>
        <v>43119</v>
      </c>
      <c r="D256" s="117" t="s">
        <v>242</v>
      </c>
      <c r="E256" s="15">
        <v>0.37152777777777773</v>
      </c>
      <c r="F256" s="15">
        <v>0.65972222222222221</v>
      </c>
      <c r="G256" s="16">
        <v>0</v>
      </c>
      <c r="H256" s="17">
        <v>1</v>
      </c>
      <c r="I256" s="136">
        <f>IF(J256&lt;0,-J256,"")</f>
        <v>7.1527777777777801E-2</v>
      </c>
      <c r="J256" s="154">
        <f t="shared" si="26"/>
        <v>-7.1527777777777801E-2</v>
      </c>
      <c r="K256" s="36"/>
      <c r="L256" s="36">
        <v>20</v>
      </c>
      <c r="M256" s="18">
        <v>0.16666666666666666</v>
      </c>
      <c r="N256" s="7"/>
      <c r="O256" s="143">
        <f t="shared" si="27"/>
        <v>8.0555555555555602E-2</v>
      </c>
      <c r="P256" s="137">
        <f>A256-A251</f>
        <v>-8.0555555555555602E-2</v>
      </c>
      <c r="Q256" s="123">
        <f>(SUM(E$2:E$21)+SUM(E$25:E$154)+SUM(E$156:E256))/(COUNTA(E$2:E256)-4)</f>
        <v>0.37896825396825379</v>
      </c>
      <c r="R256" s="46">
        <f>(SUM(H$2:H256)*E$1+A256)/SUM(H$2:H256)</f>
        <v>0.34691873750357038</v>
      </c>
      <c r="S256" s="41">
        <f>IF(COUNTA(M252:M256)=0,0,SUM(M252:M256)/COUNTA(M252:M256))</f>
        <v>0.23749999999999999</v>
      </c>
    </row>
    <row r="257" spans="1:19" hidden="1" x14ac:dyDescent="0.3">
      <c r="A257" s="51">
        <f t="shared" si="31"/>
        <v>0.17777777777776588</v>
      </c>
      <c r="B257" s="2" t="s">
        <v>0</v>
      </c>
      <c r="C257" s="120">
        <f t="shared" si="25"/>
        <v>43122</v>
      </c>
      <c r="D257" s="120" t="s">
        <v>243</v>
      </c>
      <c r="E257" s="4">
        <v>0.38194444444444442</v>
      </c>
      <c r="F257" s="4">
        <v>0.77777777777777779</v>
      </c>
      <c r="G257" s="5">
        <v>6</v>
      </c>
      <c r="H257" s="2">
        <v>1</v>
      </c>
      <c r="I257" s="134">
        <f t="shared" si="30"/>
        <v>3.3333333333333326E-2</v>
      </c>
      <c r="J257" s="152">
        <f t="shared" si="26"/>
        <v>-3.3333333333333326E-2</v>
      </c>
      <c r="K257" s="34">
        <v>43</v>
      </c>
      <c r="L257" s="34">
        <v>43</v>
      </c>
      <c r="M257" s="6">
        <v>0.29166666666666669</v>
      </c>
      <c r="N257" s="7"/>
      <c r="O257" s="143" t="str">
        <f t="shared" si="27"/>
        <v/>
      </c>
      <c r="P257" s="45"/>
      <c r="Q257" s="123">
        <f>(SUM(E$2:E$21)+SUM(E$25:E$154)+SUM(E$156:E257))/(COUNTA(E$2:E257)-4)</f>
        <v>0.37898336153412276</v>
      </c>
      <c r="R257" s="46">
        <f>(SUM(H$2:H257)*E$1+A257)/SUM(H$2:H257)</f>
        <v>0.34674268258027846</v>
      </c>
      <c r="S257" s="61"/>
    </row>
    <row r="258" spans="1:19" hidden="1" x14ac:dyDescent="0.3">
      <c r="A258" s="52">
        <f t="shared" si="31"/>
        <v>0.21041666666665471</v>
      </c>
      <c r="B258" s="8" t="s">
        <v>1</v>
      </c>
      <c r="C258" s="121">
        <f t="shared" si="25"/>
        <v>43123</v>
      </c>
      <c r="D258" s="121" t="s">
        <v>244</v>
      </c>
      <c r="E258" s="10">
        <v>0.37152777777777773</v>
      </c>
      <c r="F258" s="10">
        <v>0.76388888888888884</v>
      </c>
      <c r="G258" s="11">
        <v>1</v>
      </c>
      <c r="H258" s="45">
        <v>1</v>
      </c>
      <c r="I258" s="135" t="str">
        <f t="shared" si="30"/>
        <v/>
      </c>
      <c r="J258" s="153">
        <f t="shared" si="26"/>
        <v>3.2638888888888828E-2</v>
      </c>
      <c r="K258" s="35"/>
      <c r="L258" s="35">
        <v>27</v>
      </c>
      <c r="M258" s="12">
        <v>0.25</v>
      </c>
      <c r="N258" s="7"/>
      <c r="O258" s="143" t="str">
        <f t="shared" si="27"/>
        <v/>
      </c>
      <c r="P258" s="45"/>
      <c r="Q258" s="123">
        <f>(SUM(E$2:E$21)+SUM(E$25:E$154)+SUM(E$156:E258))/(COUNTA(E$2:E258)-4)</f>
        <v>0.37894570707070691</v>
      </c>
      <c r="R258" s="46">
        <f>(SUM(H$2:H258)*E$1+A258)/SUM(H$2:H258)</f>
        <v>0.34690415606446146</v>
      </c>
      <c r="S258" s="62"/>
    </row>
    <row r="259" spans="1:19" hidden="1" x14ac:dyDescent="0.3">
      <c r="A259" s="52">
        <f t="shared" si="31"/>
        <v>0.22569444444443248</v>
      </c>
      <c r="B259" s="8" t="s">
        <v>2</v>
      </c>
      <c r="C259" s="121">
        <f t="shared" si="25"/>
        <v>43124</v>
      </c>
      <c r="D259" s="121" t="s">
        <v>245</v>
      </c>
      <c r="E259" s="10">
        <v>0.36805555555555558</v>
      </c>
      <c r="F259" s="10">
        <v>0.75694444444444453</v>
      </c>
      <c r="G259" s="11">
        <v>2</v>
      </c>
      <c r="H259" s="45">
        <v>1</v>
      </c>
      <c r="I259" s="135" t="str">
        <f t="shared" si="30"/>
        <v/>
      </c>
      <c r="J259" s="153">
        <f t="shared" si="26"/>
        <v>1.5277777777777779E-2</v>
      </c>
      <c r="K259" s="35">
        <v>33</v>
      </c>
      <c r="L259" s="35"/>
      <c r="M259" s="12">
        <v>0.125</v>
      </c>
      <c r="N259" s="7"/>
      <c r="O259" s="143" t="str">
        <f t="shared" si="27"/>
        <v/>
      </c>
      <c r="P259" s="45"/>
      <c r="Q259" s="123">
        <f>(SUM(E$2:E$21)+SUM(E$25:E$154)+SUM(E$156:E259))/(COUNTA(E$2:E259)-4)</f>
        <v>0.37889098269123372</v>
      </c>
      <c r="R259" s="46">
        <f>(SUM(H$2:H259)*E$1+A259)/SUM(H$2:H259)</f>
        <v>0.34697609001406465</v>
      </c>
      <c r="S259" s="62"/>
    </row>
    <row r="260" spans="1:19" hidden="1" x14ac:dyDescent="0.3">
      <c r="A260" s="52">
        <f t="shared" si="31"/>
        <v>0.20972222222221037</v>
      </c>
      <c r="B260" s="8" t="s">
        <v>3</v>
      </c>
      <c r="C260" s="121">
        <f t="shared" si="25"/>
        <v>43125</v>
      </c>
      <c r="D260" s="121" t="s">
        <v>246</v>
      </c>
      <c r="E260" s="10">
        <v>0.37152777777777773</v>
      </c>
      <c r="F260" s="10">
        <v>0.75694444444444453</v>
      </c>
      <c r="G260" s="11">
        <v>4</v>
      </c>
      <c r="H260" s="45">
        <v>1</v>
      </c>
      <c r="I260" s="135">
        <f t="shared" si="30"/>
        <v>1.597222222222211E-2</v>
      </c>
      <c r="J260" s="153">
        <f t="shared" si="26"/>
        <v>-1.597222222222211E-2</v>
      </c>
      <c r="K260" s="35"/>
      <c r="L260" s="35">
        <v>19</v>
      </c>
      <c r="M260" s="12">
        <v>0.33333333333333331</v>
      </c>
      <c r="N260" s="7"/>
      <c r="O260" s="143" t="str">
        <f t="shared" si="27"/>
        <v/>
      </c>
      <c r="P260" s="45"/>
      <c r="Q260" s="123">
        <f>(SUM(E$2:E$21)+SUM(E$25:E$154)+SUM(E$156:E260))/(COUNTA(E$2:E260)-4)</f>
        <v>0.37885416666666649</v>
      </c>
      <c r="R260" s="46">
        <f>(SUM(H$2:H260)*E$1+A260)/SUM(H$2:H260)</f>
        <v>0.3468898684578785</v>
      </c>
      <c r="S260" s="62"/>
    </row>
    <row r="261" spans="1:19" hidden="1" x14ac:dyDescent="0.3">
      <c r="A261" s="53">
        <f t="shared" si="31"/>
        <v>0.13819444444443252</v>
      </c>
      <c r="B261" s="13" t="s">
        <v>4</v>
      </c>
      <c r="C261" s="117">
        <f t="shared" si="25"/>
        <v>43126</v>
      </c>
      <c r="D261" s="117" t="s">
        <v>247</v>
      </c>
      <c r="E261" s="15">
        <v>0.375</v>
      </c>
      <c r="F261" s="15">
        <v>0.66319444444444442</v>
      </c>
      <c r="G261" s="16">
        <v>1</v>
      </c>
      <c r="H261" s="17">
        <v>1</v>
      </c>
      <c r="I261" s="136">
        <f>IF(J261&lt;0,-J261,"")</f>
        <v>7.1527777777777857E-2</v>
      </c>
      <c r="J261" s="154">
        <f t="shared" si="26"/>
        <v>-7.1527777777777857E-2</v>
      </c>
      <c r="K261" s="36">
        <v>19</v>
      </c>
      <c r="L261" s="36">
        <v>19</v>
      </c>
      <c r="M261" s="18">
        <v>0.27083333333333331</v>
      </c>
      <c r="N261" s="7"/>
      <c r="O261" s="143">
        <f t="shared" si="27"/>
        <v>7.2916666666666685E-2</v>
      </c>
      <c r="P261" s="137">
        <f>A261-A256</f>
        <v>-7.2916666666666685E-2</v>
      </c>
      <c r="Q261" s="123">
        <f>(SUM(E$2:E$21)+SUM(E$25:E$154)+SUM(E$156:E261))/(COUNTA(E$2:E261)-4)</f>
        <v>0.37883499170812585</v>
      </c>
      <c r="R261" s="46">
        <f>(SUM(H$2:H261)*E$1+A261)/SUM(H$2:H261)</f>
        <v>0.34652603731551102</v>
      </c>
      <c r="S261" s="41">
        <f>IF(COUNTA(M257:M261)=0,0,SUM(M257:M261)/COUNTA(M257:M261))</f>
        <v>0.25416666666666665</v>
      </c>
    </row>
    <row r="262" spans="1:19" hidden="1" x14ac:dyDescent="0.3">
      <c r="A262" s="51">
        <f t="shared" si="31"/>
        <v>0.1847222222222103</v>
      </c>
      <c r="B262" s="2" t="s">
        <v>0</v>
      </c>
      <c r="C262" s="120">
        <f t="shared" si="25"/>
        <v>43129</v>
      </c>
      <c r="D262" s="120" t="s">
        <v>248</v>
      </c>
      <c r="E262" s="4">
        <v>0.37152777777777773</v>
      </c>
      <c r="F262" s="4">
        <v>0.77777777777777779</v>
      </c>
      <c r="G262" s="5">
        <v>1</v>
      </c>
      <c r="H262" s="2">
        <v>1</v>
      </c>
      <c r="I262" s="134" t="str">
        <f t="shared" si="30"/>
        <v/>
      </c>
      <c r="J262" s="152">
        <f t="shared" si="26"/>
        <v>4.6527777777777779E-2</v>
      </c>
      <c r="K262" s="34">
        <v>50</v>
      </c>
      <c r="L262" s="34">
        <v>34</v>
      </c>
      <c r="M262" s="6">
        <v>0.20833333333333334</v>
      </c>
      <c r="N262" s="7"/>
      <c r="O262" s="143" t="str">
        <f t="shared" si="27"/>
        <v/>
      </c>
      <c r="P262" s="45"/>
      <c r="Q262" s="123">
        <f>(SUM(E$2:E$21)+SUM(E$25:E$154)+SUM(E$156:E262))/(COUNTA(E$2:E262)-4)</f>
        <v>0.37879881738173804</v>
      </c>
      <c r="R262" s="46">
        <f>(SUM(H$2:H262)*E$1+A262)/SUM(H$2:H262)</f>
        <v>0.34675464117484062</v>
      </c>
      <c r="S262" s="61"/>
    </row>
    <row r="263" spans="1:19" hidden="1" x14ac:dyDescent="0.3">
      <c r="A263" s="52">
        <f t="shared" si="31"/>
        <v>0.16180555555554355</v>
      </c>
      <c r="B263" s="8" t="s">
        <v>1</v>
      </c>
      <c r="C263" s="121">
        <f t="shared" si="25"/>
        <v>43130</v>
      </c>
      <c r="D263" s="121" t="s">
        <v>249</v>
      </c>
      <c r="E263" s="10">
        <v>0.37152777777777773</v>
      </c>
      <c r="F263" s="10">
        <v>0.76388888888888884</v>
      </c>
      <c r="G263" s="11">
        <v>5</v>
      </c>
      <c r="H263" s="45">
        <v>1</v>
      </c>
      <c r="I263" s="135">
        <f t="shared" si="30"/>
        <v>2.2916666666666752E-2</v>
      </c>
      <c r="J263" s="153">
        <f t="shared" si="26"/>
        <v>-2.2916666666666752E-2</v>
      </c>
      <c r="K263" s="35">
        <v>34</v>
      </c>
      <c r="L263" s="35">
        <v>40</v>
      </c>
      <c r="M263" s="12">
        <v>0.125</v>
      </c>
      <c r="N263" s="7"/>
      <c r="O263" s="143" t="str">
        <f t="shared" si="27"/>
        <v/>
      </c>
      <c r="P263" s="45"/>
      <c r="Q263" s="123">
        <f>(SUM(E$2:E$21)+SUM(E$25:E$154)+SUM(E$156:E263))/(COUNTA(E$2:E263)-4)</f>
        <v>0.37876299945265446</v>
      </c>
      <c r="R263" s="46">
        <f>(SUM(H$2:H263)*E$1+A263)/SUM(H$2:H263)</f>
        <v>0.34663633857182247</v>
      </c>
      <c r="S263" s="62"/>
    </row>
    <row r="264" spans="1:19" hidden="1" x14ac:dyDescent="0.3">
      <c r="A264" s="52">
        <f t="shared" si="31"/>
        <v>0.14236111111109911</v>
      </c>
      <c r="B264" s="8" t="s">
        <v>2</v>
      </c>
      <c r="C264" s="121">
        <f t="shared" ref="C264:C327" si="32">C259+7</f>
        <v>43131</v>
      </c>
      <c r="D264" s="121" t="s">
        <v>250</v>
      </c>
      <c r="E264" s="10">
        <v>0.3611111111111111</v>
      </c>
      <c r="F264" s="10">
        <v>0.79861111111111116</v>
      </c>
      <c r="G264" s="11">
        <v>8</v>
      </c>
      <c r="H264" s="45">
        <v>1</v>
      </c>
      <c r="I264" s="135">
        <f t="shared" si="30"/>
        <v>1.9444444444444431E-2</v>
      </c>
      <c r="J264" s="153">
        <f t="shared" ref="J264:J327" si="33">IF(H264=1,F264-E264-MAX(G264,1)*$F$1-$E$1,F264-E264-$E$1*H264)</f>
        <v>-1.9444444444444431E-2</v>
      </c>
      <c r="K264" s="35"/>
      <c r="L264" s="35">
        <v>34</v>
      </c>
      <c r="M264" s="12">
        <v>0.35416666666666669</v>
      </c>
      <c r="N264" s="7">
        <f>SUM(H242:H264)</f>
        <v>17.5</v>
      </c>
      <c r="O264" s="143" t="str">
        <f t="shared" si="27"/>
        <v/>
      </c>
      <c r="P264" s="45"/>
      <c r="Q264" s="123">
        <f>(SUM(E$2:E$21)+SUM(E$25:E$154)+SUM(E$156:E264))/(COUNTA(E$2:E264)-4)</f>
        <v>0.37867647058823517</v>
      </c>
      <c r="R264" s="46">
        <f>(SUM(H$2:H264)*E$1+A264)/SUM(H$2:H264)</f>
        <v>0.3465363511659808</v>
      </c>
      <c r="S264" s="62"/>
    </row>
    <row r="265" spans="1:19" hidden="1" x14ac:dyDescent="0.3">
      <c r="A265" s="52">
        <f t="shared" si="31"/>
        <v>0.10208333333332131</v>
      </c>
      <c r="B265" s="8" t="s">
        <v>3</v>
      </c>
      <c r="C265" s="121">
        <f t="shared" si="32"/>
        <v>43132</v>
      </c>
      <c r="D265" s="121" t="s">
        <v>251</v>
      </c>
      <c r="E265" s="10">
        <v>0.3611111111111111</v>
      </c>
      <c r="F265" s="10">
        <v>0.72222222222222221</v>
      </c>
      <c r="G265" s="11">
        <v>4</v>
      </c>
      <c r="H265" s="45">
        <v>1</v>
      </c>
      <c r="I265" s="135">
        <f t="shared" si="30"/>
        <v>4.0277777777777801E-2</v>
      </c>
      <c r="J265" s="153">
        <f t="shared" si="33"/>
        <v>-4.0277777777777801E-2</v>
      </c>
      <c r="K265" s="35"/>
      <c r="L265" s="35">
        <v>25</v>
      </c>
      <c r="M265" s="12">
        <v>0.10416666666666667</v>
      </c>
      <c r="N265" s="7"/>
      <c r="O265" s="143" t="str">
        <f t="shared" si="27"/>
        <v/>
      </c>
      <c r="P265" s="45"/>
      <c r="Q265" s="123">
        <f>(SUM(E$2:E$21)+SUM(E$25:E$154)+SUM(E$156:E265))/(COUNTA(E$2:E265)-4)</f>
        <v>0.37859078590785894</v>
      </c>
      <c r="R265" s="46">
        <f>(SUM(H$2:H265)*E$1+A265)/SUM(H$2:H265)</f>
        <v>0.34633497133497138</v>
      </c>
      <c r="S265" s="62"/>
    </row>
    <row r="266" spans="1:19" hidden="1" x14ac:dyDescent="0.3">
      <c r="A266" s="165">
        <f t="shared" si="31"/>
        <v>5.1388888888876827E-2</v>
      </c>
      <c r="B266" s="13" t="s">
        <v>4</v>
      </c>
      <c r="C266" s="117">
        <f t="shared" si="32"/>
        <v>43133</v>
      </c>
      <c r="D266" s="117" t="s">
        <v>252</v>
      </c>
      <c r="E266" s="15">
        <v>0.36805555555555558</v>
      </c>
      <c r="F266" s="15">
        <v>0.67708333333333337</v>
      </c>
      <c r="G266" s="16">
        <v>1</v>
      </c>
      <c r="H266" s="17">
        <v>1</v>
      </c>
      <c r="I266" s="136">
        <f>IF(J266&lt;0,-J266,"")</f>
        <v>5.0694444444444486E-2</v>
      </c>
      <c r="J266" s="154">
        <f t="shared" si="33"/>
        <v>-5.0694444444444486E-2</v>
      </c>
      <c r="K266" s="36"/>
      <c r="L266" s="36"/>
      <c r="M266" s="18">
        <v>0.25</v>
      </c>
      <c r="N266" s="7"/>
      <c r="O266" s="143">
        <f t="shared" si="27"/>
        <v>8.6805555555555691E-2</v>
      </c>
      <c r="P266" s="137">
        <f>A266-A261</f>
        <v>-8.6805555555555691E-2</v>
      </c>
      <c r="Q266" s="123">
        <f>(SUM(E$2:E$21)+SUM(E$25:E$154)+SUM(E$156:E266))/(COUNTA(E$2:E266)-4)</f>
        <v>0.37853964401294488</v>
      </c>
      <c r="R266" s="46">
        <f>(SUM(H$2:H266)*E$1+A266)/SUM(H$2:H266)</f>
        <v>0.34608462374354798</v>
      </c>
      <c r="S266" s="41">
        <f>IF(COUNTA(M262:M266)=0,0,SUM(M262:M266)/COUNTA(M262:M266))</f>
        <v>0.20833333333333331</v>
      </c>
    </row>
    <row r="267" spans="1:19" hidden="1" x14ac:dyDescent="0.3">
      <c r="A267" s="51">
        <f t="shared" si="31"/>
        <v>6.6666666666654439E-2</v>
      </c>
      <c r="B267" s="2" t="s">
        <v>0</v>
      </c>
      <c r="C267" s="120">
        <f t="shared" si="32"/>
        <v>43136</v>
      </c>
      <c r="D267" s="120" t="s">
        <v>253</v>
      </c>
      <c r="E267" s="4">
        <v>0.36805555555555558</v>
      </c>
      <c r="F267" s="4">
        <v>0.74305555555555547</v>
      </c>
      <c r="G267" s="5">
        <v>1</v>
      </c>
      <c r="H267" s="2">
        <v>1</v>
      </c>
      <c r="I267" s="134" t="str">
        <f t="shared" si="30"/>
        <v/>
      </c>
      <c r="J267" s="152">
        <f t="shared" si="33"/>
        <v>1.5277777777777612E-2</v>
      </c>
      <c r="K267" s="34"/>
      <c r="L267" s="34">
        <v>34</v>
      </c>
      <c r="M267" s="6">
        <v>0.27083333333333331</v>
      </c>
      <c r="N267" s="7"/>
      <c r="O267" s="143" t="str">
        <f t="shared" si="27"/>
        <v/>
      </c>
      <c r="P267" s="45"/>
      <c r="Q267" s="123">
        <f>(SUM(E$2:E$21)+SUM(E$25:E$154)+SUM(E$156:E267))/(COUNTA(E$2:E267)-4)</f>
        <v>0.37848899624261934</v>
      </c>
      <c r="R267" s="46">
        <f>(SUM(H$2:H267)*E$1+A267)/SUM(H$2:H267)</f>
        <v>0.34615774533657739</v>
      </c>
      <c r="S267" s="61"/>
    </row>
    <row r="268" spans="1:19" hidden="1" x14ac:dyDescent="0.3">
      <c r="A268" s="52">
        <f t="shared" si="31"/>
        <v>9.9305555555543323E-2</v>
      </c>
      <c r="B268" s="8" t="s">
        <v>1</v>
      </c>
      <c r="C268" s="121">
        <f t="shared" si="32"/>
        <v>43137</v>
      </c>
      <c r="D268" s="121" t="s">
        <v>254</v>
      </c>
      <c r="E268" s="10">
        <v>0.375</v>
      </c>
      <c r="F268" s="10">
        <v>0.76736111111111116</v>
      </c>
      <c r="G268" s="11">
        <v>1</v>
      </c>
      <c r="H268" s="45">
        <v>1</v>
      </c>
      <c r="I268" s="135" t="str">
        <f t="shared" si="30"/>
        <v/>
      </c>
      <c r="J268" s="153">
        <f t="shared" si="33"/>
        <v>3.2638888888888884E-2</v>
      </c>
      <c r="K268" s="35">
        <v>44</v>
      </c>
      <c r="L268" s="35"/>
      <c r="M268" s="12">
        <v>0.14583333333333334</v>
      </c>
      <c r="N268" s="7"/>
      <c r="O268" s="143" t="str">
        <f t="shared" si="27"/>
        <v/>
      </c>
      <c r="P268" s="45"/>
      <c r="Q268" s="123">
        <f>(SUM(E$2:E$21)+SUM(E$25:E$154)+SUM(E$156:E268))/(COUNTA(E$2:E268)-4)</f>
        <v>0.3784722222222221</v>
      </c>
      <c r="R268" s="46">
        <f>(SUM(H$2:H268)*E$1+A268)/SUM(H$2:H268)</f>
        <v>0.34631423190745225</v>
      </c>
      <c r="S268" s="62"/>
    </row>
    <row r="269" spans="1:19" hidden="1" x14ac:dyDescent="0.3">
      <c r="A269" s="52">
        <f t="shared" si="31"/>
        <v>0.11805555555554331</v>
      </c>
      <c r="B269" s="8" t="s">
        <v>2</v>
      </c>
      <c r="C269" s="121">
        <f t="shared" si="32"/>
        <v>43138</v>
      </c>
      <c r="D269" s="121" t="s">
        <v>255</v>
      </c>
      <c r="E269" s="10">
        <v>0.3611111111111111</v>
      </c>
      <c r="F269" s="10">
        <v>0.73958333333333337</v>
      </c>
      <c r="G269" s="11">
        <v>1</v>
      </c>
      <c r="H269" s="45">
        <v>1</v>
      </c>
      <c r="I269" s="135" t="str">
        <f t="shared" si="30"/>
        <v/>
      </c>
      <c r="J269" s="153">
        <f t="shared" si="33"/>
        <v>1.8749999999999989E-2</v>
      </c>
      <c r="K269" s="35">
        <v>36</v>
      </c>
      <c r="L269" s="35">
        <v>44</v>
      </c>
      <c r="M269" s="12">
        <v>0.3125</v>
      </c>
      <c r="N269" s="7"/>
      <c r="O269" s="143" t="str">
        <f t="shared" si="27"/>
        <v/>
      </c>
      <c r="P269" s="45"/>
      <c r="Q269" s="123">
        <f>(SUM(E$2:E$21)+SUM(E$25:E$154)+SUM(E$156:E269))/(COUNTA(E$2:E269)-4)</f>
        <v>0.37838915470494411</v>
      </c>
      <c r="R269" s="46">
        <f>(SUM(H$2:H269)*E$1+A269)/SUM(H$2:H269)</f>
        <v>0.34640227576974564</v>
      </c>
      <c r="S269" s="62"/>
    </row>
    <row r="270" spans="1:19" hidden="1" x14ac:dyDescent="0.3">
      <c r="A270" s="52">
        <f t="shared" si="31"/>
        <v>0.14374999999998778</v>
      </c>
      <c r="B270" s="8" t="s">
        <v>3</v>
      </c>
      <c r="C270" s="121">
        <f t="shared" si="32"/>
        <v>43139</v>
      </c>
      <c r="D270" s="121" t="s">
        <v>256</v>
      </c>
      <c r="E270" s="10">
        <v>0.37152777777777773</v>
      </c>
      <c r="F270" s="10">
        <v>0.77083333333333337</v>
      </c>
      <c r="G270" s="11">
        <v>2</v>
      </c>
      <c r="H270" s="45">
        <v>1</v>
      </c>
      <c r="I270" s="135" t="str">
        <f t="shared" si="30"/>
        <v/>
      </c>
      <c r="J270" s="153">
        <f t="shared" si="33"/>
        <v>2.5694444444444464E-2</v>
      </c>
      <c r="K270" s="35"/>
      <c r="L270" s="35">
        <v>30</v>
      </c>
      <c r="M270" s="12">
        <v>0.10416666666666667</v>
      </c>
      <c r="N270" s="7"/>
      <c r="O270" s="143" t="str">
        <f t="shared" si="27"/>
        <v/>
      </c>
      <c r="P270" s="45"/>
      <c r="Q270" s="123">
        <f>(SUM(E$2:E$21)+SUM(E$25:E$154)+SUM(E$156:E270))/(COUNTA(E$2:E270)-4)</f>
        <v>0.37835648148148138</v>
      </c>
      <c r="R270" s="46">
        <f>(SUM(H$2:H270)*E$1+A270)/SUM(H$2:H270)</f>
        <v>0.34652278177458035</v>
      </c>
      <c r="S270" s="62"/>
    </row>
    <row r="271" spans="1:19" hidden="1" x14ac:dyDescent="0.3">
      <c r="A271" s="128">
        <f t="shared" si="31"/>
        <v>0.10694444444443219</v>
      </c>
      <c r="B271" s="13" t="s">
        <v>4</v>
      </c>
      <c r="C271" s="117">
        <f t="shared" si="32"/>
        <v>43140</v>
      </c>
      <c r="D271" s="117" t="s">
        <v>257</v>
      </c>
      <c r="E271" s="15">
        <v>0.36458333333333331</v>
      </c>
      <c r="F271" s="15">
        <v>0.6875</v>
      </c>
      <c r="G271" s="16">
        <v>1</v>
      </c>
      <c r="H271" s="17">
        <v>1</v>
      </c>
      <c r="I271" s="136">
        <f>IF(J271&lt;0,-J271,"")</f>
        <v>3.6805555555555591E-2</v>
      </c>
      <c r="J271" s="154">
        <f t="shared" si="33"/>
        <v>-3.6805555555555591E-2</v>
      </c>
      <c r="K271" s="36">
        <v>37</v>
      </c>
      <c r="L271" s="36"/>
      <c r="M271" s="18">
        <v>0.16666666666666666</v>
      </c>
      <c r="N271" s="7"/>
      <c r="O271" s="143" t="str">
        <f t="shared" ref="O271:O334" si="34">IF(P271&lt;0,-P271,"")</f>
        <v/>
      </c>
      <c r="P271" s="137">
        <f>A271-A266</f>
        <v>5.5555555555555358E-2</v>
      </c>
      <c r="Q271" s="123">
        <f>(SUM(E$2:E$21)+SUM(E$25:E$154)+SUM(E$156:E271))/(COUNTA(E$2:E271)-4)</f>
        <v>0.37829120589784088</v>
      </c>
      <c r="R271" s="46">
        <f>(SUM(H$2:H271)*E$1+A271)/SUM(H$2:H271)</f>
        <v>0.34634380800848585</v>
      </c>
      <c r="S271" s="41">
        <f>IF(COUNTA(M267:M271)=0,0,SUM(M267:M271)/COUNTA(M267:M271))</f>
        <v>0.19999999999999998</v>
      </c>
    </row>
    <row r="272" spans="1:19" hidden="1" x14ac:dyDescent="0.3">
      <c r="A272" s="51">
        <f t="shared" si="31"/>
        <v>0.14652777777776549</v>
      </c>
      <c r="B272" s="2" t="s">
        <v>0</v>
      </c>
      <c r="C272" s="120">
        <f t="shared" si="32"/>
        <v>43143</v>
      </c>
      <c r="D272" s="120" t="s">
        <v>258</v>
      </c>
      <c r="E272" s="4">
        <v>0.36805555555555558</v>
      </c>
      <c r="F272" s="4">
        <v>0.76736111111111116</v>
      </c>
      <c r="G272" s="5">
        <v>1</v>
      </c>
      <c r="H272" s="2">
        <v>1</v>
      </c>
      <c r="I272" s="134" t="str">
        <f t="shared" ref="I272:I290" si="35">IF(J272&lt;0,-J272,"")</f>
        <v/>
      </c>
      <c r="J272" s="152">
        <f t="shared" si="33"/>
        <v>3.9583333333333304E-2</v>
      </c>
      <c r="K272" s="34">
        <v>49</v>
      </c>
      <c r="L272" s="34">
        <v>44</v>
      </c>
      <c r="M272" s="6">
        <v>0.20833333333333334</v>
      </c>
      <c r="N272" s="7"/>
      <c r="O272" s="143" t="str">
        <f t="shared" si="34"/>
        <v/>
      </c>
      <c r="P272" s="45"/>
      <c r="Q272" s="123">
        <f>(SUM(E$2:E$21)+SUM(E$25:E$154)+SUM(E$156:E272))/(COUNTA(E$2:E272)-4)</f>
        <v>0.37824292452830183</v>
      </c>
      <c r="R272" s="46">
        <f>(SUM(H$2:H272)*E$1+A272)/SUM(H$2:H272)</f>
        <v>0.3465294272895223</v>
      </c>
      <c r="S272" s="61"/>
    </row>
    <row r="273" spans="1:19" hidden="1" x14ac:dyDescent="0.3">
      <c r="A273" s="52">
        <f t="shared" si="31"/>
        <v>0.18611111111109879</v>
      </c>
      <c r="B273" s="8" t="s">
        <v>1</v>
      </c>
      <c r="C273" s="121">
        <f t="shared" si="32"/>
        <v>43144</v>
      </c>
      <c r="D273" s="121" t="s">
        <v>259</v>
      </c>
      <c r="E273" s="10">
        <v>0.36458333333333331</v>
      </c>
      <c r="F273" s="10">
        <v>0.77777777777777779</v>
      </c>
      <c r="G273" s="11">
        <v>2</v>
      </c>
      <c r="H273" s="45">
        <v>1</v>
      </c>
      <c r="I273" s="135" t="str">
        <f t="shared" si="35"/>
        <v/>
      </c>
      <c r="J273" s="153">
        <f t="shared" si="33"/>
        <v>3.9583333333333304E-2</v>
      </c>
      <c r="K273" s="35">
        <v>44</v>
      </c>
      <c r="L273" s="35">
        <v>33</v>
      </c>
      <c r="M273" s="12">
        <v>0.27083333333333331</v>
      </c>
      <c r="N273" s="7"/>
      <c r="O273" s="143" t="str">
        <f t="shared" si="34"/>
        <v/>
      </c>
      <c r="P273" s="45"/>
      <c r="Q273" s="123">
        <f>(SUM(E$2:E$21)+SUM(E$25:E$154)+SUM(E$156:E273))/(COUNTA(E$2:E273)-4)</f>
        <v>0.37817879499217516</v>
      </c>
      <c r="R273" s="46">
        <f>(SUM(H$2:H273)*E$1+A273)/SUM(H$2:H273)</f>
        <v>0.34671329130548989</v>
      </c>
      <c r="S273" s="62"/>
    </row>
    <row r="274" spans="1:19" hidden="1" x14ac:dyDescent="0.3">
      <c r="A274" s="52">
        <f t="shared" si="31"/>
        <v>0.23958333333332094</v>
      </c>
      <c r="B274" s="8" t="s">
        <v>2</v>
      </c>
      <c r="C274" s="121">
        <f t="shared" si="32"/>
        <v>43145</v>
      </c>
      <c r="D274" s="121" t="s">
        <v>260</v>
      </c>
      <c r="E274" s="10">
        <v>0.36805555555555558</v>
      </c>
      <c r="F274" s="10">
        <v>0.78125</v>
      </c>
      <c r="G274" s="11">
        <v>1</v>
      </c>
      <c r="H274" s="45">
        <v>1</v>
      </c>
      <c r="I274" s="135" t="str">
        <f t="shared" si="35"/>
        <v/>
      </c>
      <c r="J274" s="153">
        <f t="shared" si="33"/>
        <v>5.3472222222222143E-2</v>
      </c>
      <c r="K274" s="35">
        <v>33</v>
      </c>
      <c r="L274" s="35">
        <v>33</v>
      </c>
      <c r="M274" s="12">
        <v>0.20833333333333334</v>
      </c>
      <c r="N274" s="7"/>
      <c r="O274" s="143" t="str">
        <f t="shared" si="34"/>
        <v/>
      </c>
      <c r="P274" s="45"/>
      <c r="Q274" s="123">
        <f>(SUM(E$2:E$21)+SUM(E$25:E$154)+SUM(E$156:E274))/(COUNTA(E$2:E274)-4)</f>
        <v>0.37813149013499481</v>
      </c>
      <c r="R274" s="46">
        <f>(SUM(H$2:H274)*E$1+A274)/SUM(H$2:H274)</f>
        <v>0.34696078431372546</v>
      </c>
      <c r="S274" s="62"/>
    </row>
    <row r="275" spans="1:19" hidden="1" x14ac:dyDescent="0.3">
      <c r="A275" s="52">
        <f t="shared" si="31"/>
        <v>0.17847222222220976</v>
      </c>
      <c r="B275" s="8" t="s">
        <v>3</v>
      </c>
      <c r="C275" s="121">
        <f t="shared" si="32"/>
        <v>43146</v>
      </c>
      <c r="D275" s="121" t="s">
        <v>261</v>
      </c>
      <c r="E275" s="10">
        <v>0.38541666666666669</v>
      </c>
      <c r="F275" s="10">
        <v>0.73958333333333337</v>
      </c>
      <c r="G275" s="11">
        <v>5</v>
      </c>
      <c r="H275" s="45">
        <v>1</v>
      </c>
      <c r="I275" s="135">
        <f t="shared" si="35"/>
        <v>6.1111111111111172E-2</v>
      </c>
      <c r="J275" s="153">
        <f t="shared" si="33"/>
        <v>-6.1111111111111172E-2</v>
      </c>
      <c r="K275" s="35">
        <v>33</v>
      </c>
      <c r="L275" s="35">
        <v>33</v>
      </c>
      <c r="M275" s="12">
        <v>0.20833333333333334</v>
      </c>
      <c r="N275" s="7"/>
      <c r="O275" s="143" t="str">
        <f t="shared" si="34"/>
        <v/>
      </c>
      <c r="P275" s="45"/>
      <c r="Q275" s="123">
        <f>(SUM(E$2:E$21)+SUM(E$25:E$154)+SUM(E$156:E275))/(COUNTA(E$2:E275)-4)</f>
        <v>0.37816537467700251</v>
      </c>
      <c r="R275" s="46">
        <f>(SUM(H$2:H275)*E$1+A275)/SUM(H$2:H275)</f>
        <v>0.34666926880041632</v>
      </c>
      <c r="S275" s="62"/>
    </row>
    <row r="276" spans="1:19" hidden="1" x14ac:dyDescent="0.3">
      <c r="A276" s="53">
        <f t="shared" si="31"/>
        <v>6.8749999999987599E-2</v>
      </c>
      <c r="B276" s="13" t="s">
        <v>4</v>
      </c>
      <c r="C276" s="117">
        <f t="shared" si="32"/>
        <v>43147</v>
      </c>
      <c r="D276" s="117" t="s">
        <v>115</v>
      </c>
      <c r="E276" s="15">
        <v>0.44444444444444442</v>
      </c>
      <c r="F276" s="15">
        <v>0.69444444444444453</v>
      </c>
      <c r="G276" s="16">
        <v>0</v>
      </c>
      <c r="H276" s="17">
        <v>1</v>
      </c>
      <c r="I276" s="136">
        <f>IF(J276&lt;0,-J276,"")</f>
        <v>0.10972222222222217</v>
      </c>
      <c r="J276" s="154">
        <f t="shared" si="33"/>
        <v>-0.10972222222222217</v>
      </c>
      <c r="K276" s="36">
        <v>44</v>
      </c>
      <c r="L276" s="36"/>
      <c r="M276" s="18">
        <v>0.22916666666666666</v>
      </c>
      <c r="N276" s="7"/>
      <c r="O276" s="143" t="str">
        <f>IF(P276&lt;0,-P276,"")</f>
        <v/>
      </c>
      <c r="P276" s="45"/>
      <c r="Q276" s="123">
        <f>(SUM(E$2:E$21)+SUM(E$25:E$154)+SUM(E$156:E276))/(COUNTA(E$2:E276)-4)</f>
        <v>0.37847222222222215</v>
      </c>
      <c r="R276" s="46">
        <f>(SUM(H$2:H276)*E$1+A276)/SUM(H$2:H276)</f>
        <v>0.34615384615384615</v>
      </c>
      <c r="S276" s="41">
        <f>IF(COUNTA(M272:M276)=0,0,SUM(M272:M276)/COUNTA(M272:M276))</f>
        <v>0.22500000000000001</v>
      </c>
    </row>
    <row r="277" spans="1:19" hidden="1" x14ac:dyDescent="0.3">
      <c r="A277" s="51">
        <f t="shared" si="31"/>
        <v>9.4444444444432007E-2</v>
      </c>
      <c r="B277" s="2" t="s">
        <v>0</v>
      </c>
      <c r="C277" s="120">
        <f t="shared" si="32"/>
        <v>43150</v>
      </c>
      <c r="D277" s="120" t="s">
        <v>118</v>
      </c>
      <c r="E277" s="4">
        <v>0.3923611111111111</v>
      </c>
      <c r="F277" s="4">
        <v>0.77777777777777779</v>
      </c>
      <c r="G277" s="5">
        <v>1</v>
      </c>
      <c r="H277" s="2">
        <v>1</v>
      </c>
      <c r="I277" s="134" t="str">
        <f t="shared" si="35"/>
        <v/>
      </c>
      <c r="J277" s="152">
        <f t="shared" si="33"/>
        <v>2.5694444444444409E-2</v>
      </c>
      <c r="K277" s="34">
        <v>47</v>
      </c>
      <c r="L277" s="34">
        <v>46</v>
      </c>
      <c r="M277" s="6">
        <v>0.27083333333333331</v>
      </c>
      <c r="N277" s="7"/>
      <c r="O277" s="143" t="str">
        <f t="shared" si="34"/>
        <v/>
      </c>
      <c r="P277" s="45"/>
      <c r="Q277" s="123">
        <f>(SUM(E$2:E$21)+SUM(E$25:E$154)+SUM(E$156:E277))/(COUNTA(E$2:E277)-4)</f>
        <v>0.37853622631848433</v>
      </c>
      <c r="R277" s="46">
        <f>(SUM(H$2:H277)*E$1+A277)/SUM(H$2:H277)</f>
        <v>0.34627159061613816</v>
      </c>
      <c r="S277" s="61"/>
    </row>
    <row r="278" spans="1:19" hidden="1" x14ac:dyDescent="0.3">
      <c r="A278" s="52">
        <f t="shared" si="31"/>
        <v>2.6388888888876416E-2</v>
      </c>
      <c r="B278" s="8" t="s">
        <v>1</v>
      </c>
      <c r="C278" s="121">
        <f t="shared" si="32"/>
        <v>43151</v>
      </c>
      <c r="D278" s="121" t="s">
        <v>119</v>
      </c>
      <c r="E278" s="10">
        <v>0.38541666666666669</v>
      </c>
      <c r="F278" s="10">
        <v>0.67708333333333337</v>
      </c>
      <c r="G278" s="11">
        <v>1</v>
      </c>
      <c r="H278" s="45">
        <v>1</v>
      </c>
      <c r="I278" s="135">
        <f t="shared" si="35"/>
        <v>6.8055555555555591E-2</v>
      </c>
      <c r="J278" s="153">
        <f t="shared" si="33"/>
        <v>-6.8055555555555591E-2</v>
      </c>
      <c r="K278" s="35">
        <v>40</v>
      </c>
      <c r="L278" s="35">
        <v>40</v>
      </c>
      <c r="M278" s="12">
        <v>0.1875</v>
      </c>
      <c r="N278" s="7"/>
      <c r="O278" s="143" t="str">
        <f t="shared" si="34"/>
        <v/>
      </c>
      <c r="P278" s="45"/>
      <c r="Q278" s="123">
        <f>(SUM(E$2:E$21)+SUM(E$25:E$154)+SUM(E$156:E278))/(COUNTA(E$2:E278)-4)</f>
        <v>0.37856778797145768</v>
      </c>
      <c r="R278" s="46">
        <f>(SUM(H$2:H278)*E$1+A278)/SUM(H$2:H278)</f>
        <v>0.34595522196561457</v>
      </c>
      <c r="S278" s="62"/>
    </row>
    <row r="279" spans="1:19" hidden="1" x14ac:dyDescent="0.3">
      <c r="A279" s="52">
        <f t="shared" si="31"/>
        <v>5.208333333332088E-2</v>
      </c>
      <c r="B279" s="8" t="s">
        <v>2</v>
      </c>
      <c r="C279" s="121">
        <f t="shared" si="32"/>
        <v>43152</v>
      </c>
      <c r="D279" s="121" t="s">
        <v>262</v>
      </c>
      <c r="E279" s="10">
        <v>0.38194444444444442</v>
      </c>
      <c r="F279" s="10">
        <v>0.76736111111111116</v>
      </c>
      <c r="G279" s="11">
        <v>1</v>
      </c>
      <c r="H279" s="45">
        <v>1</v>
      </c>
      <c r="I279" s="135" t="str">
        <f t="shared" si="35"/>
        <v/>
      </c>
      <c r="J279" s="153">
        <f t="shared" si="33"/>
        <v>2.5694444444444464E-2</v>
      </c>
      <c r="K279" s="35">
        <v>34</v>
      </c>
      <c r="L279" s="35">
        <v>34</v>
      </c>
      <c r="M279" s="12">
        <v>0.35416666666666669</v>
      </c>
      <c r="N279" s="7"/>
      <c r="O279" s="143" t="str">
        <f t="shared" si="34"/>
        <v/>
      </c>
      <c r="P279" s="45"/>
      <c r="Q279" s="123">
        <f>(SUM(E$2:E$21)+SUM(E$25:E$154)+SUM(E$156:E279))/(COUNTA(E$2:E279)-4)</f>
        <v>0.37858320649416527</v>
      </c>
      <c r="R279" s="46">
        <f>(SUM(H$2:H279)*E$1+A279)/SUM(H$2:H279)</f>
        <v>0.34607279693486587</v>
      </c>
      <c r="S279" s="62"/>
    </row>
    <row r="280" spans="1:19" hidden="1" x14ac:dyDescent="0.3">
      <c r="A280" s="52">
        <f t="shared" si="31"/>
        <v>1.8749999999987499E-2</v>
      </c>
      <c r="B280" s="8" t="s">
        <v>3</v>
      </c>
      <c r="C280" s="121">
        <f t="shared" si="32"/>
        <v>43153</v>
      </c>
      <c r="D280" s="121" t="s">
        <v>263</v>
      </c>
      <c r="E280" s="10">
        <v>0.37847222222222227</v>
      </c>
      <c r="F280" s="10">
        <v>0.74652777777777779</v>
      </c>
      <c r="G280" s="11">
        <v>4</v>
      </c>
      <c r="H280" s="45">
        <v>1</v>
      </c>
      <c r="I280" s="135">
        <f t="shared" si="35"/>
        <v>3.3333333333333381E-2</v>
      </c>
      <c r="J280" s="153">
        <f t="shared" si="33"/>
        <v>-3.3333333333333381E-2</v>
      </c>
      <c r="K280" s="35">
        <v>34</v>
      </c>
      <c r="L280" s="35">
        <v>27</v>
      </c>
      <c r="M280" s="12">
        <v>0.1875</v>
      </c>
      <c r="N280" s="7"/>
      <c r="O280" s="143" t="str">
        <f t="shared" si="34"/>
        <v/>
      </c>
      <c r="P280" s="45"/>
      <c r="Q280" s="123">
        <f>(SUM(E$2:E$21)+SUM(E$25:E$154)+SUM(E$156:E280))/(COUNTA(E$2:E280)-4)</f>
        <v>0.37858270202020194</v>
      </c>
      <c r="R280" s="46">
        <f>(SUM(H$2:H280)*E$1+A280)/SUM(H$2:H280)</f>
        <v>0.34591914569031273</v>
      </c>
      <c r="S280" s="62"/>
    </row>
    <row r="281" spans="1:19" hidden="1" x14ac:dyDescent="0.3">
      <c r="A281" s="53">
        <f>A280+J281</f>
        <v>-3.1944444444457043E-2</v>
      </c>
      <c r="B281" s="13" t="s">
        <v>4</v>
      </c>
      <c r="C281" s="117">
        <f t="shared" si="32"/>
        <v>43154</v>
      </c>
      <c r="D281" s="117" t="s">
        <v>120</v>
      </c>
      <c r="E281" s="15">
        <v>0.3923611111111111</v>
      </c>
      <c r="F281" s="15">
        <v>0.70138888888888884</v>
      </c>
      <c r="G281" s="16">
        <v>1</v>
      </c>
      <c r="H281" s="17">
        <v>1</v>
      </c>
      <c r="I281" s="136">
        <f>IF(J281&lt;0,-J281,"")</f>
        <v>5.0694444444444542E-2</v>
      </c>
      <c r="J281" s="154">
        <f t="shared" si="33"/>
        <v>-5.0694444444444542E-2</v>
      </c>
      <c r="K281" s="36">
        <v>36</v>
      </c>
      <c r="L281" s="36">
        <v>30</v>
      </c>
      <c r="M281" s="18">
        <v>0.20833333333333334</v>
      </c>
      <c r="N281" s="7"/>
      <c r="O281" s="143">
        <f t="shared" si="34"/>
        <v>0.10069444444444464</v>
      </c>
      <c r="P281" s="137">
        <f>A281-A276</f>
        <v>-0.10069444444444464</v>
      </c>
      <c r="Q281" s="123">
        <f>(SUM(E$2:E$21)+SUM(E$25:E$154)+SUM(E$156:E281))/(COUNTA(E$2:E281)-4)</f>
        <v>0.37864504776269475</v>
      </c>
      <c r="R281" s="46">
        <f>(SUM(H$2:H281)*E$1+A281)/SUM(H$2:H281)</f>
        <v>0.34568780055682102</v>
      </c>
      <c r="S281" s="41">
        <f>IF(COUNTA(M277:M281)=0,0,SUM(M277:M281)/COUNTA(M277:M281))</f>
        <v>0.24166666666666664</v>
      </c>
    </row>
    <row r="282" spans="1:19" hidden="1" x14ac:dyDescent="0.3">
      <c r="A282" s="51">
        <f t="shared" si="31"/>
        <v>-5.5555555555568098E-2</v>
      </c>
      <c r="B282" s="2" t="s">
        <v>0</v>
      </c>
      <c r="C282" s="120">
        <f t="shared" si="32"/>
        <v>43157</v>
      </c>
      <c r="D282" s="120" t="s">
        <v>123</v>
      </c>
      <c r="E282" s="4">
        <v>0.36458333333333331</v>
      </c>
      <c r="F282" s="4">
        <v>0.51388888888888895</v>
      </c>
      <c r="G282" s="5">
        <v>0</v>
      </c>
      <c r="H282" s="2">
        <v>0.5</v>
      </c>
      <c r="I282" s="134">
        <f t="shared" si="35"/>
        <v>2.3611111111111055E-2</v>
      </c>
      <c r="J282" s="152">
        <f t="shared" si="33"/>
        <v>-2.3611111111111055E-2</v>
      </c>
      <c r="K282" s="34">
        <v>44</v>
      </c>
      <c r="L282" s="34">
        <v>37</v>
      </c>
      <c r="M282" s="6">
        <v>0.22916666666666666</v>
      </c>
      <c r="N282" s="7"/>
      <c r="O282" s="143" t="str">
        <f t="shared" si="34"/>
        <v/>
      </c>
      <c r="P282" s="45"/>
      <c r="Q282" s="123">
        <f>(SUM(E$2:E$21)+SUM(E$25:E$154)+SUM(E$156:E282))/(COUNTA(E$2:E282)-4)</f>
        <v>0.37858170670670671</v>
      </c>
      <c r="R282" s="46">
        <f>(SUM(H$2:H282)*E$1+A282)/SUM(H$2:H282)</f>
        <v>0.34558080808080804</v>
      </c>
      <c r="S282" s="61"/>
    </row>
    <row r="283" spans="1:19" hidden="1" x14ac:dyDescent="0.3">
      <c r="A283" s="52">
        <f t="shared" si="31"/>
        <v>-3.3333333333345844E-2</v>
      </c>
      <c r="B283" s="8" t="s">
        <v>1</v>
      </c>
      <c r="C283" s="121">
        <f t="shared" si="32"/>
        <v>43158</v>
      </c>
      <c r="D283" s="121" t="s">
        <v>124</v>
      </c>
      <c r="E283" s="10">
        <v>0.37152777777777773</v>
      </c>
      <c r="F283" s="10">
        <v>0.76736111111111116</v>
      </c>
      <c r="G283" s="11">
        <v>2</v>
      </c>
      <c r="H283" s="45">
        <v>1</v>
      </c>
      <c r="I283" s="135" t="str">
        <f t="shared" si="35"/>
        <v/>
      </c>
      <c r="J283" s="153">
        <f t="shared" si="33"/>
        <v>2.2222222222222254E-2</v>
      </c>
      <c r="K283" s="35">
        <v>50</v>
      </c>
      <c r="L283" s="35">
        <v>40</v>
      </c>
      <c r="M283" s="12">
        <v>0.29166666666666669</v>
      </c>
      <c r="N283" s="7"/>
      <c r="O283" s="143" t="str">
        <f t="shared" si="34"/>
        <v/>
      </c>
      <c r="P283" s="45"/>
      <c r="Q283" s="123">
        <f>(SUM(E$2:E$21)+SUM(E$25:E$154)+SUM(E$156:E283))/(COUNTA(E$2:E283)-4)</f>
        <v>0.37855007473841551</v>
      </c>
      <c r="R283" s="46">
        <f>(SUM(H$2:H283)*E$1+A283)/SUM(H$2:H283)</f>
        <v>0.34568250377073906</v>
      </c>
      <c r="S283" s="62"/>
    </row>
    <row r="284" spans="1:19" hidden="1" x14ac:dyDescent="0.3">
      <c r="A284" s="52">
        <f t="shared" si="31"/>
        <v>-2.1527777777790386E-2</v>
      </c>
      <c r="B284" s="8" t="s">
        <v>2</v>
      </c>
      <c r="C284" s="121">
        <f t="shared" si="32"/>
        <v>43159</v>
      </c>
      <c r="D284" s="121" t="s">
        <v>264</v>
      </c>
      <c r="E284" s="10">
        <v>0.37152777777777773</v>
      </c>
      <c r="F284" s="10">
        <v>0.74305555555555547</v>
      </c>
      <c r="G284" s="11">
        <v>1</v>
      </c>
      <c r="H284" s="45">
        <v>1</v>
      </c>
      <c r="I284" s="135" t="str">
        <f t="shared" si="35"/>
        <v/>
      </c>
      <c r="J284" s="153">
        <f t="shared" si="33"/>
        <v>1.1805555555555458E-2</v>
      </c>
      <c r="K284" s="35"/>
      <c r="L284" s="35">
        <v>27</v>
      </c>
      <c r="M284" s="12">
        <v>0.29166666666666669</v>
      </c>
      <c r="N284" s="7">
        <f>SUM(H265:H284)</f>
        <v>19.5</v>
      </c>
      <c r="O284" s="143" t="str">
        <f t="shared" si="34"/>
        <v/>
      </c>
      <c r="P284" s="45"/>
      <c r="Q284" s="123">
        <f>(SUM(E$2:E$21)+SUM(E$25:E$154)+SUM(E$156:E284))/(COUNTA(E$2:E284)-4)</f>
        <v>0.37851872519841262</v>
      </c>
      <c r="R284" s="46">
        <f>(SUM(H$2:H284)*E$1+A284)/SUM(H$2:H284)</f>
        <v>0.34573636136136132</v>
      </c>
      <c r="S284" s="62"/>
    </row>
    <row r="285" spans="1:19" hidden="1" x14ac:dyDescent="0.3">
      <c r="A285" s="52">
        <f t="shared" si="31"/>
        <v>-2.1527777777790386E-2</v>
      </c>
      <c r="B285" s="8" t="s">
        <v>3</v>
      </c>
      <c r="C285" s="85">
        <f t="shared" si="32"/>
        <v>43160</v>
      </c>
      <c r="D285" s="85" t="s">
        <v>265</v>
      </c>
      <c r="E285" s="10"/>
      <c r="F285" s="10"/>
      <c r="G285" s="11"/>
      <c r="H285" s="45"/>
      <c r="I285" s="135" t="str">
        <f t="shared" si="35"/>
        <v/>
      </c>
      <c r="J285" s="153">
        <f t="shared" si="33"/>
        <v>0</v>
      </c>
      <c r="K285" s="35"/>
      <c r="L285" s="35"/>
      <c r="M285" s="12">
        <v>0.29166666666666669</v>
      </c>
      <c r="N285" s="7"/>
      <c r="O285" s="143" t="str">
        <f t="shared" si="34"/>
        <v/>
      </c>
      <c r="P285" s="45"/>
      <c r="Q285" s="123">
        <f>(SUM(E$2:E$21)+SUM(E$25:E$154)+SUM(E$156:E285))/(COUNTA(E$2:E285)-4)</f>
        <v>0.37851872519841262</v>
      </c>
      <c r="R285" s="46">
        <f>(SUM(H$2:H285)*E$1+A285)/SUM(H$2:H285)</f>
        <v>0.34573636136136132</v>
      </c>
      <c r="S285" s="62"/>
    </row>
    <row r="286" spans="1:19" hidden="1" x14ac:dyDescent="0.3">
      <c r="A286" s="53">
        <f t="shared" si="31"/>
        <v>-2.0138888888901557E-2</v>
      </c>
      <c r="B286" s="13" t="s">
        <v>4</v>
      </c>
      <c r="C286" s="117">
        <f t="shared" si="32"/>
        <v>43161</v>
      </c>
      <c r="D286" s="117" t="s">
        <v>125</v>
      </c>
      <c r="E286" s="15">
        <v>0.35416666666666669</v>
      </c>
      <c r="F286" s="15">
        <v>0.71527777777777779</v>
      </c>
      <c r="G286" s="16">
        <v>0</v>
      </c>
      <c r="H286" s="17">
        <v>1</v>
      </c>
      <c r="I286" s="136" t="str">
        <f>IF(J286&lt;0,-J286,"")</f>
        <v/>
      </c>
      <c r="J286" s="154">
        <f t="shared" si="33"/>
        <v>1.3888888888888284E-3</v>
      </c>
      <c r="K286" s="36"/>
      <c r="L286" s="36">
        <v>41</v>
      </c>
      <c r="M286" s="18">
        <v>0.29166666666666669</v>
      </c>
      <c r="N286" s="7"/>
      <c r="O286" s="143" t="str">
        <f t="shared" si="34"/>
        <v/>
      </c>
      <c r="P286" s="137">
        <f>A286-A281</f>
        <v>1.1805555555555486E-2</v>
      </c>
      <c r="Q286" s="123">
        <f>(SUM(E$2:E$21)+SUM(E$25:E$154)+SUM(E$156:E286))/(COUNTA(E$2:E286)-4)</f>
        <v>0.37841049382716047</v>
      </c>
      <c r="R286" s="46">
        <f>(SUM(H$2:H286)*E$1+A286)/SUM(H$2:H286)</f>
        <v>0.34574302441454902</v>
      </c>
      <c r="S286" s="41">
        <f>IF(COUNTA(M282:M286)=0,0,SUM(M282:M286)/COUNTA(M282:M286))</f>
        <v>0.27916666666666667</v>
      </c>
    </row>
    <row r="287" spans="1:19" hidden="1" x14ac:dyDescent="0.3">
      <c r="A287" s="51">
        <f t="shared" si="31"/>
        <v>-1.1805555555568309E-2</v>
      </c>
      <c r="B287" s="2" t="s">
        <v>0</v>
      </c>
      <c r="C287" s="120">
        <f t="shared" si="32"/>
        <v>43164</v>
      </c>
      <c r="D287" s="120" t="s">
        <v>128</v>
      </c>
      <c r="E287" s="4">
        <v>0.38194444444444442</v>
      </c>
      <c r="F287" s="4">
        <v>0.76388888888888884</v>
      </c>
      <c r="G287" s="5">
        <v>2</v>
      </c>
      <c r="H287" s="2">
        <v>1</v>
      </c>
      <c r="I287" s="134" t="str">
        <f t="shared" si="35"/>
        <v/>
      </c>
      <c r="J287" s="152">
        <f t="shared" si="33"/>
        <v>8.3333333333332482E-3</v>
      </c>
      <c r="K287" s="34">
        <v>57</v>
      </c>
      <c r="L287" s="34">
        <v>44</v>
      </c>
      <c r="M287" s="6">
        <v>0.22916666666666666</v>
      </c>
      <c r="N287" s="7"/>
      <c r="O287" s="143" t="str">
        <f t="shared" si="34"/>
        <v/>
      </c>
      <c r="P287" s="45"/>
      <c r="Q287" s="123">
        <f>(SUM(E$2:E$21)+SUM(E$25:E$154)+SUM(E$156:E287))/(COUNTA(E$2:E287)-4)</f>
        <v>0.37842613077679443</v>
      </c>
      <c r="R287" s="46">
        <f>(SUM(H$2:H287)*E$1+A287)/SUM(H$2:H287)</f>
        <v>0.3457806299603175</v>
      </c>
      <c r="S287" s="61"/>
    </row>
    <row r="288" spans="1:19" hidden="1" x14ac:dyDescent="0.3">
      <c r="A288" s="52">
        <f t="shared" si="31"/>
        <v>-6.9444444444572706E-3</v>
      </c>
      <c r="B288" s="8" t="s">
        <v>1</v>
      </c>
      <c r="C288" s="121">
        <f t="shared" si="32"/>
        <v>43165</v>
      </c>
      <c r="D288" s="121" t="s">
        <v>129</v>
      </c>
      <c r="E288" s="10">
        <v>0.38541666666666669</v>
      </c>
      <c r="F288" s="10">
        <v>0.75</v>
      </c>
      <c r="G288" s="11">
        <v>1</v>
      </c>
      <c r="H288" s="45">
        <v>1</v>
      </c>
      <c r="I288" s="135" t="str">
        <f t="shared" si="35"/>
        <v/>
      </c>
      <c r="J288" s="153">
        <f t="shared" si="33"/>
        <v>4.8611111111110383E-3</v>
      </c>
      <c r="K288" s="35">
        <v>44</v>
      </c>
      <c r="L288" s="35">
        <v>44</v>
      </c>
      <c r="M288" s="12">
        <v>0.3125</v>
      </c>
      <c r="N288" s="7"/>
      <c r="O288" s="143" t="str">
        <f t="shared" si="34"/>
        <v/>
      </c>
      <c r="P288" s="45"/>
      <c r="Q288" s="123">
        <f>(SUM(E$2:E$21)+SUM(E$25:E$154)+SUM(E$156:E288))/(COUNTA(E$2:E288)-4)</f>
        <v>0.3784569260890846</v>
      </c>
      <c r="R288" s="46">
        <f>(SUM(H$2:H288)*E$1+A288)/SUM(H$2:H288)</f>
        <v>0.34580246913580248</v>
      </c>
      <c r="S288" s="62"/>
    </row>
    <row r="289" spans="1:19" hidden="1" x14ac:dyDescent="0.3">
      <c r="A289" s="52">
        <f t="shared" si="31"/>
        <v>8.3333333333203974E-3</v>
      </c>
      <c r="B289" s="8" t="s">
        <v>2</v>
      </c>
      <c r="C289" s="121">
        <f t="shared" si="32"/>
        <v>43166</v>
      </c>
      <c r="D289" s="121" t="s">
        <v>266</v>
      </c>
      <c r="E289" s="10">
        <v>0.40972222222222227</v>
      </c>
      <c r="F289" s="10">
        <v>0.78472222222222221</v>
      </c>
      <c r="G289" s="11">
        <v>1</v>
      </c>
      <c r="H289" s="45">
        <v>1</v>
      </c>
      <c r="I289" s="135" t="str">
        <f t="shared" si="35"/>
        <v/>
      </c>
      <c r="J289" s="153">
        <f t="shared" si="33"/>
        <v>1.5277777777777668E-2</v>
      </c>
      <c r="K289" s="35">
        <v>34</v>
      </c>
      <c r="L289" s="35"/>
      <c r="M289" s="12">
        <v>0.14583333333333334</v>
      </c>
      <c r="N289" s="7"/>
      <c r="O289" s="143" t="str">
        <f t="shared" si="34"/>
        <v/>
      </c>
      <c r="P289" s="45"/>
      <c r="Q289" s="123">
        <f>(SUM(E$2:E$21)+SUM(E$25:E$154)+SUM(E$156:E289))/(COUNTA(E$2:E289)-4)</f>
        <v>0.37859405458089662</v>
      </c>
      <c r="R289" s="46">
        <f>(SUM(H$2:H289)*E$1+A289)/SUM(H$2:H289)</f>
        <v>0.34587020648967554</v>
      </c>
      <c r="S289" s="62"/>
    </row>
    <row r="290" spans="1:19" hidden="1" x14ac:dyDescent="0.3">
      <c r="A290" s="52">
        <f t="shared" si="31"/>
        <v>8.3333333333203974E-3</v>
      </c>
      <c r="B290" s="8" t="s">
        <v>3</v>
      </c>
      <c r="C290" s="167">
        <f t="shared" si="32"/>
        <v>43167</v>
      </c>
      <c r="D290" s="167" t="s">
        <v>267</v>
      </c>
      <c r="E290" s="10"/>
      <c r="F290" s="10"/>
      <c r="G290" s="11"/>
      <c r="H290" s="45"/>
      <c r="I290" s="135" t="str">
        <f t="shared" si="35"/>
        <v/>
      </c>
      <c r="J290" s="153">
        <f t="shared" si="33"/>
        <v>0</v>
      </c>
      <c r="K290" s="35"/>
      <c r="L290" s="35"/>
      <c r="M290" s="12"/>
      <c r="N290" s="7"/>
      <c r="O290" s="143" t="str">
        <f t="shared" si="34"/>
        <v/>
      </c>
      <c r="P290" s="45"/>
      <c r="Q290" s="123">
        <f>(SUM(E$2:E$21)+SUM(E$25:E$154)+SUM(E$156:E290))/(COUNTA(E$2:E290)-4)</f>
        <v>0.37859405458089662</v>
      </c>
      <c r="R290" s="46">
        <f>(SUM(H$2:H290)*E$1+A290)/SUM(H$2:H290)</f>
        <v>0.34587020648967554</v>
      </c>
      <c r="S290" s="62"/>
    </row>
    <row r="291" spans="1:19" hidden="1" x14ac:dyDescent="0.3">
      <c r="A291" s="53">
        <f t="shared" si="31"/>
        <v>8.3333333333203974E-3</v>
      </c>
      <c r="B291" s="13" t="s">
        <v>4</v>
      </c>
      <c r="C291" s="168">
        <f t="shared" si="32"/>
        <v>43168</v>
      </c>
      <c r="D291" s="168" t="s">
        <v>8</v>
      </c>
      <c r="E291" s="15"/>
      <c r="F291" s="15"/>
      <c r="G291" s="16"/>
      <c r="H291" s="17"/>
      <c r="I291" s="136" t="str">
        <f>IF(J291&lt;0,-J291,"")</f>
        <v/>
      </c>
      <c r="J291" s="154">
        <f t="shared" si="33"/>
        <v>0</v>
      </c>
      <c r="K291" s="36"/>
      <c r="L291" s="36"/>
      <c r="M291" s="18"/>
      <c r="N291" s="7"/>
      <c r="O291" s="143" t="str">
        <f t="shared" si="34"/>
        <v/>
      </c>
      <c r="P291" s="137">
        <f>A291-A286</f>
        <v>2.8472222222221955E-2</v>
      </c>
      <c r="Q291" s="123">
        <f>(SUM(E$2:E$21)+SUM(E$25:E$154)+SUM(E$156:E291))/(COUNTA(E$2:E291)-4)</f>
        <v>0.37859405458089662</v>
      </c>
      <c r="R291" s="46">
        <f>(SUM(H$2:H291)*E$1+A291)/SUM(H$2:H291)</f>
        <v>0.34587020648967554</v>
      </c>
      <c r="S291" s="41">
        <f>IF(COUNTA(M287:M291)=0,0,SUM(M287:M291)/COUNTA(M287:M291))</f>
        <v>0.22916666666666666</v>
      </c>
    </row>
    <row r="292" spans="1:19" hidden="1" x14ac:dyDescent="0.3">
      <c r="A292" s="51">
        <f t="shared" si="31"/>
        <v>3.7499999999986905E-2</v>
      </c>
      <c r="B292" s="2" t="s">
        <v>0</v>
      </c>
      <c r="C292" s="120">
        <f t="shared" si="32"/>
        <v>43171</v>
      </c>
      <c r="D292" s="120" t="s">
        <v>11</v>
      </c>
      <c r="E292" s="4">
        <v>0.38541666666666669</v>
      </c>
      <c r="F292" s="4">
        <v>0.77430555555555547</v>
      </c>
      <c r="G292" s="5">
        <v>1</v>
      </c>
      <c r="H292" s="2">
        <v>1</v>
      </c>
      <c r="I292" s="134" t="str">
        <f t="shared" ref="I292:I310" si="36">IF(J292&lt;0,-J292,"")</f>
        <v/>
      </c>
      <c r="J292" s="152">
        <f t="shared" si="33"/>
        <v>2.9166666666666508E-2</v>
      </c>
      <c r="K292" s="34">
        <v>54</v>
      </c>
      <c r="L292" s="34">
        <v>53</v>
      </c>
      <c r="M292" s="6">
        <v>0.3125</v>
      </c>
      <c r="N292" s="7"/>
      <c r="O292" s="143" t="str">
        <f t="shared" si="34"/>
        <v/>
      </c>
      <c r="P292" s="45"/>
      <c r="Q292" s="123">
        <f>(SUM(E$2:E$21)+SUM(E$25:E$154)+SUM(E$156:E292))/(COUNTA(E$2:E292)-4)</f>
        <v>0.37862384764677331</v>
      </c>
      <c r="R292" s="46">
        <f>(SUM(H$2:H292)*E$1+A292)/SUM(H$2:H292)</f>
        <v>0.34599853157121874</v>
      </c>
      <c r="S292" s="61"/>
    </row>
    <row r="293" spans="1:19" hidden="1" x14ac:dyDescent="0.3">
      <c r="A293" s="52">
        <f t="shared" si="31"/>
        <v>7.3611111111097999E-2</v>
      </c>
      <c r="B293" s="8" t="s">
        <v>1</v>
      </c>
      <c r="C293" s="121">
        <f t="shared" si="32"/>
        <v>43172</v>
      </c>
      <c r="D293" s="121" t="s">
        <v>12</v>
      </c>
      <c r="E293" s="10">
        <v>0.375</v>
      </c>
      <c r="F293" s="10">
        <v>0.77083333333333337</v>
      </c>
      <c r="G293" s="11">
        <v>1</v>
      </c>
      <c r="H293" s="45">
        <v>1</v>
      </c>
      <c r="I293" s="135" t="str">
        <f t="shared" si="36"/>
        <v/>
      </c>
      <c r="J293" s="153">
        <f t="shared" si="33"/>
        <v>3.6111111111111094E-2</v>
      </c>
      <c r="K293" s="35">
        <v>53</v>
      </c>
      <c r="L293" s="35">
        <v>44</v>
      </c>
      <c r="M293" s="12">
        <v>0.16666666666666666</v>
      </c>
      <c r="N293" s="7"/>
      <c r="O293" s="143" t="str">
        <f t="shared" si="34"/>
        <v/>
      </c>
      <c r="P293" s="45"/>
      <c r="Q293" s="123">
        <f>(SUM(E$2:E$21)+SUM(E$25:E$154)+SUM(E$156:E293))/(COUNTA(E$2:E293)-4)</f>
        <v>0.37860809178743948</v>
      </c>
      <c r="R293" s="46">
        <f>(SUM(H$2:H293)*E$1+A293)/SUM(H$2:H293)</f>
        <v>0.34615618908382062</v>
      </c>
      <c r="S293" s="62"/>
    </row>
    <row r="294" spans="1:19" hidden="1" x14ac:dyDescent="0.3">
      <c r="A294" s="52">
        <f t="shared" si="31"/>
        <v>0.10277777777776462</v>
      </c>
      <c r="B294" s="8" t="s">
        <v>2</v>
      </c>
      <c r="C294" s="121">
        <f t="shared" si="32"/>
        <v>43173</v>
      </c>
      <c r="D294" s="121" t="s">
        <v>268</v>
      </c>
      <c r="E294" s="10">
        <v>0.37152777777777773</v>
      </c>
      <c r="F294" s="10">
        <v>0.76041666666666663</v>
      </c>
      <c r="G294" s="11">
        <v>1</v>
      </c>
      <c r="H294" s="45">
        <v>1</v>
      </c>
      <c r="I294" s="135" t="str">
        <f t="shared" si="36"/>
        <v/>
      </c>
      <c r="J294" s="153">
        <f t="shared" si="33"/>
        <v>2.9166666666666619E-2</v>
      </c>
      <c r="K294" s="35">
        <v>44</v>
      </c>
      <c r="L294" s="35">
        <v>50</v>
      </c>
      <c r="M294" s="12">
        <v>0.1875</v>
      </c>
      <c r="N294" s="7"/>
      <c r="O294" s="143" t="str">
        <f t="shared" si="34"/>
        <v/>
      </c>
      <c r="P294" s="45"/>
      <c r="Q294" s="123">
        <f>(SUM(E$2:E$21)+SUM(E$25:E$154)+SUM(E$156:E294))/(COUNTA(E$2:E294)-4)</f>
        <v>0.37857744107744101</v>
      </c>
      <c r="R294" s="46">
        <f>(SUM(H$2:H294)*E$1+A294)/SUM(H$2:H294)</f>
        <v>0.34628214459000478</v>
      </c>
      <c r="S294" s="62"/>
    </row>
    <row r="295" spans="1:19" hidden="1" x14ac:dyDescent="0.3">
      <c r="A295" s="52">
        <f t="shared" si="31"/>
        <v>9.0277777777764606E-2</v>
      </c>
      <c r="B295" s="8" t="s">
        <v>3</v>
      </c>
      <c r="C295" s="121">
        <f t="shared" si="32"/>
        <v>43174</v>
      </c>
      <c r="D295" s="121" t="s">
        <v>269</v>
      </c>
      <c r="E295" s="10">
        <v>0.36805555555555558</v>
      </c>
      <c r="F295" s="10">
        <v>0.75694444444444453</v>
      </c>
      <c r="G295" s="11">
        <v>4</v>
      </c>
      <c r="H295" s="45">
        <v>1</v>
      </c>
      <c r="I295" s="135">
        <f t="shared" si="36"/>
        <v>1.2500000000000011E-2</v>
      </c>
      <c r="J295" s="153">
        <f t="shared" si="33"/>
        <v>-1.2500000000000011E-2</v>
      </c>
      <c r="K295" s="35">
        <v>54</v>
      </c>
      <c r="L295" s="35">
        <v>43</v>
      </c>
      <c r="M295" s="12">
        <v>0.29166666666666669</v>
      </c>
      <c r="N295" s="7"/>
      <c r="O295" s="143" t="str">
        <f t="shared" si="34"/>
        <v/>
      </c>
      <c r="P295" s="45"/>
      <c r="Q295" s="123">
        <f>(SUM(E$2:E$21)+SUM(E$25:E$154)+SUM(E$156:E295))/(COUNTA(E$2:E295)-4)</f>
        <v>0.3785320881226053</v>
      </c>
      <c r="R295" s="46">
        <f>(SUM(H$2:H295)*E$1+A295)/SUM(H$2:H295)</f>
        <v>0.34622584541062801</v>
      </c>
      <c r="S295" s="62"/>
    </row>
    <row r="296" spans="1:19" hidden="1" x14ac:dyDescent="0.3">
      <c r="A296" s="53">
        <f t="shared" si="31"/>
        <v>7.777777777776454E-2</v>
      </c>
      <c r="B296" s="13" t="s">
        <v>4</v>
      </c>
      <c r="C296" s="117">
        <f t="shared" si="32"/>
        <v>43175</v>
      </c>
      <c r="D296" s="117" t="s">
        <v>13</v>
      </c>
      <c r="E296" s="15">
        <v>0.375</v>
      </c>
      <c r="F296" s="15">
        <v>0.72222222222222221</v>
      </c>
      <c r="G296" s="16">
        <v>0</v>
      </c>
      <c r="H296" s="17">
        <v>1</v>
      </c>
      <c r="I296" s="136">
        <f>IF(J296&lt;0,-J296,"")</f>
        <v>1.2500000000000067E-2</v>
      </c>
      <c r="J296" s="154">
        <f t="shared" si="33"/>
        <v>-1.2500000000000067E-2</v>
      </c>
      <c r="K296" s="36"/>
      <c r="L296" s="36">
        <v>40</v>
      </c>
      <c r="M296" s="18">
        <v>0.29166666666666669</v>
      </c>
      <c r="N296" s="7"/>
      <c r="O296" s="143" t="str">
        <f t="shared" si="34"/>
        <v/>
      </c>
      <c r="P296" s="137">
        <f>A296-A291</f>
        <v>6.9444444444444142E-2</v>
      </c>
      <c r="Q296" s="123">
        <f>(SUM(E$2:E$21)+SUM(E$25:E$154)+SUM(E$156:E296))/(COUNTA(E$2:E296)-4)</f>
        <v>0.37851692894611344</v>
      </c>
      <c r="R296" s="46">
        <f>(SUM(H$2:H296)*E$1+A296)/SUM(H$2:H296)</f>
        <v>0.34617003367003368</v>
      </c>
      <c r="S296" s="41">
        <f>IF(COUNTA(M292:M296)=0,0,SUM(M292:M296)/COUNTA(M292:M296))</f>
        <v>0.25</v>
      </c>
    </row>
    <row r="297" spans="1:19" hidden="1" x14ac:dyDescent="0.3">
      <c r="A297" s="51">
        <f t="shared" si="31"/>
        <v>3.0555555555542152E-2</v>
      </c>
      <c r="B297" s="2" t="s">
        <v>0</v>
      </c>
      <c r="C297" s="120">
        <f t="shared" si="32"/>
        <v>43178</v>
      </c>
      <c r="D297" s="120" t="s">
        <v>16</v>
      </c>
      <c r="E297" s="67">
        <v>0.35416666666666669</v>
      </c>
      <c r="F297" s="67">
        <v>0.68055555555555547</v>
      </c>
      <c r="G297" s="5">
        <v>2</v>
      </c>
      <c r="H297" s="2">
        <v>1</v>
      </c>
      <c r="I297" s="134">
        <f t="shared" si="36"/>
        <v>4.7222222222222388E-2</v>
      </c>
      <c r="J297" s="152">
        <f t="shared" si="33"/>
        <v>-4.7222222222222388E-2</v>
      </c>
      <c r="K297" s="34"/>
      <c r="L297" s="34"/>
      <c r="M297" s="6">
        <v>0.14583333333333334</v>
      </c>
      <c r="N297" s="7"/>
      <c r="O297" s="143" t="str">
        <f t="shared" si="34"/>
        <v/>
      </c>
      <c r="P297" s="45"/>
      <c r="Q297" s="123">
        <f>(SUM(E$2:E$21)+SUM(E$25:E$154)+SUM(E$156:E297))/(COUNTA(E$2:E297)-4)</f>
        <v>0.37841286799620122</v>
      </c>
      <c r="R297" s="46">
        <f>(SUM(H$2:H297)*E$1+A297)/SUM(H$2:H297)</f>
        <v>0.34596503831417624</v>
      </c>
      <c r="S297" s="61"/>
    </row>
    <row r="298" spans="1:19" hidden="1" x14ac:dyDescent="0.3">
      <c r="A298" s="52">
        <f t="shared" si="31"/>
        <v>0.11874999999998651</v>
      </c>
      <c r="B298" s="8" t="s">
        <v>1</v>
      </c>
      <c r="C298" s="121">
        <f t="shared" si="32"/>
        <v>43179</v>
      </c>
      <c r="D298" s="121" t="s">
        <v>17</v>
      </c>
      <c r="E298" s="68">
        <v>0.36458333333333331</v>
      </c>
      <c r="F298" s="68">
        <v>0.82638888888888884</v>
      </c>
      <c r="G298" s="11">
        <v>2</v>
      </c>
      <c r="H298" s="45">
        <v>1</v>
      </c>
      <c r="I298" s="135" t="str">
        <f t="shared" si="36"/>
        <v/>
      </c>
      <c r="J298" s="153">
        <f t="shared" si="33"/>
        <v>8.8194444444444353E-2</v>
      </c>
      <c r="K298" s="35"/>
      <c r="L298" s="35"/>
      <c r="M298" s="12">
        <v>0.29166666666666669</v>
      </c>
      <c r="N298" s="7"/>
      <c r="O298" s="143" t="str">
        <f t="shared" si="34"/>
        <v/>
      </c>
      <c r="P298" s="45"/>
      <c r="Q298" s="123">
        <f>(SUM(E$2:E$21)+SUM(E$25:E$154)+SUM(E$156:E298))/(COUNTA(E$2:E298)-4)</f>
        <v>0.37835401891252951</v>
      </c>
      <c r="R298" s="46">
        <f>(SUM(H$2:H298)*E$1+A298)/SUM(H$2:H298)</f>
        <v>0.34634298998569385</v>
      </c>
      <c r="S298" s="62"/>
    </row>
    <row r="299" spans="1:19" hidden="1" x14ac:dyDescent="0.3">
      <c r="A299" s="52">
        <f t="shared" si="31"/>
        <v>0.17222222222220865</v>
      </c>
      <c r="B299" s="8" t="s">
        <v>2</v>
      </c>
      <c r="C299" s="121">
        <f t="shared" si="32"/>
        <v>43180</v>
      </c>
      <c r="D299" s="121" t="s">
        <v>270</v>
      </c>
      <c r="E299" s="68">
        <v>0.38541666666666669</v>
      </c>
      <c r="F299" s="68">
        <v>0.8125</v>
      </c>
      <c r="G299" s="11">
        <v>2</v>
      </c>
      <c r="H299" s="45">
        <v>1</v>
      </c>
      <c r="I299" s="135" t="str">
        <f t="shared" si="36"/>
        <v/>
      </c>
      <c r="J299" s="153">
        <f t="shared" si="33"/>
        <v>5.3472222222222143E-2</v>
      </c>
      <c r="K299" s="35"/>
      <c r="L299" s="35"/>
      <c r="M299" s="12">
        <v>0.20833333333333334</v>
      </c>
      <c r="N299" s="7"/>
      <c r="O299" s="143" t="str">
        <f t="shared" si="34"/>
        <v/>
      </c>
      <c r="P299" s="45"/>
      <c r="Q299" s="123">
        <f>(SUM(E$2:E$21)+SUM(E$25:E$154)+SUM(E$156:E299))/(COUNTA(E$2:E299)-4)</f>
        <v>0.3783839453860639</v>
      </c>
      <c r="R299" s="46">
        <f>(SUM(H$2:H299)*E$1+A299)/SUM(H$2:H299)</f>
        <v>0.34656932573599236</v>
      </c>
      <c r="S299" s="62"/>
    </row>
    <row r="300" spans="1:19" hidden="1" x14ac:dyDescent="0.3">
      <c r="A300" s="52">
        <f t="shared" si="31"/>
        <v>0.22569444444443079</v>
      </c>
      <c r="B300" s="8" t="s">
        <v>3</v>
      </c>
      <c r="C300" s="121">
        <f t="shared" si="32"/>
        <v>43181</v>
      </c>
      <c r="D300" s="121" t="s">
        <v>271</v>
      </c>
      <c r="E300" s="68">
        <v>0.38541666666666669</v>
      </c>
      <c r="F300" s="68">
        <v>0.8125</v>
      </c>
      <c r="G300" s="11">
        <v>2</v>
      </c>
      <c r="H300" s="45">
        <v>1</v>
      </c>
      <c r="I300" s="135" t="str">
        <f t="shared" si="36"/>
        <v/>
      </c>
      <c r="J300" s="153">
        <f t="shared" si="33"/>
        <v>5.3472222222222143E-2</v>
      </c>
      <c r="K300" s="35"/>
      <c r="L300" s="35"/>
      <c r="M300" s="12">
        <v>0.16666666666666666</v>
      </c>
      <c r="N300" s="7"/>
      <c r="O300" s="143" t="str">
        <f t="shared" si="34"/>
        <v/>
      </c>
      <c r="P300" s="45"/>
      <c r="Q300" s="123">
        <f>(SUM(E$2:E$21)+SUM(E$25:E$154)+SUM(E$156:E300))/(COUNTA(E$2:E300)-4)</f>
        <v>0.37841361931551798</v>
      </c>
      <c r="R300" s="46">
        <f>(SUM(H$2:H300)*E$1+A300)/SUM(H$2:H300)</f>
        <v>0.34679373522458629</v>
      </c>
      <c r="S300" s="62"/>
    </row>
    <row r="301" spans="1:19" hidden="1" x14ac:dyDescent="0.3">
      <c r="A301" s="53">
        <f t="shared" si="31"/>
        <v>0.17847222222220846</v>
      </c>
      <c r="B301" s="13" t="s">
        <v>4</v>
      </c>
      <c r="C301" s="117">
        <f t="shared" si="32"/>
        <v>43182</v>
      </c>
      <c r="D301" s="117" t="s">
        <v>18</v>
      </c>
      <c r="E301" s="15">
        <v>0.41666666666666669</v>
      </c>
      <c r="F301" s="15">
        <v>0.72916666666666663</v>
      </c>
      <c r="G301" s="16">
        <v>0</v>
      </c>
      <c r="H301" s="17">
        <v>1</v>
      </c>
      <c r="I301" s="136">
        <f>IF(J301&lt;0,-J301,"")</f>
        <v>4.7222222222222332E-2</v>
      </c>
      <c r="J301" s="154">
        <f t="shared" si="33"/>
        <v>-4.7222222222222332E-2</v>
      </c>
      <c r="K301" s="36">
        <v>59</v>
      </c>
      <c r="L301" s="36">
        <v>49</v>
      </c>
      <c r="M301" s="18">
        <v>8.3333333333333329E-2</v>
      </c>
      <c r="N301" s="7"/>
      <c r="O301" s="143" t="str">
        <f t="shared" si="34"/>
        <v/>
      </c>
      <c r="P301" s="137">
        <f>A301-A296</f>
        <v>0.10069444444444392</v>
      </c>
      <c r="Q301" s="123">
        <f>(SUM(E$2:E$21)+SUM(E$25:E$154)+SUM(E$156:E301))/(COUNTA(E$2:E301)-4)</f>
        <v>0.37857434640522869</v>
      </c>
      <c r="R301" s="46">
        <f>(SUM(H$2:H301)*E$1+A301)/SUM(H$2:H301)</f>
        <v>0.34658957156308851</v>
      </c>
      <c r="S301" s="41">
        <f>IF(COUNTA(M297:M301)=0,0,SUM(M297:M301)/COUNTA(M297:M301))</f>
        <v>0.17916666666666667</v>
      </c>
    </row>
    <row r="302" spans="1:19" hidden="1" x14ac:dyDescent="0.3">
      <c r="A302" s="51">
        <f t="shared" si="31"/>
        <v>0.19027777777776392</v>
      </c>
      <c r="B302" s="2" t="s">
        <v>0</v>
      </c>
      <c r="C302" s="120">
        <f t="shared" si="32"/>
        <v>43185</v>
      </c>
      <c r="D302" s="120" t="s">
        <v>21</v>
      </c>
      <c r="E302" s="4">
        <v>0.37847222222222227</v>
      </c>
      <c r="F302" s="4">
        <v>0.75</v>
      </c>
      <c r="G302" s="5">
        <v>0</v>
      </c>
      <c r="H302" s="2">
        <v>1</v>
      </c>
      <c r="I302" s="134" t="str">
        <f t="shared" si="36"/>
        <v/>
      </c>
      <c r="J302" s="152">
        <f t="shared" si="33"/>
        <v>1.1805555555555458E-2</v>
      </c>
      <c r="K302" s="34">
        <v>63</v>
      </c>
      <c r="L302" s="34">
        <v>59</v>
      </c>
      <c r="M302" s="6">
        <v>0.27083333333333331</v>
      </c>
      <c r="N302" s="7"/>
      <c r="O302" s="143" t="str">
        <f t="shared" si="34"/>
        <v/>
      </c>
      <c r="P302" s="45"/>
      <c r="Q302" s="123">
        <f>(SUM(E$2:E$21)+SUM(E$25:E$154)+SUM(E$156:E302))/(COUNTA(E$2:E302)-4)</f>
        <v>0.3785739191073918</v>
      </c>
      <c r="R302" s="46">
        <f>(SUM(H$2:H302)*E$1+A302)/SUM(H$2:H302)</f>
        <v>0.34663619315518046</v>
      </c>
      <c r="S302" s="61"/>
    </row>
    <row r="303" spans="1:19" hidden="1" x14ac:dyDescent="0.3">
      <c r="A303" s="52">
        <f t="shared" si="31"/>
        <v>0.25416666666665266</v>
      </c>
      <c r="B303" s="8" t="s">
        <v>1</v>
      </c>
      <c r="C303" s="121">
        <f t="shared" si="32"/>
        <v>43186</v>
      </c>
      <c r="D303" s="121" t="s">
        <v>22</v>
      </c>
      <c r="E303" s="10">
        <v>0.38194444444444442</v>
      </c>
      <c r="F303" s="10">
        <v>0.80555555555555547</v>
      </c>
      <c r="G303" s="11">
        <v>1</v>
      </c>
      <c r="H303" s="45">
        <v>1</v>
      </c>
      <c r="I303" s="135" t="str">
        <f t="shared" si="36"/>
        <v/>
      </c>
      <c r="J303" s="153">
        <f t="shared" si="33"/>
        <v>6.3888888888888773E-2</v>
      </c>
      <c r="K303" s="35">
        <v>51</v>
      </c>
      <c r="L303" s="35">
        <v>56</v>
      </c>
      <c r="M303" s="12">
        <v>0.16666666666666666</v>
      </c>
      <c r="N303" s="7"/>
      <c r="O303" s="143" t="str">
        <f t="shared" si="34"/>
        <v/>
      </c>
      <c r="P303" s="45"/>
      <c r="Q303" s="123">
        <f>(SUM(E$2:E$21)+SUM(E$25:E$154)+SUM(E$156:E303))/(COUNTA(E$2:E303)-4)</f>
        <v>0.37858796296296288</v>
      </c>
      <c r="R303" s="46">
        <f>(SUM(H$2:H303)*E$1+A303)/SUM(H$2:H303)</f>
        <v>0.34690126050420167</v>
      </c>
      <c r="S303" s="62"/>
    </row>
    <row r="304" spans="1:19" hidden="1" x14ac:dyDescent="0.3">
      <c r="A304" s="52">
        <f t="shared" si="31"/>
        <v>0.24166666666665271</v>
      </c>
      <c r="B304" s="8" t="s">
        <v>2</v>
      </c>
      <c r="C304" s="121">
        <f t="shared" si="32"/>
        <v>43187</v>
      </c>
      <c r="D304" s="121" t="s">
        <v>272</v>
      </c>
      <c r="E304" s="10">
        <v>0.39583333333333331</v>
      </c>
      <c r="F304" s="10">
        <v>0.75694444444444453</v>
      </c>
      <c r="G304" s="11">
        <v>2</v>
      </c>
      <c r="H304" s="45">
        <v>1</v>
      </c>
      <c r="I304" s="135">
        <f t="shared" si="36"/>
        <v>1.2499999999999956E-2</v>
      </c>
      <c r="J304" s="153">
        <f t="shared" si="33"/>
        <v>-1.2499999999999956E-2</v>
      </c>
      <c r="K304" s="35">
        <v>61</v>
      </c>
      <c r="L304" s="35"/>
      <c r="M304" s="12">
        <v>0.27083333333333331</v>
      </c>
      <c r="N304" s="7"/>
      <c r="O304" s="143" t="str">
        <f t="shared" si="34"/>
        <v/>
      </c>
      <c r="P304" s="45"/>
      <c r="Q304" s="123">
        <f>(SUM(E$2:E$21)+SUM(E$25:E$154)+SUM(E$156:E304))/(COUNTA(E$2:E304)-4)</f>
        <v>0.37865952051636692</v>
      </c>
      <c r="R304" s="46">
        <f>(SUM(H$2:H304)*E$1+A304)/SUM(H$2:H304)</f>
        <v>0.34684449093444908</v>
      </c>
      <c r="S304" s="62"/>
    </row>
    <row r="305" spans="1:19" hidden="1" x14ac:dyDescent="0.3">
      <c r="A305" s="52">
        <f t="shared" si="31"/>
        <v>0.24166666666665271</v>
      </c>
      <c r="B305" s="8" t="s">
        <v>3</v>
      </c>
      <c r="C305" s="85">
        <f t="shared" si="32"/>
        <v>43188</v>
      </c>
      <c r="D305" s="85" t="s">
        <v>273</v>
      </c>
      <c r="E305" s="10">
        <v>0.39583333333333331</v>
      </c>
      <c r="F305" s="10">
        <v>0.75694444444444453</v>
      </c>
      <c r="G305" s="11">
        <v>2</v>
      </c>
      <c r="H305" s="45">
        <v>1</v>
      </c>
      <c r="I305" s="135" t="str">
        <f>IF(J305&lt;0,-J305,"")</f>
        <v/>
      </c>
      <c r="J305" s="153">
        <f>IF(H312=1,F312-E312-MAX(G312,1)*$F$1-$E$1,F312-E312-$E$1*H312)</f>
        <v>0</v>
      </c>
      <c r="K305" s="35"/>
      <c r="L305" s="35"/>
      <c r="M305" s="12">
        <v>0.27083333333333331</v>
      </c>
      <c r="N305" s="7"/>
      <c r="O305" s="143" t="str">
        <f t="shared" si="34"/>
        <v/>
      </c>
      <c r="P305" s="45"/>
      <c r="Q305" s="123">
        <f>(SUM(E$2:E$21)+SUM(E$25:E$154)+SUM(E$156:E312))/(COUNTA(E$2:E312)-4)</f>
        <v>0.37873048668503206</v>
      </c>
      <c r="R305" s="46">
        <f>(SUM(H$2:H312)*E$1+A305)/SUM(H$2:H312)</f>
        <v>0.34684027777777776</v>
      </c>
      <c r="S305" s="62"/>
    </row>
    <row r="306" spans="1:19" hidden="1" x14ac:dyDescent="0.3">
      <c r="A306" s="53">
        <f t="shared" si="31"/>
        <v>0.24166666666665271</v>
      </c>
      <c r="B306" s="13" t="s">
        <v>4</v>
      </c>
      <c r="C306" s="86">
        <f t="shared" si="32"/>
        <v>43189</v>
      </c>
      <c r="D306" s="86" t="s">
        <v>23</v>
      </c>
      <c r="E306" s="15"/>
      <c r="F306" s="15"/>
      <c r="G306" s="16"/>
      <c r="H306" s="17"/>
      <c r="I306" s="136" t="str">
        <f>IF(J306&lt;0,-J306,"")</f>
        <v/>
      </c>
      <c r="J306" s="154">
        <f t="shared" si="33"/>
        <v>0</v>
      </c>
      <c r="K306" s="36"/>
      <c r="L306" s="36"/>
      <c r="M306" s="18"/>
      <c r="N306" s="7">
        <f>SUM(H285:H306)</f>
        <v>18</v>
      </c>
      <c r="O306" s="143" t="str">
        <f t="shared" si="34"/>
        <v/>
      </c>
      <c r="P306" s="137">
        <f>A306-A301</f>
        <v>6.3194444444444248E-2</v>
      </c>
      <c r="Q306" s="123">
        <f>(SUM(E$2:E$21)+SUM(E$25:E$154)+SUM(E$156:E306))/(COUNTA(E$2:E306)-4)</f>
        <v>0.37873048668503206</v>
      </c>
      <c r="R306" s="46">
        <f>(SUM(H$2:H306)*E$1+A306)/SUM(H$2:H306)</f>
        <v>0.34684027777777776</v>
      </c>
      <c r="S306" s="41">
        <f>IF(COUNTA(M302:M306)=0,0,SUM(M302:M306)/COUNTA(M302:M306))</f>
        <v>0.24479166666666663</v>
      </c>
    </row>
    <row r="307" spans="1:19" hidden="1" x14ac:dyDescent="0.3">
      <c r="A307" s="51">
        <f t="shared" si="31"/>
        <v>0.24166666666665271</v>
      </c>
      <c r="B307" s="2" t="s">
        <v>0</v>
      </c>
      <c r="C307" s="71">
        <f t="shared" si="32"/>
        <v>43192</v>
      </c>
      <c r="D307" s="71" t="s">
        <v>26</v>
      </c>
      <c r="E307" s="4"/>
      <c r="F307" s="4"/>
      <c r="G307" s="5"/>
      <c r="H307" s="2"/>
      <c r="I307" s="134" t="str">
        <f t="shared" si="36"/>
        <v/>
      </c>
      <c r="J307" s="152">
        <f t="shared" si="33"/>
        <v>0</v>
      </c>
      <c r="K307" s="34"/>
      <c r="L307" s="34"/>
      <c r="M307" s="6"/>
      <c r="N307" s="7"/>
      <c r="O307" s="143" t="str">
        <f t="shared" si="34"/>
        <v/>
      </c>
      <c r="P307" s="45"/>
      <c r="Q307" s="123">
        <f>(SUM(E$2:E$21)+SUM(E$25:E$154)+SUM(E$156:E307))/(COUNTA(E$2:E307)-4)</f>
        <v>0.37873048668503206</v>
      </c>
      <c r="R307" s="46">
        <f>(SUM(H$2:H307)*E$1+A307)/SUM(H$2:H307)</f>
        <v>0.34684027777777776</v>
      </c>
      <c r="S307" s="61"/>
    </row>
    <row r="308" spans="1:19" hidden="1" x14ac:dyDescent="0.3">
      <c r="A308" s="52">
        <f t="shared" si="31"/>
        <v>0.24166666666665271</v>
      </c>
      <c r="B308" s="8" t="s">
        <v>1</v>
      </c>
      <c r="C308" s="85">
        <f t="shared" si="32"/>
        <v>43193</v>
      </c>
      <c r="D308" s="85" t="s">
        <v>27</v>
      </c>
      <c r="E308" s="10"/>
      <c r="F308" s="10"/>
      <c r="G308" s="11"/>
      <c r="H308" s="45"/>
      <c r="I308" s="135" t="str">
        <f t="shared" si="36"/>
        <v/>
      </c>
      <c r="J308" s="153">
        <f t="shared" si="33"/>
        <v>0</v>
      </c>
      <c r="K308" s="35"/>
      <c r="L308" s="35">
        <v>68</v>
      </c>
      <c r="M308" s="12"/>
      <c r="N308" s="7"/>
      <c r="O308" s="143" t="str">
        <f t="shared" si="34"/>
        <v/>
      </c>
      <c r="P308" s="45"/>
      <c r="Q308" s="123">
        <f>(SUM(E$2:E$21)+SUM(E$25:E$154)+SUM(E$156:E308))/(COUNTA(E$2:E308)-4)</f>
        <v>0.37873048668503206</v>
      </c>
      <c r="R308" s="46">
        <f>(SUM(H$2:H308)*E$1+A308)/SUM(H$2:H308)</f>
        <v>0.34684027777777776</v>
      </c>
      <c r="S308" s="62"/>
    </row>
    <row r="309" spans="1:19" hidden="1" x14ac:dyDescent="0.3">
      <c r="A309" s="52">
        <f t="shared" si="31"/>
        <v>0.24166666666665271</v>
      </c>
      <c r="B309" s="8" t="s">
        <v>2</v>
      </c>
      <c r="C309" s="85">
        <f t="shared" si="32"/>
        <v>43194</v>
      </c>
      <c r="D309" s="85" t="s">
        <v>274</v>
      </c>
      <c r="E309" s="10"/>
      <c r="F309" s="10"/>
      <c r="G309" s="11"/>
      <c r="H309" s="45"/>
      <c r="I309" s="135" t="str">
        <f t="shared" si="36"/>
        <v/>
      </c>
      <c r="J309" s="153">
        <f t="shared" si="33"/>
        <v>0</v>
      </c>
      <c r="K309" s="35"/>
      <c r="L309" s="35"/>
      <c r="M309" s="12"/>
      <c r="N309" s="7"/>
      <c r="O309" s="143" t="str">
        <f t="shared" si="34"/>
        <v/>
      </c>
      <c r="P309" s="45"/>
      <c r="Q309" s="123">
        <f>(SUM(E$2:E$21)+SUM(E$25:E$154)+SUM(E$156:E309))/(COUNTA(E$2:E309)-4)</f>
        <v>0.37873048668503206</v>
      </c>
      <c r="R309" s="46">
        <f>(SUM(H$2:H309)*E$1+A309)/SUM(H$2:H309)</f>
        <v>0.34684027777777776</v>
      </c>
      <c r="S309" s="62"/>
    </row>
    <row r="310" spans="1:19" hidden="1" x14ac:dyDescent="0.3">
      <c r="A310" s="52">
        <f t="shared" si="31"/>
        <v>0.24166666666665271</v>
      </c>
      <c r="B310" s="8" t="s">
        <v>3</v>
      </c>
      <c r="C310" s="85">
        <f t="shared" si="32"/>
        <v>43195</v>
      </c>
      <c r="D310" s="85" t="s">
        <v>275</v>
      </c>
      <c r="E310" s="10"/>
      <c r="F310" s="10"/>
      <c r="G310" s="11"/>
      <c r="H310" s="45"/>
      <c r="I310" s="135" t="str">
        <f t="shared" si="36"/>
        <v/>
      </c>
      <c r="J310" s="153">
        <f t="shared" si="33"/>
        <v>0</v>
      </c>
      <c r="K310" s="35"/>
      <c r="L310" s="35"/>
      <c r="M310" s="12"/>
      <c r="N310" s="7"/>
      <c r="O310" s="143" t="str">
        <f t="shared" si="34"/>
        <v/>
      </c>
      <c r="P310" s="45"/>
      <c r="Q310" s="123">
        <f>(SUM(E$2:E$21)+SUM(E$25:E$154)+SUM(E$156:E310))/(COUNTA(E$2:E310)-4)</f>
        <v>0.37873048668503206</v>
      </c>
      <c r="R310" s="46">
        <f>(SUM(H$2:H310)*E$1+A310)/SUM(H$2:H310)</f>
        <v>0.34684027777777776</v>
      </c>
      <c r="S310" s="62"/>
    </row>
    <row r="311" spans="1:19" hidden="1" x14ac:dyDescent="0.3">
      <c r="A311" s="53">
        <f t="shared" si="31"/>
        <v>0.24166666666665271</v>
      </c>
      <c r="B311" s="13" t="s">
        <v>4</v>
      </c>
      <c r="C311" s="86">
        <f t="shared" si="32"/>
        <v>43196</v>
      </c>
      <c r="D311" s="86" t="s">
        <v>28</v>
      </c>
      <c r="E311" s="15"/>
      <c r="F311" s="15"/>
      <c r="G311" s="16"/>
      <c r="H311" s="17"/>
      <c r="I311" s="136" t="str">
        <f>IF(J311&lt;0,-J311,"")</f>
        <v/>
      </c>
      <c r="J311" s="154">
        <f t="shared" si="33"/>
        <v>0</v>
      </c>
      <c r="K311" s="36"/>
      <c r="L311" s="36"/>
      <c r="M311" s="18"/>
      <c r="N311" s="7"/>
      <c r="O311" s="143" t="str">
        <f t="shared" si="34"/>
        <v/>
      </c>
      <c r="P311" s="137">
        <f>A311-A306</f>
        <v>0</v>
      </c>
      <c r="Q311" s="123">
        <f>(SUM(E$2:E$21)+SUM(E$25:E$154)+SUM(E$156:E311))/(COUNTA(E$2:E311)-4)</f>
        <v>0.37873048668503206</v>
      </c>
      <c r="R311" s="46">
        <f>(SUM(H$2:H311)*E$1+A311)/SUM(H$2:H311)</f>
        <v>0.34684027777777776</v>
      </c>
      <c r="S311" s="41">
        <f>IF(COUNTA(M307:M311)=0,0,SUM(M307:M311)/COUNTA(M307:M311))</f>
        <v>0</v>
      </c>
    </row>
    <row r="312" spans="1:19" hidden="1" x14ac:dyDescent="0.3">
      <c r="A312" s="51">
        <f t="shared" si="31"/>
        <v>0.24166666666665271</v>
      </c>
      <c r="B312" s="2" t="s">
        <v>0</v>
      </c>
      <c r="C312" s="84">
        <f t="shared" si="32"/>
        <v>43199</v>
      </c>
      <c r="D312" s="84" t="s">
        <v>31</v>
      </c>
      <c r="E312" s="10"/>
      <c r="F312" s="10"/>
      <c r="G312" s="11"/>
      <c r="H312" s="45"/>
      <c r="I312" s="134"/>
      <c r="J312" s="153">
        <f t="shared" si="33"/>
        <v>0</v>
      </c>
      <c r="K312" s="34"/>
      <c r="L312" s="34">
        <v>85</v>
      </c>
      <c r="M312" s="6"/>
      <c r="N312" s="7"/>
      <c r="O312" s="143" t="str">
        <f t="shared" si="34"/>
        <v/>
      </c>
      <c r="P312" s="45"/>
      <c r="Q312" s="123">
        <f>(SUM(E$2:E$21)+SUM(E$25:E$154)+SUM(E$156:E311))/(COUNTA(E$2:E311)-4)</f>
        <v>0.37873048668503206</v>
      </c>
      <c r="R312" s="46">
        <f>(SUM(H$2:H311)*E$1+A312)/SUM(H$2:H311)</f>
        <v>0.34684027777777776</v>
      </c>
      <c r="S312" s="61"/>
    </row>
    <row r="313" spans="1:19" hidden="1" x14ac:dyDescent="0.3">
      <c r="A313" s="52">
        <f t="shared" si="31"/>
        <v>0.2604166666666527</v>
      </c>
      <c r="B313" s="8" t="s">
        <v>1</v>
      </c>
      <c r="C313" s="121">
        <f t="shared" si="32"/>
        <v>43200</v>
      </c>
      <c r="D313" s="121" t="s">
        <v>32</v>
      </c>
      <c r="E313" s="10">
        <v>0.37847222222222227</v>
      </c>
      <c r="F313" s="10">
        <v>0.75694444444444453</v>
      </c>
      <c r="G313" s="11">
        <v>0</v>
      </c>
      <c r="H313" s="45">
        <v>1</v>
      </c>
      <c r="I313" s="135" t="str">
        <f t="shared" ref="I313:I330" si="37">IF(J313&lt;0,-J313,"")</f>
        <v/>
      </c>
      <c r="J313" s="153">
        <f t="shared" si="33"/>
        <v>1.8749999999999989E-2</v>
      </c>
      <c r="K313" s="35">
        <v>82</v>
      </c>
      <c r="L313" s="35">
        <v>76</v>
      </c>
      <c r="M313" s="12">
        <v>0.25</v>
      </c>
      <c r="N313" s="7"/>
      <c r="O313" s="143" t="str">
        <f t="shared" si="34"/>
        <v/>
      </c>
      <c r="P313" s="45"/>
      <c r="Q313" s="123">
        <f>(SUM(E$2:E$21)+SUM(E$25:E$154)+SUM(E$156:E313))/(COUNTA(E$2:E313)-4)</f>
        <v>0.37872942386831265</v>
      </c>
      <c r="R313" s="46">
        <f>(SUM(H$2:H313)*E$1+A313)/SUM(H$2:H313)</f>
        <v>0.34691390041493775</v>
      </c>
      <c r="S313" s="62"/>
    </row>
    <row r="314" spans="1:19" hidden="1" x14ac:dyDescent="0.3">
      <c r="A314" s="52">
        <f t="shared" si="31"/>
        <v>0.26180555555554152</v>
      </c>
      <c r="B314" s="8" t="s">
        <v>2</v>
      </c>
      <c r="C314" s="121">
        <f t="shared" si="32"/>
        <v>43201</v>
      </c>
      <c r="D314" s="121" t="s">
        <v>276</v>
      </c>
      <c r="E314" s="10">
        <v>0.375</v>
      </c>
      <c r="F314" s="10">
        <v>0.75</v>
      </c>
      <c r="G314" s="11">
        <v>2</v>
      </c>
      <c r="H314" s="45">
        <v>1</v>
      </c>
      <c r="I314" s="135" t="str">
        <f t="shared" si="37"/>
        <v/>
      </c>
      <c r="J314" s="153">
        <f t="shared" si="33"/>
        <v>1.3888888888888284E-3</v>
      </c>
      <c r="K314" s="35">
        <v>76</v>
      </c>
      <c r="L314" s="35">
        <v>70</v>
      </c>
      <c r="M314" s="12">
        <v>0.29166666666666669</v>
      </c>
      <c r="N314" s="7"/>
      <c r="O314" s="143" t="str">
        <f t="shared" si="34"/>
        <v/>
      </c>
      <c r="P314" s="45"/>
      <c r="Q314" s="123">
        <f>(SUM(E$2:E$21)+SUM(E$25:E$154)+SUM(E$156:E314))/(COUNTA(E$2:E314)-4)</f>
        <v>0.37871413934426218</v>
      </c>
      <c r="R314" s="46">
        <f>(SUM(H$2:H314)*E$1+A314)/SUM(H$2:H314)</f>
        <v>0.34691517447199266</v>
      </c>
      <c r="S314" s="62"/>
    </row>
    <row r="315" spans="1:19" hidden="1" x14ac:dyDescent="0.3">
      <c r="A315" s="52">
        <f t="shared" si="31"/>
        <v>0.19027777777776367</v>
      </c>
      <c r="B315" s="8" t="s">
        <v>3</v>
      </c>
      <c r="C315" s="121">
        <f t="shared" si="32"/>
        <v>43202</v>
      </c>
      <c r="D315" s="121" t="s">
        <v>277</v>
      </c>
      <c r="E315" s="10">
        <v>0.36458333333333331</v>
      </c>
      <c r="F315" s="10">
        <v>0.76388888888888884</v>
      </c>
      <c r="G315" s="11">
        <v>9</v>
      </c>
      <c r="H315" s="45">
        <v>1</v>
      </c>
      <c r="I315" s="135">
        <f t="shared" si="37"/>
        <v>7.1527777777777857E-2</v>
      </c>
      <c r="J315" s="153">
        <f t="shared" si="33"/>
        <v>-7.1527777777777857E-2</v>
      </c>
      <c r="K315" s="35">
        <v>62</v>
      </c>
      <c r="L315" s="35">
        <v>62</v>
      </c>
      <c r="M315" s="12">
        <v>8.3333333333333329E-2</v>
      </c>
      <c r="N315" s="7"/>
      <c r="O315" s="143" t="str">
        <f t="shared" si="34"/>
        <v/>
      </c>
      <c r="P315" s="45"/>
      <c r="Q315" s="123">
        <f>(SUM(E$2:E$21)+SUM(E$25:E$154)+SUM(E$156:E315))/(COUNTA(E$2:E315)-4)</f>
        <v>0.37865646258503394</v>
      </c>
      <c r="R315" s="46">
        <f>(SUM(H$2:H315)*E$1+A315)/SUM(H$2:H315)</f>
        <v>0.34661636945587559</v>
      </c>
      <c r="S315" s="62"/>
    </row>
    <row r="316" spans="1:19" hidden="1" x14ac:dyDescent="0.3">
      <c r="A316" s="53">
        <f t="shared" si="31"/>
        <v>0.19861111111109697</v>
      </c>
      <c r="B316" s="13" t="s">
        <v>4</v>
      </c>
      <c r="C316" s="117">
        <f t="shared" si="32"/>
        <v>43203</v>
      </c>
      <c r="D316" s="117" t="s">
        <v>33</v>
      </c>
      <c r="E316" s="15">
        <v>0.38194444444444442</v>
      </c>
      <c r="F316" s="15">
        <v>0.75</v>
      </c>
      <c r="G316" s="16">
        <v>0</v>
      </c>
      <c r="H316" s="17">
        <v>1</v>
      </c>
      <c r="I316" s="136" t="str">
        <f>IF(J316&lt;0,-J316,"")</f>
        <v/>
      </c>
      <c r="J316" s="154">
        <f t="shared" si="33"/>
        <v>8.3333333333333037E-3</v>
      </c>
      <c r="K316" s="36">
        <v>61</v>
      </c>
      <c r="L316" s="36">
        <v>61</v>
      </c>
      <c r="M316" s="18">
        <v>0.29166666666666669</v>
      </c>
      <c r="N316" s="7"/>
      <c r="O316" s="143">
        <f t="shared" si="34"/>
        <v>4.3055555555555736E-2</v>
      </c>
      <c r="P316" s="137">
        <f>A316-A311</f>
        <v>-4.3055555555555736E-2</v>
      </c>
      <c r="Q316" s="123">
        <f>(SUM(E$2:E$21)+SUM(E$25:E$154)+SUM(E$156:E316))/(COUNTA(E$2:E316)-4)</f>
        <v>0.37866982836495022</v>
      </c>
      <c r="R316" s="46">
        <f>(SUM(H$2:H316)*E$1+A316)/SUM(H$2:H316)</f>
        <v>0.3466473132969034</v>
      </c>
      <c r="S316" s="41">
        <f>IF(COUNTA(M312:M316)=0,0,SUM(M312:M316)/COUNTA(M312:M316))</f>
        <v>0.22916666666666669</v>
      </c>
    </row>
    <row r="317" spans="1:19" hidden="1" x14ac:dyDescent="0.3">
      <c r="A317" s="170">
        <f t="shared" si="31"/>
        <v>0.19652777777776359</v>
      </c>
      <c r="B317" s="2" t="s">
        <v>0</v>
      </c>
      <c r="C317" s="120">
        <f t="shared" si="32"/>
        <v>43206</v>
      </c>
      <c r="D317" s="120" t="s">
        <v>36</v>
      </c>
      <c r="E317" s="4">
        <v>0.36805555555555558</v>
      </c>
      <c r="F317" s="4">
        <v>0.76736111111111116</v>
      </c>
      <c r="G317" s="5">
        <v>4</v>
      </c>
      <c r="H317" s="2">
        <v>1</v>
      </c>
      <c r="I317" s="134">
        <f t="shared" si="37"/>
        <v>2.0833333333333814E-3</v>
      </c>
      <c r="J317" s="152">
        <f t="shared" si="33"/>
        <v>-2.0833333333333814E-3</v>
      </c>
      <c r="K317" s="34">
        <v>76</v>
      </c>
      <c r="L317" s="34">
        <v>68</v>
      </c>
      <c r="M317" s="6">
        <v>0.22916666666666666</v>
      </c>
      <c r="N317" s="7"/>
      <c r="O317" s="143" t="str">
        <f t="shared" si="34"/>
        <v/>
      </c>
      <c r="P317" s="45"/>
      <c r="Q317" s="123">
        <f>(SUM(E$2:E$21)+SUM(E$25:E$154)+SUM(E$156:E317))/(COUNTA(E$2:E317)-4)</f>
        <v>0.37862685560053971</v>
      </c>
      <c r="R317" s="46">
        <f>(SUM(H$2:H317)*E$1+A317)/SUM(H$2:H317)</f>
        <v>0.34663548752834461</v>
      </c>
      <c r="S317" s="61"/>
    </row>
    <row r="318" spans="1:19" hidden="1" x14ac:dyDescent="0.3">
      <c r="A318" s="171">
        <f t="shared" si="31"/>
        <v>0.1770833333333191</v>
      </c>
      <c r="B318" s="8" t="s">
        <v>1</v>
      </c>
      <c r="C318" s="121">
        <f t="shared" si="32"/>
        <v>43207</v>
      </c>
      <c r="D318" s="121" t="s">
        <v>37</v>
      </c>
      <c r="E318" s="10">
        <v>0.39930555555555558</v>
      </c>
      <c r="F318" s="10">
        <v>0.76736111111111116</v>
      </c>
      <c r="G318" s="11">
        <v>3</v>
      </c>
      <c r="H318" s="45">
        <v>1</v>
      </c>
      <c r="I318" s="135">
        <f t="shared" si="37"/>
        <v>1.9444444444444486E-2</v>
      </c>
      <c r="J318" s="153">
        <f t="shared" si="33"/>
        <v>-1.9444444444444486E-2</v>
      </c>
      <c r="K318" s="35">
        <v>65</v>
      </c>
      <c r="L318" s="35">
        <v>54</v>
      </c>
      <c r="M318" s="12">
        <v>0.20833333333333334</v>
      </c>
      <c r="N318" s="7"/>
      <c r="O318" s="143" t="str">
        <f t="shared" si="34"/>
        <v/>
      </c>
      <c r="P318" s="45"/>
      <c r="Q318" s="123">
        <f>(SUM(E$2:E$21)+SUM(E$25:E$154)+SUM(E$156:E318))/(COUNTA(E$2:E318)-4)</f>
        <v>0.37871023745519705</v>
      </c>
      <c r="R318" s="46">
        <f>(SUM(H$2:H318)*E$1+A318)/SUM(H$2:H318)</f>
        <v>0.34655318428184279</v>
      </c>
      <c r="S318" s="62"/>
    </row>
    <row r="319" spans="1:19" hidden="1" x14ac:dyDescent="0.3">
      <c r="A319" s="171">
        <f t="shared" ref="A319:A382" si="38">A318+J319</f>
        <v>0.16111111111109677</v>
      </c>
      <c r="B319" s="8" t="s">
        <v>2</v>
      </c>
      <c r="C319" s="121">
        <f t="shared" si="32"/>
        <v>43208</v>
      </c>
      <c r="D319" s="121" t="s">
        <v>278</v>
      </c>
      <c r="E319" s="10">
        <v>0.38541666666666669</v>
      </c>
      <c r="F319" s="10">
        <v>0.72916666666666663</v>
      </c>
      <c r="G319" s="11">
        <v>0</v>
      </c>
      <c r="H319" s="45">
        <v>1</v>
      </c>
      <c r="I319" s="135">
        <f t="shared" si="37"/>
        <v>1.5972222222222332E-2</v>
      </c>
      <c r="J319" s="153">
        <f t="shared" si="33"/>
        <v>-1.5972222222222332E-2</v>
      </c>
      <c r="K319" s="35">
        <v>58</v>
      </c>
      <c r="L319" s="35">
        <v>64</v>
      </c>
      <c r="M319" s="12">
        <v>0.25</v>
      </c>
      <c r="N319" s="7"/>
      <c r="O319" s="143" t="str">
        <f t="shared" si="34"/>
        <v/>
      </c>
      <c r="P319" s="45"/>
      <c r="Q319" s="123">
        <f>(SUM(E$2:E$21)+SUM(E$25:E$154)+SUM(E$156:E319))/(COUNTA(E$2:E319)-4)</f>
        <v>0.37873717090584558</v>
      </c>
      <c r="R319" s="46">
        <f>(SUM(H$2:H319)*E$1+A319)/SUM(H$2:H319)</f>
        <v>0.34648560503823661</v>
      </c>
      <c r="S319" s="62"/>
    </row>
    <row r="320" spans="1:19" hidden="1" x14ac:dyDescent="0.3">
      <c r="A320" s="171">
        <f t="shared" si="38"/>
        <v>0.18680555555554113</v>
      </c>
      <c r="B320" s="8" t="s">
        <v>3</v>
      </c>
      <c r="C320" s="121">
        <f t="shared" si="32"/>
        <v>43209</v>
      </c>
      <c r="D320" s="121" t="s">
        <v>279</v>
      </c>
      <c r="E320" s="10">
        <v>0.375</v>
      </c>
      <c r="F320" s="10">
        <v>0.76041666666666663</v>
      </c>
      <c r="G320" s="11">
        <v>1</v>
      </c>
      <c r="H320" s="45">
        <v>1</v>
      </c>
      <c r="I320" s="135" t="str">
        <f t="shared" si="37"/>
        <v/>
      </c>
      <c r="J320" s="153">
        <f t="shared" si="33"/>
        <v>2.5694444444444353E-2</v>
      </c>
      <c r="K320" s="35"/>
      <c r="L320" s="35">
        <v>64</v>
      </c>
      <c r="M320" s="12">
        <v>0.25</v>
      </c>
      <c r="N320" s="7"/>
      <c r="O320" s="143" t="str">
        <f t="shared" si="34"/>
        <v/>
      </c>
      <c r="P320" s="45"/>
      <c r="Q320" s="123">
        <f>(SUM(E$2:E$21)+SUM(E$25:E$154)+SUM(E$156:E320))/(COUNTA(E$2:E320)-4)</f>
        <v>0.37872222222222218</v>
      </c>
      <c r="R320" s="46">
        <f>(SUM(H$2:H320)*E$1+A320)/SUM(H$2:H320)</f>
        <v>0.34658658154121863</v>
      </c>
      <c r="S320" s="62"/>
    </row>
    <row r="321" spans="1:19" hidden="1" x14ac:dyDescent="0.3">
      <c r="A321" s="172">
        <f t="shared" si="38"/>
        <v>0.18124999999998542</v>
      </c>
      <c r="B321" s="13" t="s">
        <v>4</v>
      </c>
      <c r="C321" s="117">
        <f t="shared" si="32"/>
        <v>43210</v>
      </c>
      <c r="D321" s="117" t="s">
        <v>38</v>
      </c>
      <c r="E321" s="15">
        <v>0.37847222222222227</v>
      </c>
      <c r="F321" s="15">
        <v>0.73263888888888884</v>
      </c>
      <c r="G321" s="16">
        <v>1</v>
      </c>
      <c r="H321" s="17">
        <v>1</v>
      </c>
      <c r="I321" s="136">
        <f>IF(J321&lt;0,-J321,"")</f>
        <v>5.5555555555557024E-3</v>
      </c>
      <c r="J321" s="154">
        <f t="shared" si="33"/>
        <v>-5.5555555555557024E-3</v>
      </c>
      <c r="K321" s="36">
        <v>65</v>
      </c>
      <c r="L321" s="36">
        <v>55</v>
      </c>
      <c r="M321" s="18">
        <v>0.16666666666666666</v>
      </c>
      <c r="N321" s="7"/>
      <c r="O321" s="143">
        <f t="shared" si="34"/>
        <v>1.7361111111111549E-2</v>
      </c>
      <c r="P321" s="137">
        <f>A321-A316</f>
        <v>-1.7361111111111549E-2</v>
      </c>
      <c r="Q321" s="123">
        <f>(SUM(E$2:E$21)+SUM(E$25:E$154)+SUM(E$156:E321))/(COUNTA(E$2:E321)-4)</f>
        <v>0.3787212262062859</v>
      </c>
      <c r="R321" s="46">
        <f>(SUM(H$2:H321)*E$1+A321)/SUM(H$2:H321)</f>
        <v>0.34656124497991969</v>
      </c>
      <c r="S321" s="41">
        <f>IF(COUNTA(M317:M321)=0,0,SUM(M317:M321)/COUNTA(M317:M321))</f>
        <v>0.22083333333333335</v>
      </c>
    </row>
    <row r="322" spans="1:19" hidden="1" x14ac:dyDescent="0.3">
      <c r="A322" s="170">
        <f t="shared" si="38"/>
        <v>0.22083333333331873</v>
      </c>
      <c r="B322" s="2" t="s">
        <v>0</v>
      </c>
      <c r="C322" s="120">
        <f t="shared" si="32"/>
        <v>43213</v>
      </c>
      <c r="D322" s="120" t="s">
        <v>41</v>
      </c>
      <c r="E322" s="4">
        <v>0.37152777777777773</v>
      </c>
      <c r="F322" s="4">
        <v>0.78472222222222221</v>
      </c>
      <c r="G322" s="5">
        <v>2</v>
      </c>
      <c r="H322" s="2">
        <v>1</v>
      </c>
      <c r="I322" s="134" t="str">
        <f t="shared" si="37"/>
        <v/>
      </c>
      <c r="J322" s="152">
        <f t="shared" si="33"/>
        <v>3.9583333333333304E-2</v>
      </c>
      <c r="K322" s="34">
        <v>79</v>
      </c>
      <c r="L322" s="34">
        <v>65</v>
      </c>
      <c r="M322" s="6">
        <v>0.1875</v>
      </c>
      <c r="N322" s="7"/>
      <c r="O322" s="143" t="str">
        <f t="shared" si="34"/>
        <v/>
      </c>
      <c r="P322" s="45"/>
      <c r="Q322" s="123">
        <f>(SUM(E$2:E$21)+SUM(E$25:E$154)+SUM(E$156:E322))/(COUNTA(E$2:E322)-4)</f>
        <v>0.37869268077601403</v>
      </c>
      <c r="R322" s="46">
        <f>(SUM(H$2:H322)*E$1+A322)/SUM(H$2:H322)</f>
        <v>0.34671666666666662</v>
      </c>
      <c r="S322" s="61"/>
    </row>
    <row r="323" spans="1:19" hidden="1" x14ac:dyDescent="0.3">
      <c r="A323" s="171">
        <f t="shared" si="38"/>
        <v>0.2638888888888743</v>
      </c>
      <c r="B323" s="8" t="s">
        <v>1</v>
      </c>
      <c r="C323" s="121">
        <f t="shared" si="32"/>
        <v>43214</v>
      </c>
      <c r="D323" s="121" t="s">
        <v>42</v>
      </c>
      <c r="E323" s="10">
        <v>0.36458333333333331</v>
      </c>
      <c r="F323" s="10">
        <v>0.76736111111111116</v>
      </c>
      <c r="G323" s="11">
        <v>1</v>
      </c>
      <c r="H323" s="45">
        <v>1</v>
      </c>
      <c r="I323" s="135" t="str">
        <f t="shared" si="37"/>
        <v/>
      </c>
      <c r="J323" s="153">
        <f t="shared" si="33"/>
        <v>4.3055555555555569E-2</v>
      </c>
      <c r="K323" s="35">
        <v>62</v>
      </c>
      <c r="L323" s="35">
        <v>56</v>
      </c>
      <c r="M323" s="12">
        <v>0.25</v>
      </c>
      <c r="N323" s="7"/>
      <c r="O323" s="143" t="str">
        <f t="shared" si="34"/>
        <v/>
      </c>
      <c r="P323" s="45"/>
      <c r="Q323" s="123">
        <f>(SUM(E$2:E$21)+SUM(E$25:E$154)+SUM(E$156:E323))/(COUNTA(E$2:E323)-4)</f>
        <v>0.37863691260430382</v>
      </c>
      <c r="R323" s="46">
        <f>(SUM(H$2:H323)*E$1+A323)/SUM(H$2:H323)</f>
        <v>0.34688468348826912</v>
      </c>
      <c r="S323" s="62"/>
    </row>
    <row r="324" spans="1:19" hidden="1" x14ac:dyDescent="0.3">
      <c r="A324" s="171">
        <f t="shared" si="38"/>
        <v>0.28263888888887423</v>
      </c>
      <c r="B324" s="8" t="s">
        <v>2</v>
      </c>
      <c r="C324" s="121">
        <f t="shared" si="32"/>
        <v>43215</v>
      </c>
      <c r="D324" s="121" t="s">
        <v>280</v>
      </c>
      <c r="E324" s="10">
        <v>0.375</v>
      </c>
      <c r="F324" s="10">
        <v>0.75347222222222221</v>
      </c>
      <c r="G324" s="11">
        <v>0</v>
      </c>
      <c r="H324" s="45">
        <v>1</v>
      </c>
      <c r="I324" s="135" t="str">
        <f t="shared" si="37"/>
        <v/>
      </c>
      <c r="J324" s="153">
        <f t="shared" si="33"/>
        <v>1.8749999999999933E-2</v>
      </c>
      <c r="K324" s="35">
        <v>60</v>
      </c>
      <c r="L324" s="35">
        <v>60</v>
      </c>
      <c r="M324" s="12">
        <v>0.20833333333333334</v>
      </c>
      <c r="N324" s="7"/>
      <c r="O324" s="143" t="str">
        <f t="shared" si="34"/>
        <v/>
      </c>
      <c r="P324" s="45"/>
      <c r="Q324" s="123">
        <f>(SUM(E$2:E$21)+SUM(E$25:E$154)+SUM(E$156:E324))/(COUNTA(E$2:E324)-4)</f>
        <v>0.37862259405074361</v>
      </c>
      <c r="R324" s="46">
        <f>(SUM(H$2:H324)*E$1+A324)/SUM(H$2:H324)</f>
        <v>0.34695491622574948</v>
      </c>
      <c r="S324" s="62"/>
    </row>
    <row r="325" spans="1:19" hidden="1" x14ac:dyDescent="0.3">
      <c r="A325" s="171">
        <f t="shared" si="38"/>
        <v>0.25972222222220748</v>
      </c>
      <c r="B325" s="8" t="s">
        <v>3</v>
      </c>
      <c r="C325" s="121">
        <f t="shared" si="32"/>
        <v>43216</v>
      </c>
      <c r="D325" s="121" t="s">
        <v>281</v>
      </c>
      <c r="E325" s="10">
        <v>0.38194444444444442</v>
      </c>
      <c r="F325" s="10">
        <v>0.77430555555555547</v>
      </c>
      <c r="G325" s="11">
        <v>5</v>
      </c>
      <c r="H325" s="45">
        <v>1</v>
      </c>
      <c r="I325" s="135">
        <f t="shared" si="37"/>
        <v>2.2916666666666752E-2</v>
      </c>
      <c r="J325" s="153">
        <f t="shared" si="33"/>
        <v>-2.2916666666666752E-2</v>
      </c>
      <c r="K325" s="35">
        <v>60</v>
      </c>
      <c r="L325" s="35">
        <v>54</v>
      </c>
      <c r="M325" s="12">
        <v>0.29166666666666669</v>
      </c>
      <c r="N325" s="7"/>
      <c r="O325" s="143" t="str">
        <f t="shared" si="34"/>
        <v/>
      </c>
      <c r="P325" s="45"/>
      <c r="Q325" s="123">
        <f>(SUM(E$2:E$21)+SUM(E$25:E$154)+SUM(E$156:E325))/(COUNTA(E$2:E325)-4)</f>
        <v>0.37863562091503261</v>
      </c>
      <c r="R325" s="46">
        <f>(SUM(H$2:H325)*E$1+A325)/SUM(H$2:H325)</f>
        <v>0.34685990338164252</v>
      </c>
      <c r="S325" s="62"/>
    </row>
    <row r="326" spans="1:19" hidden="1" x14ac:dyDescent="0.3">
      <c r="A326" s="172">
        <f t="shared" si="38"/>
        <v>0.28194444444442968</v>
      </c>
      <c r="B326" s="13" t="s">
        <v>4</v>
      </c>
      <c r="C326" s="117">
        <f t="shared" si="32"/>
        <v>43217</v>
      </c>
      <c r="D326" s="117" t="s">
        <v>43</v>
      </c>
      <c r="E326" s="15">
        <v>0.36458333333333331</v>
      </c>
      <c r="F326" s="15">
        <v>0.74652777777777779</v>
      </c>
      <c r="G326" s="16">
        <v>0</v>
      </c>
      <c r="H326" s="17">
        <v>1</v>
      </c>
      <c r="I326" s="136" t="str">
        <f>IF(J326&lt;0,-J326,"")</f>
        <v/>
      </c>
      <c r="J326" s="154">
        <f t="shared" si="33"/>
        <v>2.2222222222222199E-2</v>
      </c>
      <c r="K326" s="36">
        <v>54</v>
      </c>
      <c r="L326" s="36">
        <v>50</v>
      </c>
      <c r="M326" s="18">
        <v>0.125</v>
      </c>
      <c r="N326" s="7"/>
      <c r="O326" s="143" t="str">
        <f t="shared" si="34"/>
        <v/>
      </c>
      <c r="P326" s="137">
        <f>A326-A321</f>
        <v>0.10069444444444425</v>
      </c>
      <c r="Q326" s="123">
        <f>(SUM(E$2:E$21)+SUM(E$25:E$154)+SUM(E$156:E326))/(COUNTA(E$2:E326)-4)</f>
        <v>0.37858072916666663</v>
      </c>
      <c r="R326" s="46">
        <f>(SUM(H$2:H326)*E$1+A326)/SUM(H$2:H326)</f>
        <v>0.34694335083114614</v>
      </c>
      <c r="S326" s="41">
        <f>IF(COUNTA(M322:M326)=0,0,SUM(M322:M326)/COUNTA(M322:M326))</f>
        <v>0.21249999999999999</v>
      </c>
    </row>
    <row r="327" spans="1:19" hidden="1" x14ac:dyDescent="0.3">
      <c r="A327" s="170">
        <f t="shared" si="38"/>
        <v>0.30416666666665176</v>
      </c>
      <c r="B327" s="2" t="s">
        <v>0</v>
      </c>
      <c r="C327" s="120">
        <f t="shared" si="32"/>
        <v>43220</v>
      </c>
      <c r="D327" s="120" t="s">
        <v>46</v>
      </c>
      <c r="E327" s="4">
        <v>0.3611111111111111</v>
      </c>
      <c r="F327" s="4">
        <v>0.74305555555555547</v>
      </c>
      <c r="G327" s="5">
        <v>1</v>
      </c>
      <c r="H327" s="2">
        <v>1</v>
      </c>
      <c r="I327" s="134" t="str">
        <f t="shared" si="37"/>
        <v/>
      </c>
      <c r="J327" s="152">
        <f t="shared" si="33"/>
        <v>2.2222222222222088E-2</v>
      </c>
      <c r="K327" s="34">
        <v>69</v>
      </c>
      <c r="L327" s="34"/>
      <c r="M327" s="6">
        <v>0.125</v>
      </c>
      <c r="N327" s="7">
        <f>SUM(H307:H327)</f>
        <v>15</v>
      </c>
      <c r="O327" s="143" t="str">
        <f t="shared" si="34"/>
        <v/>
      </c>
      <c r="P327" s="45"/>
      <c r="Q327" s="123">
        <f>(SUM(E$2:E$21)+SUM(E$25:E$154)+SUM(E$156:E327))/(COUNTA(E$2:E327)-4)</f>
        <v>0.37851275399913531</v>
      </c>
      <c r="R327" s="46">
        <f>(SUM(H$2:H327)*E$1+A327)/SUM(H$2:H327)</f>
        <v>0.34702614379084967</v>
      </c>
      <c r="S327" s="61"/>
    </row>
    <row r="328" spans="1:19" hidden="1" x14ac:dyDescent="0.3">
      <c r="A328" s="171">
        <f t="shared" si="38"/>
        <v>0.30416666666665176</v>
      </c>
      <c r="B328" s="8" t="s">
        <v>1</v>
      </c>
      <c r="C328" s="74">
        <f t="shared" ref="C328:C391" si="39">C323+7</f>
        <v>43221</v>
      </c>
      <c r="D328" s="74" t="s">
        <v>47</v>
      </c>
      <c r="E328" s="10"/>
      <c r="F328" s="10"/>
      <c r="G328" s="11"/>
      <c r="H328" s="45"/>
      <c r="I328" s="135" t="str">
        <f t="shared" si="37"/>
        <v/>
      </c>
      <c r="J328" s="153">
        <f t="shared" ref="J328:J391" si="40">IF(H328=1,F328-E328-MAX(G328,1)*$F$1-$E$1,F328-E328-$E$1*H328)</f>
        <v>0</v>
      </c>
      <c r="K328" s="35">
        <v>63</v>
      </c>
      <c r="L328" s="35"/>
      <c r="M328" s="12">
        <v>0.29166666666666669</v>
      </c>
      <c r="N328" s="7"/>
      <c r="O328" s="143" t="str">
        <f t="shared" si="34"/>
        <v/>
      </c>
      <c r="P328" s="45"/>
      <c r="Q328" s="123">
        <f>(SUM(E$2:E$21)+SUM(E$25:E$154)+SUM(E$156:E328))/(COUNTA(E$2:E328)-4)</f>
        <v>0.37851275399913531</v>
      </c>
      <c r="R328" s="46">
        <f>(SUM(H$2:H328)*E$1+A328)/SUM(H$2:H328)</f>
        <v>0.34702614379084967</v>
      </c>
      <c r="S328" s="62"/>
    </row>
    <row r="329" spans="1:19" hidden="1" x14ac:dyDescent="0.3">
      <c r="A329" s="171">
        <f t="shared" si="38"/>
        <v>0.31597222222220722</v>
      </c>
      <c r="B329" s="8" t="s">
        <v>2</v>
      </c>
      <c r="C329" s="121">
        <f t="shared" si="39"/>
        <v>43222</v>
      </c>
      <c r="D329" s="121" t="s">
        <v>282</v>
      </c>
      <c r="E329" s="10">
        <v>0.37152777777777773</v>
      </c>
      <c r="F329" s="10">
        <v>0.74305555555555547</v>
      </c>
      <c r="G329" s="11">
        <v>1</v>
      </c>
      <c r="H329" s="45">
        <v>1</v>
      </c>
      <c r="I329" s="135" t="str">
        <f t="shared" si="37"/>
        <v/>
      </c>
      <c r="J329" s="153">
        <f t="shared" si="40"/>
        <v>1.1805555555555458E-2</v>
      </c>
      <c r="K329" s="35"/>
      <c r="L329" s="35"/>
      <c r="M329" s="12">
        <v>0.25</v>
      </c>
      <c r="N329" s="7"/>
      <c r="O329" s="143" t="str">
        <f t="shared" si="34"/>
        <v/>
      </c>
      <c r="P329" s="45"/>
      <c r="Q329" s="123">
        <f>(SUM(E$2:E$21)+SUM(E$25:E$154)+SUM(E$156:E329))/(COUNTA(E$2:E329)-4)</f>
        <v>0.37848568044788972</v>
      </c>
      <c r="R329" s="46">
        <f>(SUM(H$2:H329)*E$1+A329)/SUM(H$2:H329)</f>
        <v>0.34706759982638891</v>
      </c>
      <c r="S329" s="62"/>
    </row>
    <row r="330" spans="1:19" hidden="1" x14ac:dyDescent="0.3">
      <c r="A330" s="171">
        <f t="shared" si="38"/>
        <v>0.29305555555554047</v>
      </c>
      <c r="B330" s="8" t="s">
        <v>3</v>
      </c>
      <c r="C330" s="121">
        <f t="shared" si="39"/>
        <v>43223</v>
      </c>
      <c r="D330" s="121" t="s">
        <v>283</v>
      </c>
      <c r="E330" s="10">
        <v>0.38541666666666669</v>
      </c>
      <c r="F330" s="10">
        <v>0.76388888888888884</v>
      </c>
      <c r="G330" s="11">
        <v>4</v>
      </c>
      <c r="H330" s="45">
        <v>1</v>
      </c>
      <c r="I330" s="135">
        <f t="shared" si="37"/>
        <v>2.2916666666666752E-2</v>
      </c>
      <c r="J330" s="153">
        <f t="shared" si="40"/>
        <v>-2.2916666666666752E-2</v>
      </c>
      <c r="K330" s="35"/>
      <c r="L330" s="35">
        <v>60</v>
      </c>
      <c r="M330" s="12">
        <v>8.3333333333333329E-2</v>
      </c>
      <c r="N330" s="7"/>
      <c r="O330" s="143" t="str">
        <f t="shared" si="34"/>
        <v/>
      </c>
      <c r="P330" s="45"/>
      <c r="Q330" s="123">
        <f>(SUM(E$2:E$21)+SUM(E$25:E$154)+SUM(E$156:E330))/(COUNTA(E$2:E330)-4)</f>
        <v>0.37851244101244091</v>
      </c>
      <c r="R330" s="46">
        <f>(SUM(H$2:H330)*E$1+A330)/SUM(H$2:H330)</f>
        <v>0.34697362732382186</v>
      </c>
      <c r="S330" s="62"/>
    </row>
    <row r="331" spans="1:19" hidden="1" x14ac:dyDescent="0.3">
      <c r="A331" s="172">
        <f t="shared" si="38"/>
        <v>0.31527777777776272</v>
      </c>
      <c r="B331" s="13" t="s">
        <v>4</v>
      </c>
      <c r="C331" s="117">
        <f t="shared" si="39"/>
        <v>43224</v>
      </c>
      <c r="D331" s="117" t="s">
        <v>48</v>
      </c>
      <c r="E331" s="15">
        <v>0.375</v>
      </c>
      <c r="F331" s="15">
        <v>0.75694444444444453</v>
      </c>
      <c r="G331" s="16">
        <v>0</v>
      </c>
      <c r="H331" s="17">
        <v>1</v>
      </c>
      <c r="I331" s="136" t="str">
        <f>IF(J331&lt;0,-J331,"")</f>
        <v/>
      </c>
      <c r="J331" s="154">
        <f t="shared" si="40"/>
        <v>2.2222222222222254E-2</v>
      </c>
      <c r="K331" s="36"/>
      <c r="L331" s="36"/>
      <c r="M331" s="18">
        <v>0.25</v>
      </c>
      <c r="N331" s="7"/>
      <c r="O331" s="143" t="str">
        <f t="shared" si="34"/>
        <v/>
      </c>
      <c r="P331" s="137">
        <f>A331-A326</f>
        <v>3.3333333333333048E-2</v>
      </c>
      <c r="Q331" s="123">
        <f>(SUM(E$2:E$21)+SUM(E$25:E$154)+SUM(E$156:E331))/(COUNTA(E$2:E331)-4)</f>
        <v>0.37849893162393156</v>
      </c>
      <c r="R331" s="46">
        <f>(SUM(H$2:H331)*E$1+A331)/SUM(H$2:H331)</f>
        <v>0.34705534022394485</v>
      </c>
      <c r="S331" s="41">
        <f>IF(COUNTA(M327:M331)=0,0,SUM(M327:M331)/COUNTA(M327:M331))</f>
        <v>0.2</v>
      </c>
    </row>
    <row r="332" spans="1:19" hidden="1" x14ac:dyDescent="0.3">
      <c r="A332" s="170">
        <f t="shared" si="38"/>
        <v>0.29236111111109597</v>
      </c>
      <c r="B332" s="2" t="s">
        <v>0</v>
      </c>
      <c r="C332" s="120">
        <f t="shared" si="39"/>
        <v>43227</v>
      </c>
      <c r="D332" s="120" t="s">
        <v>51</v>
      </c>
      <c r="E332" s="4">
        <v>0.39583333333333331</v>
      </c>
      <c r="F332" s="4">
        <v>0.76041666666666663</v>
      </c>
      <c r="G332" s="5">
        <v>3</v>
      </c>
      <c r="H332" s="2">
        <v>1</v>
      </c>
      <c r="I332" s="134">
        <f t="shared" ref="I332:I350" si="41">IF(J332&lt;0,-J332,"")</f>
        <v>2.2916666666666752E-2</v>
      </c>
      <c r="J332" s="152">
        <f t="shared" si="40"/>
        <v>-2.2916666666666752E-2</v>
      </c>
      <c r="K332" s="34">
        <v>63</v>
      </c>
      <c r="L332" s="34"/>
      <c r="M332" s="6">
        <v>0.29166666666666669</v>
      </c>
      <c r="N332" s="7"/>
      <c r="O332" s="143" t="str">
        <f t="shared" si="34"/>
        <v/>
      </c>
      <c r="P332" s="45"/>
      <c r="Q332" s="123">
        <f>(SUM(E$2:E$21)+SUM(E$25:E$154)+SUM(E$156:E332))/(COUNTA(E$2:E332)-4)</f>
        <v>0.37856534695615152</v>
      </c>
      <c r="R332" s="46">
        <f>(SUM(H$2:H332)*E$1+A332)/SUM(H$2:H332)</f>
        <v>0.34696214071214065</v>
      </c>
      <c r="S332" s="61"/>
    </row>
    <row r="333" spans="1:19" hidden="1" x14ac:dyDescent="0.3">
      <c r="A333" s="171">
        <f t="shared" si="38"/>
        <v>0.29236111111109597</v>
      </c>
      <c r="B333" s="8" t="s">
        <v>1</v>
      </c>
      <c r="C333" s="74">
        <f t="shared" si="39"/>
        <v>43228</v>
      </c>
      <c r="D333" s="74" t="s">
        <v>52</v>
      </c>
      <c r="E333" s="10"/>
      <c r="F333" s="10"/>
      <c r="G333" s="11"/>
      <c r="H333" s="45"/>
      <c r="I333" s="135" t="str">
        <f t="shared" si="41"/>
        <v/>
      </c>
      <c r="J333" s="153">
        <f t="shared" si="40"/>
        <v>0</v>
      </c>
      <c r="K333" s="35">
        <v>55</v>
      </c>
      <c r="L333" s="35">
        <v>55</v>
      </c>
      <c r="M333" s="12">
        <v>0.25</v>
      </c>
      <c r="N333" s="7"/>
      <c r="O333" s="143" t="str">
        <f t="shared" si="34"/>
        <v/>
      </c>
      <c r="P333" s="45"/>
      <c r="Q333" s="123">
        <f>(SUM(E$2:E$21)+SUM(E$25:E$154)+SUM(E$156:E333))/(COUNTA(E$2:E333)-4)</f>
        <v>0.37856534695615152</v>
      </c>
      <c r="R333" s="46">
        <f>(SUM(H$2:H333)*E$1+A333)/SUM(H$2:H333)</f>
        <v>0.34696214071214065</v>
      </c>
      <c r="S333" s="62"/>
    </row>
    <row r="334" spans="1:19" hidden="1" x14ac:dyDescent="0.3">
      <c r="A334" s="171">
        <f t="shared" si="38"/>
        <v>0.25555555555554038</v>
      </c>
      <c r="B334" s="8" t="s">
        <v>2</v>
      </c>
      <c r="C334" s="121">
        <f t="shared" si="39"/>
        <v>43229</v>
      </c>
      <c r="D334" s="121" t="s">
        <v>284</v>
      </c>
      <c r="E334" s="10">
        <v>0.37152777777777773</v>
      </c>
      <c r="F334" s="10">
        <v>0.76388888888888884</v>
      </c>
      <c r="G334" s="11">
        <v>6</v>
      </c>
      <c r="H334" s="45">
        <v>1</v>
      </c>
      <c r="I334" s="135">
        <f t="shared" si="41"/>
        <v>3.6805555555555591E-2</v>
      </c>
      <c r="J334" s="153">
        <f t="shared" si="40"/>
        <v>-3.6805555555555591E-2</v>
      </c>
      <c r="K334" s="35">
        <v>53</v>
      </c>
      <c r="L334" s="35"/>
      <c r="M334" s="12">
        <v>0.20833333333333334</v>
      </c>
      <c r="N334" s="7"/>
      <c r="O334" s="143" t="str">
        <f t="shared" si="34"/>
        <v/>
      </c>
      <c r="P334" s="45"/>
      <c r="Q334" s="123">
        <f>(SUM(E$2:E$21)+SUM(E$25:E$154)+SUM(E$156:E334))/(COUNTA(E$2:E334)-4)</f>
        <v>0.37853848600508899</v>
      </c>
      <c r="R334" s="46">
        <f>(SUM(H$2:H334)*E$1+A334)/SUM(H$2:H334)</f>
        <v>0.34681623931623934</v>
      </c>
      <c r="S334" s="62"/>
    </row>
    <row r="335" spans="1:19" hidden="1" x14ac:dyDescent="0.3">
      <c r="A335" s="171">
        <f t="shared" si="38"/>
        <v>0.25555555555554038</v>
      </c>
      <c r="B335" s="8" t="s">
        <v>3</v>
      </c>
      <c r="C335" s="74">
        <f t="shared" si="39"/>
        <v>43230</v>
      </c>
      <c r="D335" s="74" t="s">
        <v>285</v>
      </c>
      <c r="E335" s="10"/>
      <c r="F335" s="10"/>
      <c r="G335" s="11"/>
      <c r="H335" s="45"/>
      <c r="I335" s="135" t="str">
        <f t="shared" si="41"/>
        <v/>
      </c>
      <c r="J335" s="153">
        <f t="shared" si="40"/>
        <v>0</v>
      </c>
      <c r="K335" s="35"/>
      <c r="L335" s="35">
        <v>60</v>
      </c>
      <c r="M335" s="12">
        <v>0.25</v>
      </c>
      <c r="N335" s="7"/>
      <c r="O335" s="143" t="str">
        <f t="shared" ref="O335:O398" si="42">IF(P335&lt;0,-P335,"")</f>
        <v/>
      </c>
      <c r="P335" s="45"/>
      <c r="Q335" s="123">
        <f>(SUM(E$2:E$21)+SUM(E$25:E$154)+SUM(E$156:E335))/(COUNTA(E$2:E335)-4)</f>
        <v>0.37853848600508899</v>
      </c>
      <c r="R335" s="46">
        <f>(SUM(H$2:H335)*E$1+A335)/SUM(H$2:H335)</f>
        <v>0.34681623931623934</v>
      </c>
      <c r="S335" s="62"/>
    </row>
    <row r="336" spans="1:19" hidden="1" x14ac:dyDescent="0.3">
      <c r="A336" s="172">
        <f t="shared" si="38"/>
        <v>0.27083333333331822</v>
      </c>
      <c r="B336" s="13" t="s">
        <v>4</v>
      </c>
      <c r="C336" s="117">
        <f t="shared" si="39"/>
        <v>43231</v>
      </c>
      <c r="D336" s="117" t="s">
        <v>53</v>
      </c>
      <c r="E336" s="15">
        <v>0.38194444444444442</v>
      </c>
      <c r="F336" s="15">
        <v>0.75694444444444453</v>
      </c>
      <c r="G336" s="16">
        <v>1</v>
      </c>
      <c r="H336" s="17">
        <v>1</v>
      </c>
      <c r="I336" s="136" t="str">
        <f>IF(J336&lt;0,-J336,"")</f>
        <v/>
      </c>
      <c r="J336" s="154">
        <f t="shared" si="40"/>
        <v>1.5277777777777835E-2</v>
      </c>
      <c r="K336" s="36">
        <v>69</v>
      </c>
      <c r="L336" s="36">
        <v>58</v>
      </c>
      <c r="M336" s="18">
        <v>0.16666666666666666</v>
      </c>
      <c r="N336" s="7"/>
      <c r="O336" s="143">
        <f t="shared" si="42"/>
        <v>4.4444444444444509E-2</v>
      </c>
      <c r="P336" s="137">
        <f>A336-A331</f>
        <v>-4.4444444444444509E-2</v>
      </c>
      <c r="Q336" s="123">
        <f>(SUM(E$2:E$21)+SUM(E$25:E$154)+SUM(E$156:E336))/(COUNTA(E$2:E336)-4)</f>
        <v>0.37855143641740596</v>
      </c>
      <c r="R336" s="46">
        <f>(SUM(H$2:H336)*E$1+A336)/SUM(H$2:H336)</f>
        <v>0.34687100893997447</v>
      </c>
      <c r="S336" s="41">
        <f>IF(COUNTA(M332:M336)=0,0,SUM(M332:M336)/COUNTA(M332:M336))</f>
        <v>0.23333333333333334</v>
      </c>
    </row>
    <row r="337" spans="1:19" s="7" customFormat="1" hidden="1" x14ac:dyDescent="0.3">
      <c r="A337" s="170">
        <f t="shared" si="38"/>
        <v>0.23055555555554041</v>
      </c>
      <c r="B337" s="2" t="s">
        <v>0</v>
      </c>
      <c r="C337" s="120">
        <f t="shared" si="39"/>
        <v>43234</v>
      </c>
      <c r="D337" s="120" t="s">
        <v>56</v>
      </c>
      <c r="E337" s="4">
        <v>0.3888888888888889</v>
      </c>
      <c r="F337" s="4">
        <v>0.73611111111111116</v>
      </c>
      <c r="G337" s="5">
        <v>3</v>
      </c>
      <c r="H337" s="2">
        <v>1</v>
      </c>
      <c r="I337" s="134">
        <f t="shared" si="41"/>
        <v>4.0277777777777801E-2</v>
      </c>
      <c r="J337" s="152">
        <f t="shared" si="40"/>
        <v>-4.0277777777777801E-2</v>
      </c>
      <c r="K337" s="34">
        <v>65</v>
      </c>
      <c r="L337" s="34">
        <v>65</v>
      </c>
      <c r="M337" s="6">
        <v>0.14583333333333334</v>
      </c>
      <c r="O337" s="143" t="str">
        <f t="shared" si="42"/>
        <v/>
      </c>
      <c r="P337" s="45"/>
      <c r="Q337" s="123">
        <f>(SUM(E$2:E$21)+SUM(E$25:E$154)+SUM(E$156:E337))/(COUNTA(E$2:E337)-4)</f>
        <v>0.37859059343434343</v>
      </c>
      <c r="R337" s="46">
        <f>(SUM(H$2:H337)*E$1+A337)/SUM(H$2:H337)</f>
        <v>0.3467133163698049</v>
      </c>
      <c r="S337" s="61"/>
    </row>
    <row r="338" spans="1:19" s="7" customFormat="1" hidden="1" x14ac:dyDescent="0.3">
      <c r="A338" s="171">
        <f t="shared" si="38"/>
        <v>0.25624999999998471</v>
      </c>
      <c r="B338" s="8" t="s">
        <v>1</v>
      </c>
      <c r="C338" s="121">
        <f t="shared" si="39"/>
        <v>43235</v>
      </c>
      <c r="D338" s="121" t="s">
        <v>57</v>
      </c>
      <c r="E338" s="10">
        <v>0.37847222222222227</v>
      </c>
      <c r="F338" s="10">
        <v>0.76388888888888884</v>
      </c>
      <c r="G338" s="11">
        <v>1</v>
      </c>
      <c r="H338" s="45">
        <v>1</v>
      </c>
      <c r="I338" s="135" t="str">
        <f t="shared" si="41"/>
        <v/>
      </c>
      <c r="J338" s="153">
        <f t="shared" si="40"/>
        <v>2.5694444444444298E-2</v>
      </c>
      <c r="K338" s="35">
        <v>65</v>
      </c>
      <c r="L338" s="35">
        <v>58</v>
      </c>
      <c r="M338" s="12">
        <v>0.3125</v>
      </c>
      <c r="O338" s="143" t="str">
        <f t="shared" si="42"/>
        <v/>
      </c>
      <c r="P338" s="45"/>
      <c r="Q338" s="123">
        <f>(SUM(E$2:E$21)+SUM(E$25:E$154)+SUM(E$156:E338))/(COUNTA(E$2:E338)-4)</f>
        <v>0.37859014675052405</v>
      </c>
      <c r="R338" s="46">
        <f>(SUM(H$2:H338)*E$1+A338)/SUM(H$2:H338)</f>
        <v>0.34680766793409379</v>
      </c>
      <c r="S338" s="62"/>
    </row>
    <row r="339" spans="1:19" s="7" customFormat="1" hidden="1" x14ac:dyDescent="0.3">
      <c r="A339" s="171">
        <f t="shared" si="38"/>
        <v>0.20208333333331796</v>
      </c>
      <c r="B339" s="8" t="s">
        <v>2</v>
      </c>
      <c r="C339" s="121">
        <f t="shared" si="39"/>
        <v>43236</v>
      </c>
      <c r="D339" s="121" t="s">
        <v>286</v>
      </c>
      <c r="E339" s="10">
        <v>0.45833333333333331</v>
      </c>
      <c r="F339" s="10">
        <v>0.76388888888888884</v>
      </c>
      <c r="G339" s="11">
        <v>0</v>
      </c>
      <c r="H339" s="45">
        <v>1</v>
      </c>
      <c r="I339" s="135">
        <f t="shared" si="41"/>
        <v>5.4166666666666752E-2</v>
      </c>
      <c r="J339" s="153">
        <f t="shared" si="40"/>
        <v>-5.4166666666666752E-2</v>
      </c>
      <c r="K339" s="35"/>
      <c r="L339" s="35">
        <v>68</v>
      </c>
      <c r="M339" s="12">
        <v>0.16666666666666666</v>
      </c>
      <c r="O339" s="143" t="str">
        <f t="shared" si="42"/>
        <v/>
      </c>
      <c r="P339" s="45"/>
      <c r="Q339" s="123">
        <f>(SUM(E$2:E$21)+SUM(E$25:E$154)+SUM(E$156:E339))/(COUNTA(E$2:E339)-4)</f>
        <v>0.37888993316624886</v>
      </c>
      <c r="R339" s="46">
        <f>(SUM(H$2:H339)*E$1+A339)/SUM(H$2:H339)</f>
        <v>0.34659880050505049</v>
      </c>
      <c r="S339" s="62"/>
    </row>
    <row r="340" spans="1:19" s="7" customFormat="1" hidden="1" x14ac:dyDescent="0.3">
      <c r="A340" s="171">
        <f t="shared" si="38"/>
        <v>0.19305555555554027</v>
      </c>
      <c r="B340" s="8" t="s">
        <v>3</v>
      </c>
      <c r="C340" s="121">
        <f t="shared" si="39"/>
        <v>43237</v>
      </c>
      <c r="D340" s="121" t="s">
        <v>287</v>
      </c>
      <c r="E340" s="10">
        <v>0.36458333333333331</v>
      </c>
      <c r="F340" s="10">
        <v>0.75694444444444453</v>
      </c>
      <c r="G340" s="11">
        <v>4</v>
      </c>
      <c r="H340" s="45">
        <v>1</v>
      </c>
      <c r="I340" s="135">
        <f t="shared" si="41"/>
        <v>9.0277777777776902E-3</v>
      </c>
      <c r="J340" s="153">
        <f t="shared" si="40"/>
        <v>-9.0277777777776902E-3</v>
      </c>
      <c r="K340" s="35"/>
      <c r="L340" s="35">
        <v>48</v>
      </c>
      <c r="M340" s="12">
        <v>0.22916666666666666</v>
      </c>
      <c r="O340" s="143" t="str">
        <f t="shared" si="42"/>
        <v/>
      </c>
      <c r="P340" s="45"/>
      <c r="Q340" s="123">
        <f>(SUM(E$2:E$21)+SUM(E$25:E$154)+SUM(E$156:E340))/(COUNTA(E$2:E340)-4)</f>
        <v>0.37883635039533914</v>
      </c>
      <c r="R340" s="46">
        <f>(SUM(H$2:H340)*E$1+A340)/SUM(H$2:H340)</f>
        <v>0.34656184486373165</v>
      </c>
      <c r="S340" s="62"/>
    </row>
    <row r="341" spans="1:19" s="7" customFormat="1" hidden="1" x14ac:dyDescent="0.3">
      <c r="A341" s="172">
        <f t="shared" si="38"/>
        <v>0.19305555555554027</v>
      </c>
      <c r="B341" s="13" t="s">
        <v>4</v>
      </c>
      <c r="C341" s="117">
        <f t="shared" si="39"/>
        <v>43238</v>
      </c>
      <c r="D341" s="117" t="s">
        <v>58</v>
      </c>
      <c r="E341" s="15"/>
      <c r="F341" s="15"/>
      <c r="G341" s="16"/>
      <c r="H341" s="17">
        <v>0</v>
      </c>
      <c r="I341" s="136" t="str">
        <f>IF(J341&lt;0,-J341,"")</f>
        <v/>
      </c>
      <c r="J341" s="154">
        <f t="shared" si="40"/>
        <v>0</v>
      </c>
      <c r="K341" s="36"/>
      <c r="L341" s="36"/>
      <c r="M341" s="18"/>
      <c r="O341" s="143">
        <f t="shared" si="42"/>
        <v>7.7777777777777946E-2</v>
      </c>
      <c r="P341" s="137">
        <f>A341-A336</f>
        <v>-7.7777777777777946E-2</v>
      </c>
      <c r="Q341" s="123">
        <f>(SUM(E$2:E$21)+SUM(E$25:E$154)+SUM(E$156:E341))/(COUNTA(E$2:E341)-4)</f>
        <v>0.37883635039533914</v>
      </c>
      <c r="R341" s="46">
        <f>(SUM(H$2:H341)*E$1+A341)/SUM(H$2:H341)</f>
        <v>0.34656184486373165</v>
      </c>
      <c r="S341" s="41">
        <f>IF(COUNTA(M337:M341)=0,0,SUM(M337:M341)/COUNTA(M337:M341))</f>
        <v>0.21354166666666666</v>
      </c>
    </row>
    <row r="342" spans="1:19" s="7" customFormat="1" hidden="1" x14ac:dyDescent="0.3">
      <c r="A342" s="170">
        <f t="shared" si="38"/>
        <v>0.19305555555554027</v>
      </c>
      <c r="B342" s="2" t="s">
        <v>0</v>
      </c>
      <c r="C342" s="71">
        <f t="shared" si="39"/>
        <v>43241</v>
      </c>
      <c r="D342" s="84" t="s">
        <v>61</v>
      </c>
      <c r="E342" s="4"/>
      <c r="F342" s="4"/>
      <c r="G342" s="5"/>
      <c r="H342" s="2">
        <v>0</v>
      </c>
      <c r="I342" s="134" t="str">
        <f t="shared" si="41"/>
        <v/>
      </c>
      <c r="J342" s="152">
        <f t="shared" si="40"/>
        <v>0</v>
      </c>
      <c r="K342" s="34"/>
      <c r="L342" s="34"/>
      <c r="M342" s="6"/>
      <c r="O342" s="143" t="str">
        <f t="shared" si="42"/>
        <v/>
      </c>
      <c r="P342" s="45"/>
      <c r="Q342" s="123">
        <f>(SUM(E$2:E$21)+SUM(E$25:E$154)+SUM(E$156:E342))/(COUNTA(E$2:E342)-4)</f>
        <v>0.37883635039533914</v>
      </c>
      <c r="R342" s="46">
        <f>(SUM(H$2:H342)*E$1+A342)/SUM(H$2:H342)</f>
        <v>0.34656184486373165</v>
      </c>
      <c r="S342" s="61"/>
    </row>
    <row r="343" spans="1:19" s="7" customFormat="1" hidden="1" x14ac:dyDescent="0.3">
      <c r="A343" s="171">
        <f t="shared" si="38"/>
        <v>0.19305555555554027</v>
      </c>
      <c r="B343" s="8" t="s">
        <v>1</v>
      </c>
      <c r="C343" s="121">
        <f t="shared" si="39"/>
        <v>43242</v>
      </c>
      <c r="D343" s="121" t="s">
        <v>62</v>
      </c>
      <c r="E343" s="10"/>
      <c r="F343" s="10"/>
      <c r="G343" s="11"/>
      <c r="H343" s="45">
        <v>0</v>
      </c>
      <c r="I343" s="135" t="str">
        <f t="shared" si="41"/>
        <v/>
      </c>
      <c r="J343" s="153">
        <f t="shared" si="40"/>
        <v>0</v>
      </c>
      <c r="K343" s="35"/>
      <c r="L343" s="35"/>
      <c r="M343" s="12"/>
      <c r="O343" s="143" t="str">
        <f t="shared" si="42"/>
        <v/>
      </c>
      <c r="P343" s="45"/>
      <c r="Q343" s="123">
        <f>(SUM(E$2:E$21)+SUM(E$25:E$154)+SUM(E$156:E343))/(COUNTA(E$2:E343)-4)</f>
        <v>0.37883635039533914</v>
      </c>
      <c r="R343" s="46">
        <f>(SUM(H$2:H343)*E$1+A343)/SUM(H$2:H343)</f>
        <v>0.34656184486373165</v>
      </c>
      <c r="S343" s="62"/>
    </row>
    <row r="344" spans="1:19" s="7" customFormat="1" hidden="1" x14ac:dyDescent="0.3">
      <c r="A344" s="171">
        <f t="shared" si="38"/>
        <v>0.20833333333331794</v>
      </c>
      <c r="B344" s="8" t="s">
        <v>2</v>
      </c>
      <c r="C344" s="121">
        <f t="shared" si="39"/>
        <v>43243</v>
      </c>
      <c r="D344" s="121" t="s">
        <v>288</v>
      </c>
      <c r="E344" s="10">
        <v>0.37847222222222227</v>
      </c>
      <c r="F344" s="10">
        <v>0.75347222222222221</v>
      </c>
      <c r="G344" s="11">
        <v>0</v>
      </c>
      <c r="H344" s="45">
        <v>1</v>
      </c>
      <c r="I344" s="135" t="str">
        <f t="shared" si="41"/>
        <v/>
      </c>
      <c r="J344" s="153">
        <f t="shared" si="40"/>
        <v>1.5277777777777668E-2</v>
      </c>
      <c r="K344" s="35">
        <v>80</v>
      </c>
      <c r="L344" s="35">
        <v>80</v>
      </c>
      <c r="M344" s="12">
        <v>0.125</v>
      </c>
      <c r="O344" s="143" t="str">
        <f t="shared" si="42"/>
        <v/>
      </c>
      <c r="P344" s="45"/>
      <c r="Q344" s="123">
        <f>(SUM(E$2:E$21)+SUM(E$25:E$154)+SUM(E$156:E344))/(COUNTA(E$2:E344)-4)</f>
        <v>0.37883499170812601</v>
      </c>
      <c r="R344" s="46">
        <f>(SUM(H$2:H344)*E$1+A344)/SUM(H$2:H344)</f>
        <v>0.34661654135338343</v>
      </c>
      <c r="S344" s="62"/>
    </row>
    <row r="345" spans="1:19" s="7" customFormat="1" hidden="1" x14ac:dyDescent="0.3">
      <c r="A345" s="171">
        <f t="shared" si="38"/>
        <v>0.17499999999998445</v>
      </c>
      <c r="B345" s="8" t="s">
        <v>3</v>
      </c>
      <c r="C345" s="121">
        <f t="shared" si="39"/>
        <v>43244</v>
      </c>
      <c r="D345" s="121" t="s">
        <v>289</v>
      </c>
      <c r="E345" s="10">
        <v>0.375</v>
      </c>
      <c r="F345" s="10">
        <v>0.74305555555555547</v>
      </c>
      <c r="G345" s="11">
        <v>4</v>
      </c>
      <c r="H345" s="45">
        <v>1</v>
      </c>
      <c r="I345" s="135">
        <f t="shared" si="41"/>
        <v>3.3333333333333492E-2</v>
      </c>
      <c r="J345" s="153">
        <f t="shared" si="40"/>
        <v>-3.3333333333333492E-2</v>
      </c>
      <c r="K345" s="35">
        <v>73</v>
      </c>
      <c r="L345" s="35">
        <v>68</v>
      </c>
      <c r="M345" s="12">
        <v>0.25</v>
      </c>
      <c r="O345" s="143" t="str">
        <f t="shared" si="42"/>
        <v/>
      </c>
      <c r="P345" s="45"/>
      <c r="Q345" s="123">
        <f>(SUM(E$2:E$21)+SUM(E$25:E$154)+SUM(E$156:E345))/(COUNTA(E$2:E345)-4)</f>
        <v>0.37882073523337462</v>
      </c>
      <c r="R345" s="46">
        <f>(SUM(H$2:H345)*E$1+A345)/SUM(H$2:H345)</f>
        <v>0.34648876404494383</v>
      </c>
      <c r="S345" s="62"/>
    </row>
    <row r="346" spans="1:19" s="7" customFormat="1" hidden="1" x14ac:dyDescent="0.3">
      <c r="A346" s="172">
        <f t="shared" si="38"/>
        <v>0.2006944444444288</v>
      </c>
      <c r="B346" s="13" t="s">
        <v>4</v>
      </c>
      <c r="C346" s="117">
        <f t="shared" si="39"/>
        <v>43245</v>
      </c>
      <c r="D346" s="117" t="s">
        <v>63</v>
      </c>
      <c r="E346" s="15">
        <v>0.36805555555555558</v>
      </c>
      <c r="F346" s="15">
        <v>0.75347222222222221</v>
      </c>
      <c r="G346" s="16">
        <v>1</v>
      </c>
      <c r="H346" s="17">
        <v>1</v>
      </c>
      <c r="I346" s="136" t="str">
        <f>IF(J346&lt;0,-J346,"")</f>
        <v/>
      </c>
      <c r="J346" s="154">
        <f t="shared" si="40"/>
        <v>2.5694444444444353E-2</v>
      </c>
      <c r="K346" s="36">
        <v>63</v>
      </c>
      <c r="L346" s="36">
        <v>54</v>
      </c>
      <c r="M346" s="18">
        <v>0.16666666666666666</v>
      </c>
      <c r="O346" s="143" t="str">
        <f t="shared" si="42"/>
        <v/>
      </c>
      <c r="P346" s="137">
        <f>A346-A341</f>
        <v>7.6388888888885287E-3</v>
      </c>
      <c r="Q346" s="123">
        <f>(SUM(E$2:E$21)+SUM(E$25:E$154)+SUM(E$156:E346))/(COUNTA(E$2:E346)-4)</f>
        <v>0.37878086419753082</v>
      </c>
      <c r="R346" s="46">
        <f>(SUM(H$2:H346)*E$1+A346)/SUM(H$2:H346)</f>
        <v>0.34658219320066336</v>
      </c>
      <c r="S346" s="41">
        <f>IF(COUNTA(M342:M346)=0,0,SUM(M342:M346)/COUNTA(M342:M346))</f>
        <v>0.18055555555555555</v>
      </c>
    </row>
    <row r="347" spans="1:19" s="7" customFormat="1" hidden="1" x14ac:dyDescent="0.3">
      <c r="A347" s="170">
        <f t="shared" si="38"/>
        <v>0.21597222222220647</v>
      </c>
      <c r="B347" s="2" t="s">
        <v>0</v>
      </c>
      <c r="C347" s="120">
        <f t="shared" si="39"/>
        <v>43248</v>
      </c>
      <c r="D347" s="120" t="s">
        <v>66</v>
      </c>
      <c r="E347" s="4">
        <v>0.38541666666666669</v>
      </c>
      <c r="F347" s="4">
        <v>0.76041666666666663</v>
      </c>
      <c r="G347" s="5">
        <v>0</v>
      </c>
      <c r="H347" s="2">
        <v>1</v>
      </c>
      <c r="I347" s="134" t="str">
        <f t="shared" si="41"/>
        <v/>
      </c>
      <c r="J347" s="152">
        <f t="shared" si="40"/>
        <v>1.5277777777777668E-2</v>
      </c>
      <c r="K347" s="34">
        <v>72</v>
      </c>
      <c r="L347" s="34">
        <v>59</v>
      </c>
      <c r="M347" s="6">
        <v>0.27083333333333331</v>
      </c>
      <c r="O347" s="143" t="str">
        <f t="shared" si="42"/>
        <v/>
      </c>
      <c r="P347" s="45"/>
      <c r="Q347" s="123">
        <f>(SUM(E$2:E$21)+SUM(E$25:E$154)+SUM(E$156:E347))/(COUNTA(E$2:E347)-4)</f>
        <v>0.3788053505535055</v>
      </c>
      <c r="R347" s="46">
        <f>(SUM(H$2:H347)*E$1+A347)/SUM(H$2:H347)</f>
        <v>0.34663620404791406</v>
      </c>
      <c r="S347" s="61"/>
    </row>
    <row r="348" spans="1:19" s="7" customFormat="1" hidden="1" x14ac:dyDescent="0.3">
      <c r="A348" s="171">
        <f t="shared" si="38"/>
        <v>0.25555555555553972</v>
      </c>
      <c r="B348" s="8" t="s">
        <v>1</v>
      </c>
      <c r="C348" s="121">
        <f t="shared" si="39"/>
        <v>43249</v>
      </c>
      <c r="D348" s="121" t="s">
        <v>67</v>
      </c>
      <c r="E348" s="10">
        <v>0.3611111111111111</v>
      </c>
      <c r="F348" s="10">
        <v>0.76041666666666663</v>
      </c>
      <c r="G348" s="11">
        <v>0</v>
      </c>
      <c r="H348" s="45">
        <v>1</v>
      </c>
      <c r="I348" s="135" t="str">
        <f t="shared" si="41"/>
        <v/>
      </c>
      <c r="J348" s="153">
        <f t="shared" si="40"/>
        <v>3.9583333333333248E-2</v>
      </c>
      <c r="K348" s="35">
        <v>59</v>
      </c>
      <c r="L348" s="35">
        <v>59</v>
      </c>
      <c r="M348" s="12">
        <v>0.1875</v>
      </c>
      <c r="O348" s="143" t="str">
        <f t="shared" si="42"/>
        <v/>
      </c>
      <c r="P348" s="45"/>
      <c r="Q348" s="123">
        <f>(SUM(E$2:E$21)+SUM(E$25:E$154)+SUM(E$156:E348))/(COUNTA(E$2:E348)-4)</f>
        <v>0.37874029820261434</v>
      </c>
      <c r="R348" s="46">
        <f>(SUM(H$2:H348)*E$1+A348)/SUM(H$2:H348)</f>
        <v>0.34677983539094653</v>
      </c>
      <c r="S348" s="62"/>
    </row>
    <row r="349" spans="1:19" s="7" customFormat="1" hidden="1" x14ac:dyDescent="0.3">
      <c r="A349" s="171">
        <f t="shared" si="38"/>
        <v>0.2291666666666507</v>
      </c>
      <c r="B349" s="8" t="s">
        <v>2</v>
      </c>
      <c r="C349" s="121">
        <f t="shared" si="39"/>
        <v>43250</v>
      </c>
      <c r="D349" s="121" t="s">
        <v>290</v>
      </c>
      <c r="E349" s="10">
        <v>0.38194444444444442</v>
      </c>
      <c r="F349" s="10">
        <v>0.74305555555555547</v>
      </c>
      <c r="G349" s="11">
        <v>3</v>
      </c>
      <c r="H349" s="45">
        <v>1</v>
      </c>
      <c r="I349" s="135">
        <f t="shared" si="41"/>
        <v>2.6388888888889017E-2</v>
      </c>
      <c r="J349" s="153">
        <f t="shared" si="40"/>
        <v>-2.6388888888889017E-2</v>
      </c>
      <c r="K349" s="35">
        <v>53</v>
      </c>
      <c r="L349" s="35">
        <v>47</v>
      </c>
      <c r="M349" s="12">
        <v>0.25</v>
      </c>
      <c r="O349" s="143" t="str">
        <f t="shared" si="42"/>
        <v/>
      </c>
      <c r="P349" s="45"/>
      <c r="Q349" s="123">
        <f>(SUM(E$2:E$21)+SUM(E$25:E$154)+SUM(E$156:E349))/(COUNTA(E$2:E349)-4)</f>
        <v>0.37875203500203497</v>
      </c>
      <c r="R349" s="46">
        <f>(SUM(H$2:H349)*E$1+A349)/SUM(H$2:H349)</f>
        <v>0.34667896678966792</v>
      </c>
      <c r="S349" s="62"/>
    </row>
    <row r="350" spans="1:19" s="7" customFormat="1" hidden="1" x14ac:dyDescent="0.3">
      <c r="A350" s="171">
        <f t="shared" si="38"/>
        <v>0.26180555555553953</v>
      </c>
      <c r="B350" s="8" t="s">
        <v>3</v>
      </c>
      <c r="C350" s="121">
        <f t="shared" si="39"/>
        <v>43251</v>
      </c>
      <c r="D350" s="121" t="s">
        <v>291</v>
      </c>
      <c r="E350" s="10">
        <v>0.37152777777777773</v>
      </c>
      <c r="F350" s="10">
        <v>0.80555555555555547</v>
      </c>
      <c r="G350" s="11">
        <v>4</v>
      </c>
      <c r="H350" s="45">
        <v>1</v>
      </c>
      <c r="I350" s="135" t="str">
        <f t="shared" si="41"/>
        <v/>
      </c>
      <c r="J350" s="153">
        <f t="shared" si="40"/>
        <v>3.2638888888888828E-2</v>
      </c>
      <c r="K350" s="35">
        <v>55</v>
      </c>
      <c r="L350" s="35">
        <v>53</v>
      </c>
      <c r="M350" s="12">
        <v>0.15625</v>
      </c>
      <c r="N350" s="7">
        <f>SUM(H328:H350)</f>
        <v>17</v>
      </c>
      <c r="O350" s="143" t="str">
        <f t="shared" si="42"/>
        <v/>
      </c>
      <c r="P350" s="45"/>
      <c r="Q350" s="123">
        <f>(SUM(E$2:E$21)+SUM(E$25:E$154)+SUM(E$156:E350))/(COUNTA(E$2:E350)-4)</f>
        <v>0.37872566909975663</v>
      </c>
      <c r="R350" s="46">
        <f>(SUM(H$2:H350)*E$1+A350)/SUM(H$2:H350)</f>
        <v>0.3467958537581699</v>
      </c>
      <c r="S350" s="62"/>
    </row>
    <row r="351" spans="1:19" s="7" customFormat="1" hidden="1" x14ac:dyDescent="0.3">
      <c r="A351" s="172">
        <f t="shared" si="38"/>
        <v>0.24583333333331719</v>
      </c>
      <c r="B351" s="13" t="s">
        <v>4</v>
      </c>
      <c r="C351" s="117">
        <f t="shared" si="39"/>
        <v>43252</v>
      </c>
      <c r="D351" s="117" t="s">
        <v>68</v>
      </c>
      <c r="E351" s="15">
        <v>0.38541666666666669</v>
      </c>
      <c r="F351" s="15">
        <v>0.72916666666666663</v>
      </c>
      <c r="G351" s="16">
        <v>0</v>
      </c>
      <c r="H351" s="17">
        <v>1</v>
      </c>
      <c r="I351" s="136">
        <f>IF(J351&lt;0,-J351,"")</f>
        <v>1.5972222222222332E-2</v>
      </c>
      <c r="J351" s="154">
        <f t="shared" si="40"/>
        <v>-1.5972222222222332E-2</v>
      </c>
      <c r="K351" s="36">
        <v>49</v>
      </c>
      <c r="L351" s="36">
        <v>47</v>
      </c>
      <c r="M351" s="18">
        <v>0.20833333333333334</v>
      </c>
      <c r="O351" s="143" t="str">
        <f t="shared" si="42"/>
        <v/>
      </c>
      <c r="P351" s="137">
        <f>A351-A346</f>
        <v>4.5138888888888395E-2</v>
      </c>
      <c r="Q351" s="123">
        <f>(SUM(E$2:E$21)+SUM(E$25:E$154)+SUM(E$156:E351))/(COUNTA(E$2:E351)-4)</f>
        <v>0.37874999999999998</v>
      </c>
      <c r="R351" s="46">
        <f>(SUM(H$2:H351)*E$1+A351)/SUM(H$2:H351)</f>
        <v>0.34673382173382172</v>
      </c>
      <c r="S351" s="41">
        <f>IF(COUNTA(M347:M351)=0,0,SUM(M347:M351)/COUNTA(M347:M351))</f>
        <v>0.21458333333333329</v>
      </c>
    </row>
    <row r="352" spans="1:19" s="7" customFormat="1" hidden="1" x14ac:dyDescent="0.3">
      <c r="A352" s="170">
        <f t="shared" si="38"/>
        <v>0.23680555555553934</v>
      </c>
      <c r="B352" s="2" t="s">
        <v>0</v>
      </c>
      <c r="C352" s="120">
        <f t="shared" si="39"/>
        <v>43255</v>
      </c>
      <c r="D352" s="120" t="s">
        <v>71</v>
      </c>
      <c r="E352" s="4">
        <v>0.36805555555555558</v>
      </c>
      <c r="F352" s="4">
        <v>0.71875</v>
      </c>
      <c r="G352" s="5">
        <v>0</v>
      </c>
      <c r="H352" s="2">
        <v>1</v>
      </c>
      <c r="I352" s="134">
        <f t="shared" ref="I352:I370" si="43">IF(J352&lt;0,-J352,"")</f>
        <v>9.0277777777778567E-3</v>
      </c>
      <c r="J352" s="152">
        <f t="shared" si="40"/>
        <v>-9.0277777777778567E-3</v>
      </c>
      <c r="K352" s="34">
        <v>69</v>
      </c>
      <c r="L352" s="34">
        <v>57</v>
      </c>
      <c r="M352" s="6">
        <v>0.20833333333333334</v>
      </c>
      <c r="O352" s="143" t="str">
        <f t="shared" si="42"/>
        <v/>
      </c>
      <c r="P352" s="45"/>
      <c r="Q352" s="123">
        <f>(SUM(E$2:E$21)+SUM(E$25:E$154)+SUM(E$156:E352))/(COUNTA(E$2:E352)-4)</f>
        <v>0.37871125201288242</v>
      </c>
      <c r="R352" s="46">
        <f>(SUM(H$2:H352)*E$1+A352)/SUM(H$2:H352)</f>
        <v>0.3466975871857258</v>
      </c>
      <c r="S352" s="61"/>
    </row>
    <row r="353" spans="1:19" s="7" customFormat="1" hidden="1" x14ac:dyDescent="0.3">
      <c r="A353" s="171">
        <f t="shared" si="38"/>
        <v>0.25208333333331695</v>
      </c>
      <c r="B353" s="8" t="s">
        <v>1</v>
      </c>
      <c r="C353" s="121">
        <f t="shared" si="39"/>
        <v>43256</v>
      </c>
      <c r="D353" s="121" t="s">
        <v>72</v>
      </c>
      <c r="E353" s="10">
        <v>0.36805555555555558</v>
      </c>
      <c r="F353" s="10">
        <v>0.74305555555555547</v>
      </c>
      <c r="G353" s="11">
        <v>0</v>
      </c>
      <c r="H353" s="45">
        <v>1</v>
      </c>
      <c r="I353" s="135" t="str">
        <f t="shared" si="43"/>
        <v/>
      </c>
      <c r="J353" s="153">
        <f t="shared" si="40"/>
        <v>1.5277777777777612E-2</v>
      </c>
      <c r="K353" s="35">
        <v>64</v>
      </c>
      <c r="L353" s="35">
        <v>58</v>
      </c>
      <c r="M353" s="12">
        <v>0.29166666666666669</v>
      </c>
      <c r="O353" s="143" t="str">
        <f t="shared" si="42"/>
        <v/>
      </c>
      <c r="P353" s="45"/>
      <c r="Q353" s="123">
        <f>(SUM(E$2:E$21)+SUM(E$25:E$154)+SUM(E$156:E353))/(COUNTA(E$2:E353)-4)</f>
        <v>0.37867278379462493</v>
      </c>
      <c r="R353" s="46">
        <f>(SUM(H$2:H353)*E$1+A353)/SUM(H$2:H353)</f>
        <v>0.34675</v>
      </c>
      <c r="S353" s="62"/>
    </row>
    <row r="354" spans="1:19" s="7" customFormat="1" hidden="1" x14ac:dyDescent="0.3">
      <c r="A354" s="171">
        <f t="shared" si="38"/>
        <v>0.24652777777776136</v>
      </c>
      <c r="B354" s="8" t="s">
        <v>2</v>
      </c>
      <c r="C354" s="121">
        <f t="shared" si="39"/>
        <v>43257</v>
      </c>
      <c r="D354" s="121" t="s">
        <v>292</v>
      </c>
      <c r="E354" s="10">
        <v>0.38541666666666669</v>
      </c>
      <c r="F354" s="10">
        <v>0.73958333333333337</v>
      </c>
      <c r="G354" s="11">
        <v>0</v>
      </c>
      <c r="H354" s="45">
        <v>1</v>
      </c>
      <c r="I354" s="135">
        <f t="shared" si="43"/>
        <v>5.5555555555555913E-3</v>
      </c>
      <c r="J354" s="153">
        <f t="shared" si="40"/>
        <v>-5.5555555555555913E-3</v>
      </c>
      <c r="K354" s="35">
        <v>63</v>
      </c>
      <c r="L354" s="35">
        <v>57</v>
      </c>
      <c r="M354" s="12">
        <v>0.22916666666666666</v>
      </c>
      <c r="O354" s="143" t="str">
        <f t="shared" si="42"/>
        <v/>
      </c>
      <c r="P354" s="45"/>
      <c r="Q354" s="123">
        <f>(SUM(E$2:E$21)+SUM(E$25:E$154)+SUM(E$156:E354))/(COUNTA(E$2:E354)-4)</f>
        <v>0.37869704236610707</v>
      </c>
      <c r="R354" s="46">
        <f>(SUM(H$2:H354)*E$1+A354)/SUM(H$2:H354)</f>
        <v>0.34672654991948471</v>
      </c>
      <c r="S354" s="62"/>
    </row>
    <row r="355" spans="1:19" s="7" customFormat="1" hidden="1" x14ac:dyDescent="0.3">
      <c r="A355" s="171">
        <f t="shared" si="38"/>
        <v>0.23749999999998356</v>
      </c>
      <c r="B355" s="8" t="s">
        <v>3</v>
      </c>
      <c r="C355" s="121">
        <f t="shared" si="39"/>
        <v>43258</v>
      </c>
      <c r="D355" s="121" t="s">
        <v>293</v>
      </c>
      <c r="E355" s="10">
        <v>0.375</v>
      </c>
      <c r="F355" s="10">
        <v>0.76736111111111116</v>
      </c>
      <c r="G355" s="11">
        <v>4</v>
      </c>
      <c r="H355" s="45">
        <v>1</v>
      </c>
      <c r="I355" s="135">
        <f t="shared" si="43"/>
        <v>9.0277777777778012E-3</v>
      </c>
      <c r="J355" s="153">
        <f t="shared" si="40"/>
        <v>-9.0277777777778012E-3</v>
      </c>
      <c r="K355" s="35">
        <v>57</v>
      </c>
      <c r="L355" s="35">
        <v>53</v>
      </c>
      <c r="M355" s="12">
        <v>0.14583333333333334</v>
      </c>
      <c r="O355" s="143" t="str">
        <f t="shared" si="42"/>
        <v/>
      </c>
      <c r="P355" s="45"/>
      <c r="Q355" s="123">
        <f>(SUM(E$2:E$21)+SUM(E$25:E$154)+SUM(E$156:E355))/(COUNTA(E$2:E355)-4)</f>
        <v>0.3786837913181999</v>
      </c>
      <c r="R355" s="46">
        <f>(SUM(H$2:H355)*E$1+A355)/SUM(H$2:H355)</f>
        <v>0.346690734055355</v>
      </c>
      <c r="S355" s="62"/>
    </row>
    <row r="356" spans="1:19" s="7" customFormat="1" hidden="1" x14ac:dyDescent="0.3">
      <c r="A356" s="172">
        <f t="shared" si="38"/>
        <v>0.23888888888887239</v>
      </c>
      <c r="B356" s="13" t="s">
        <v>4</v>
      </c>
      <c r="C356" s="117">
        <f t="shared" si="39"/>
        <v>43259</v>
      </c>
      <c r="D356" s="117" t="s">
        <v>73</v>
      </c>
      <c r="E356" s="15">
        <v>0.37152777777777773</v>
      </c>
      <c r="F356" s="15">
        <v>0.73263888888888884</v>
      </c>
      <c r="G356" s="16">
        <v>0</v>
      </c>
      <c r="H356" s="17">
        <v>1</v>
      </c>
      <c r="I356" s="136" t="str">
        <f>IF(J356&lt;0,-J356,"")</f>
        <v/>
      </c>
      <c r="J356" s="154">
        <f t="shared" si="40"/>
        <v>1.3888888888888284E-3</v>
      </c>
      <c r="K356" s="36"/>
      <c r="L356" s="36">
        <v>52</v>
      </c>
      <c r="M356" s="18">
        <v>0.22916666666666666</v>
      </c>
      <c r="O356" s="143">
        <f t="shared" si="42"/>
        <v>6.9444444444448084E-3</v>
      </c>
      <c r="P356" s="137">
        <f>A356-A351</f>
        <v>-6.9444444444448084E-3</v>
      </c>
      <c r="Q356" s="123">
        <f>(SUM(E$2:E$21)+SUM(E$25:E$154)+SUM(E$156:E356))/(COUNTA(E$2:E356)-4)</f>
        <v>0.37865823412698407</v>
      </c>
      <c r="R356" s="46">
        <f>(SUM(H$2:H356)*E$1+A356)/SUM(H$2:H356)</f>
        <v>0.34669264588329335</v>
      </c>
      <c r="S356" s="41">
        <f>IF(COUNTA(M352:M356)=0,0,SUM(M352:M356)/COUNTA(M352:M356))</f>
        <v>0.22083333333333335</v>
      </c>
    </row>
    <row r="357" spans="1:19" s="7" customFormat="1" hidden="1" x14ac:dyDescent="0.3">
      <c r="A357" s="170">
        <f t="shared" si="38"/>
        <v>0.26041666666665009</v>
      </c>
      <c r="B357" s="2" t="s">
        <v>0</v>
      </c>
      <c r="C357" s="120">
        <f t="shared" si="39"/>
        <v>43262</v>
      </c>
      <c r="D357" s="120" t="s">
        <v>76</v>
      </c>
      <c r="E357" s="4">
        <v>0.58333333333333337</v>
      </c>
      <c r="F357" s="4">
        <v>0.77777777777777779</v>
      </c>
      <c r="G357" s="5">
        <v>0</v>
      </c>
      <c r="H357" s="2">
        <v>0.5</v>
      </c>
      <c r="I357" s="134" t="str">
        <f t="shared" si="43"/>
        <v/>
      </c>
      <c r="J357" s="152">
        <f t="shared" si="40"/>
        <v>2.1527777777777729E-2</v>
      </c>
      <c r="K357" s="34">
        <v>70</v>
      </c>
      <c r="L357" s="34"/>
      <c r="M357" s="6">
        <v>0.22916666666666666</v>
      </c>
      <c r="O357" s="143" t="str">
        <f t="shared" si="42"/>
        <v/>
      </c>
      <c r="P357" s="45"/>
      <c r="Q357" s="123">
        <f>(SUM(E$2:E$21)+SUM(E$25:E$154)+SUM(E$156:E357))/(COUNTA(E$2:E357)-4)</f>
        <v>0.37938661526294976</v>
      </c>
      <c r="R357" s="46">
        <f>(SUM(H$2:H357)*E$1+A357)/SUM(H$2:H357)</f>
        <v>0.34676840215439853</v>
      </c>
      <c r="S357" s="61"/>
    </row>
    <row r="358" spans="1:19" s="7" customFormat="1" hidden="1" x14ac:dyDescent="0.3">
      <c r="A358" s="171">
        <f t="shared" si="38"/>
        <v>0.2548611111110945</v>
      </c>
      <c r="B358" s="8" t="s">
        <v>1</v>
      </c>
      <c r="C358" s="121">
        <f t="shared" si="39"/>
        <v>43263</v>
      </c>
      <c r="D358" s="121" t="s">
        <v>77</v>
      </c>
      <c r="E358" s="10">
        <v>0.38194444444444442</v>
      </c>
      <c r="F358" s="10">
        <v>0.75</v>
      </c>
      <c r="G358" s="11">
        <v>2</v>
      </c>
      <c r="H358" s="45">
        <v>1</v>
      </c>
      <c r="I358" s="135">
        <f t="shared" si="43"/>
        <v>5.5555555555555913E-3</v>
      </c>
      <c r="J358" s="153">
        <f t="shared" si="40"/>
        <v>-5.5555555555555913E-3</v>
      </c>
      <c r="K358" s="35">
        <v>70</v>
      </c>
      <c r="L358" s="35">
        <v>56</v>
      </c>
      <c r="M358" s="12">
        <v>0.22916666666666666</v>
      </c>
      <c r="O358" s="143" t="str">
        <f t="shared" si="42"/>
        <v/>
      </c>
      <c r="P358" s="45"/>
      <c r="Q358" s="123">
        <f>(SUM(E$2:E$21)+SUM(E$25:E$154)+SUM(E$156:E358))/(COUNTA(E$2:E358)-4)</f>
        <v>0.37939568557919617</v>
      </c>
      <c r="R358" s="46">
        <f>(SUM(H$2:H358)*E$1+A358)/SUM(H$2:H358)</f>
        <v>0.34674517988471476</v>
      </c>
      <c r="S358" s="62"/>
    </row>
    <row r="359" spans="1:19" s="7" customFormat="1" hidden="1" x14ac:dyDescent="0.3">
      <c r="A359" s="171">
        <f t="shared" si="38"/>
        <v>0.19722222222220553</v>
      </c>
      <c r="B359" s="8" t="s">
        <v>2</v>
      </c>
      <c r="C359" s="121">
        <f t="shared" si="39"/>
        <v>43264</v>
      </c>
      <c r="D359" s="121" t="s">
        <v>294</v>
      </c>
      <c r="E359" s="10">
        <v>0.3888888888888889</v>
      </c>
      <c r="F359" s="10">
        <v>0.76041666666666663</v>
      </c>
      <c r="G359" s="11">
        <v>6</v>
      </c>
      <c r="H359" s="45">
        <v>1</v>
      </c>
      <c r="I359" s="135">
        <f t="shared" si="43"/>
        <v>5.7638888888888962E-2</v>
      </c>
      <c r="J359" s="153">
        <f t="shared" si="40"/>
        <v>-5.7638888888888962E-2</v>
      </c>
      <c r="K359" s="35">
        <v>61</v>
      </c>
      <c r="L359" s="35"/>
      <c r="M359" s="12">
        <v>0.16666666666666666</v>
      </c>
      <c r="O359" s="143" t="str">
        <f t="shared" si="42"/>
        <v/>
      </c>
      <c r="P359" s="45"/>
      <c r="Q359" s="123">
        <f>(SUM(E$2:E$21)+SUM(E$25:E$154)+SUM(E$156:E359))/(COUNTA(E$2:E359)-4)</f>
        <v>0.37942923046721627</v>
      </c>
      <c r="R359" s="46">
        <f>(SUM(H$2:H359)*E$1+A359)/SUM(H$2:H359)</f>
        <v>0.34653644285997226</v>
      </c>
      <c r="S359" s="62"/>
    </row>
    <row r="360" spans="1:19" s="7" customFormat="1" hidden="1" x14ac:dyDescent="0.3">
      <c r="A360" s="171">
        <f t="shared" si="38"/>
        <v>0.25069444444442773</v>
      </c>
      <c r="B360" s="8" t="s">
        <v>3</v>
      </c>
      <c r="C360" s="121">
        <f t="shared" si="39"/>
        <v>43265</v>
      </c>
      <c r="D360" s="121" t="s">
        <v>295</v>
      </c>
      <c r="E360" s="10">
        <v>0.3576388888888889</v>
      </c>
      <c r="F360" s="10">
        <v>0.77083333333333337</v>
      </c>
      <c r="G360" s="11">
        <v>0</v>
      </c>
      <c r="H360" s="45">
        <v>1</v>
      </c>
      <c r="I360" s="135" t="str">
        <f t="shared" si="43"/>
        <v/>
      </c>
      <c r="J360" s="153">
        <f t="shared" si="40"/>
        <v>5.3472222222222199E-2</v>
      </c>
      <c r="K360" s="35">
        <v>61</v>
      </c>
      <c r="L360" s="35">
        <v>61</v>
      </c>
      <c r="M360" s="12">
        <v>0.3125</v>
      </c>
      <c r="O360" s="143" t="str">
        <f t="shared" si="42"/>
        <v/>
      </c>
      <c r="P360" s="45"/>
      <c r="Q360" s="123">
        <f>(SUM(E$2:E$21)+SUM(E$25:E$154)+SUM(E$156:E360))/(COUNTA(E$2:E360)-4)</f>
        <v>0.37935250391236297</v>
      </c>
      <c r="R360" s="46">
        <f>(SUM(H$2:H360)*E$1+A360)/SUM(H$2:H360)</f>
        <v>0.34672389974343792</v>
      </c>
      <c r="S360" s="62"/>
    </row>
    <row r="361" spans="1:19" s="7" customFormat="1" hidden="1" x14ac:dyDescent="0.3">
      <c r="A361" s="172">
        <f t="shared" si="38"/>
        <v>0.27291666666664999</v>
      </c>
      <c r="B361" s="13" t="s">
        <v>4</v>
      </c>
      <c r="C361" s="117">
        <f t="shared" si="39"/>
        <v>43266</v>
      </c>
      <c r="D361" s="117" t="s">
        <v>78</v>
      </c>
      <c r="E361" s="15">
        <v>0.375</v>
      </c>
      <c r="F361" s="15">
        <v>0.75694444444444453</v>
      </c>
      <c r="G361" s="16">
        <v>1</v>
      </c>
      <c r="H361" s="17">
        <v>1</v>
      </c>
      <c r="I361" s="136" t="str">
        <f>IF(J361&lt;0,-J361,"")</f>
        <v/>
      </c>
      <c r="J361" s="154">
        <f t="shared" si="40"/>
        <v>2.2222222222222254E-2</v>
      </c>
      <c r="K361" s="36"/>
      <c r="L361" s="36"/>
      <c r="M361" s="18">
        <v>0.22916666666666666</v>
      </c>
      <c r="O361" s="143" t="str">
        <f t="shared" si="42"/>
        <v/>
      </c>
      <c r="P361" s="137">
        <f>A361-A356</f>
        <v>3.4027777777777601E-2</v>
      </c>
      <c r="Q361" s="123">
        <f>(SUM(E$2:E$21)+SUM(E$25:E$154)+SUM(E$156:E361))/(COUNTA(E$2:E361)-4)</f>
        <v>0.37933723196881081</v>
      </c>
      <c r="R361" s="46">
        <f>(SUM(H$2:H361)*E$1+A361)/SUM(H$2:H361)</f>
        <v>0.34679941002949854</v>
      </c>
      <c r="S361" s="41">
        <f>IF(COUNTA(M357:M361)=0,0,SUM(M357:M361)/COUNTA(M357:M361))</f>
        <v>0.23333333333333334</v>
      </c>
    </row>
    <row r="362" spans="1:19" s="7" customFormat="1" hidden="1" x14ac:dyDescent="0.3">
      <c r="A362" s="170">
        <f t="shared" si="38"/>
        <v>0.28819444444442782</v>
      </c>
      <c r="B362" s="2" t="s">
        <v>0</v>
      </c>
      <c r="C362" s="120">
        <f t="shared" si="39"/>
        <v>43269</v>
      </c>
      <c r="D362" s="120" t="s">
        <v>81</v>
      </c>
      <c r="E362" s="4">
        <v>0.38194444444444442</v>
      </c>
      <c r="F362" s="4">
        <v>0.75694444444444453</v>
      </c>
      <c r="G362" s="5">
        <v>0</v>
      </c>
      <c r="H362" s="2">
        <v>1</v>
      </c>
      <c r="I362" s="134" t="str">
        <f t="shared" si="43"/>
        <v/>
      </c>
      <c r="J362" s="152">
        <f t="shared" si="40"/>
        <v>1.5277777777777835E-2</v>
      </c>
      <c r="K362" s="34">
        <v>70</v>
      </c>
      <c r="L362" s="34">
        <v>63</v>
      </c>
      <c r="M362" s="6">
        <v>0.16666666666666666</v>
      </c>
      <c r="O362" s="143" t="str">
        <f t="shared" si="42"/>
        <v/>
      </c>
      <c r="P362" s="45"/>
      <c r="Q362" s="123">
        <f>(SUM(E$2:E$21)+SUM(E$25:E$154)+SUM(E$156:E362))/(COUNTA(E$2:E362)-4)</f>
        <v>0.37934634809634804</v>
      </c>
      <c r="R362" s="46">
        <f>(SUM(H$2:H362)*E$1+A362)/SUM(H$2:H362)</f>
        <v>0.34684989222026258</v>
      </c>
      <c r="S362" s="61"/>
    </row>
    <row r="363" spans="1:19" s="7" customFormat="1" hidden="1" x14ac:dyDescent="0.3">
      <c r="A363" s="171">
        <f t="shared" si="38"/>
        <v>0.25138888888887223</v>
      </c>
      <c r="B363" s="8" t="s">
        <v>1</v>
      </c>
      <c r="C363" s="121">
        <f t="shared" si="39"/>
        <v>43270</v>
      </c>
      <c r="D363" s="121" t="s">
        <v>82</v>
      </c>
      <c r="E363" s="10">
        <v>0.38194444444444442</v>
      </c>
      <c r="F363" s="10">
        <v>0.76041666666666663</v>
      </c>
      <c r="G363" s="11">
        <v>5</v>
      </c>
      <c r="H363" s="45">
        <v>1</v>
      </c>
      <c r="I363" s="135">
        <f t="shared" si="43"/>
        <v>3.6805555555555591E-2</v>
      </c>
      <c r="J363" s="153">
        <f t="shared" si="40"/>
        <v>-3.6805555555555591E-2</v>
      </c>
      <c r="K363" s="35">
        <v>70</v>
      </c>
      <c r="L363" s="35"/>
      <c r="M363" s="12">
        <v>0.25</v>
      </c>
      <c r="O363" s="143" t="str">
        <f t="shared" si="42"/>
        <v/>
      </c>
      <c r="P363" s="45"/>
      <c r="Q363" s="123">
        <f>(SUM(E$2:E$21)+SUM(E$25:E$154)+SUM(E$156:E363))/(COUNTA(E$2:E363)-4)</f>
        <v>0.37935540069686402</v>
      </c>
      <c r="R363" s="46">
        <f>(SUM(H$2:H363)*E$1+A363)/SUM(H$2:H363)</f>
        <v>0.34671694981448936</v>
      </c>
      <c r="S363" s="62"/>
    </row>
    <row r="364" spans="1:19" s="7" customFormat="1" hidden="1" x14ac:dyDescent="0.3">
      <c r="A364" s="171">
        <f t="shared" si="38"/>
        <v>0.28055555555553879</v>
      </c>
      <c r="B364" s="8" t="s">
        <v>2</v>
      </c>
      <c r="C364" s="121">
        <f t="shared" si="39"/>
        <v>43271</v>
      </c>
      <c r="D364" s="121" t="s">
        <v>296</v>
      </c>
      <c r="E364" s="10">
        <v>0.375</v>
      </c>
      <c r="F364" s="10">
        <v>0.76388888888888884</v>
      </c>
      <c r="G364" s="11">
        <v>0</v>
      </c>
      <c r="H364" s="45">
        <v>1</v>
      </c>
      <c r="I364" s="135" t="str">
        <f t="shared" si="43"/>
        <v/>
      </c>
      <c r="J364" s="153">
        <f t="shared" si="40"/>
        <v>2.9166666666666563E-2</v>
      </c>
      <c r="K364" s="35">
        <v>70</v>
      </c>
      <c r="L364" s="35">
        <v>65</v>
      </c>
      <c r="M364" s="12">
        <v>0.1875</v>
      </c>
      <c r="O364" s="143" t="str">
        <f t="shared" si="42"/>
        <v/>
      </c>
      <c r="P364" s="45"/>
      <c r="Q364" s="123">
        <f>(SUM(E$2:E$21)+SUM(E$25:E$154)+SUM(E$156:E364))/(COUNTA(E$2:E364)-4)</f>
        <v>0.37934027777777768</v>
      </c>
      <c r="R364" s="46">
        <f>(SUM(H$2:H364)*E$1+A364)/SUM(H$2:H364)</f>
        <v>0.34681601478886942</v>
      </c>
      <c r="S364" s="62"/>
    </row>
    <row r="365" spans="1:19" s="7" customFormat="1" hidden="1" x14ac:dyDescent="0.3">
      <c r="A365" s="171">
        <f t="shared" si="38"/>
        <v>0.25763888888887215</v>
      </c>
      <c r="B365" s="8" t="s">
        <v>3</v>
      </c>
      <c r="C365" s="121">
        <f t="shared" si="39"/>
        <v>43272</v>
      </c>
      <c r="D365" s="121" t="s">
        <v>297</v>
      </c>
      <c r="E365" s="10">
        <v>0.37847222222222227</v>
      </c>
      <c r="F365" s="10">
        <v>0.75694444444444453</v>
      </c>
      <c r="G365" s="11">
        <v>4</v>
      </c>
      <c r="H365" s="45">
        <v>1</v>
      </c>
      <c r="I365" s="135">
        <f t="shared" si="43"/>
        <v>2.2916666666666641E-2</v>
      </c>
      <c r="J365" s="153">
        <f t="shared" si="40"/>
        <v>-2.2916666666666641E-2</v>
      </c>
      <c r="K365" s="35"/>
      <c r="L365" s="35">
        <v>55</v>
      </c>
      <c r="M365" s="12">
        <v>0.14583333333333334</v>
      </c>
      <c r="O365" s="143" t="str">
        <f t="shared" si="42"/>
        <v/>
      </c>
      <c r="P365" s="45"/>
      <c r="Q365" s="123">
        <f>(SUM(E$2:E$21)+SUM(E$25:E$154)+SUM(E$156:E365))/(COUNTA(E$2:E365)-4)</f>
        <v>0.37933727412533635</v>
      </c>
      <c r="R365" s="46">
        <f>(SUM(H$2:H365)*E$1+A365)/SUM(H$2:H365)</f>
        <v>0.34673259647081639</v>
      </c>
      <c r="S365" s="62"/>
    </row>
    <row r="366" spans="1:19" s="7" customFormat="1" hidden="1" x14ac:dyDescent="0.3">
      <c r="A366" s="172">
        <f t="shared" si="38"/>
        <v>0.26597222222220551</v>
      </c>
      <c r="B366" s="13" t="s">
        <v>4</v>
      </c>
      <c r="C366" s="117">
        <f t="shared" si="39"/>
        <v>43273</v>
      </c>
      <c r="D366" s="117" t="s">
        <v>83</v>
      </c>
      <c r="E366" s="15">
        <v>0.37152777777777773</v>
      </c>
      <c r="F366" s="15">
        <v>0.73958333333333337</v>
      </c>
      <c r="G366" s="16">
        <v>0</v>
      </c>
      <c r="H366" s="17">
        <v>1</v>
      </c>
      <c r="I366" s="136" t="str">
        <f>IF(J366&lt;0,-J366,"")</f>
        <v/>
      </c>
      <c r="J366" s="154">
        <f t="shared" si="40"/>
        <v>8.3333333333333592E-3</v>
      </c>
      <c r="K366" s="36"/>
      <c r="L366" s="36">
        <v>52</v>
      </c>
      <c r="M366" s="18">
        <v>0.33333333333333331</v>
      </c>
      <c r="O366" s="143">
        <f t="shared" si="42"/>
        <v>6.9444444444444753E-3</v>
      </c>
      <c r="P366" s="137">
        <f>A366-A361</f>
        <v>-6.9444444444444753E-3</v>
      </c>
      <c r="Q366" s="123">
        <f>(SUM(E$2:E$21)+SUM(E$25:E$154)+SUM(E$156:E366))/(COUNTA(E$2:E366)-4)</f>
        <v>0.37931034482758613</v>
      </c>
      <c r="R366" s="46">
        <f>(SUM(H$2:H366)*E$1+A366)/SUM(H$2:H366)</f>
        <v>0.34675845410628015</v>
      </c>
      <c r="S366" s="41">
        <f>IF(COUNTA(M362:M366)=0,0,SUM(M362:M366)/COUNTA(M362:M366))</f>
        <v>0.21666666666666665</v>
      </c>
    </row>
    <row r="367" spans="1:19" s="7" customFormat="1" hidden="1" x14ac:dyDescent="0.3">
      <c r="A367" s="170">
        <f t="shared" si="38"/>
        <v>0.29513888888887219</v>
      </c>
      <c r="B367" s="2" t="s">
        <v>0</v>
      </c>
      <c r="C367" s="120">
        <f t="shared" si="39"/>
        <v>43276</v>
      </c>
      <c r="D367" s="120" t="s">
        <v>86</v>
      </c>
      <c r="E367" s="4">
        <v>0.38194444444444442</v>
      </c>
      <c r="F367" s="4">
        <v>0.77083333333333337</v>
      </c>
      <c r="G367" s="5">
        <v>0</v>
      </c>
      <c r="H367" s="2">
        <v>1</v>
      </c>
      <c r="I367" s="134" t="str">
        <f t="shared" si="43"/>
        <v/>
      </c>
      <c r="J367" s="152">
        <f t="shared" si="40"/>
        <v>2.9166666666666674E-2</v>
      </c>
      <c r="K367" s="34">
        <v>65</v>
      </c>
      <c r="L367" s="34">
        <v>56</v>
      </c>
      <c r="M367" s="6">
        <v>0.14583333333333334</v>
      </c>
      <c r="O367" s="143" t="str">
        <f t="shared" si="42"/>
        <v/>
      </c>
      <c r="P367" s="45"/>
      <c r="Q367" s="123">
        <f>(SUM(E$2:E$21)+SUM(E$25:E$154)+SUM(E$156:E367))/(COUNTA(E$2:E367)-4)</f>
        <v>0.37931939671630388</v>
      </c>
      <c r="R367" s="46">
        <f>(SUM(H$2:H367)*E$1+A367)/SUM(H$2:H367)</f>
        <v>0.34685634507991525</v>
      </c>
      <c r="S367" s="61"/>
    </row>
    <row r="368" spans="1:19" s="7" customFormat="1" hidden="1" x14ac:dyDescent="0.3">
      <c r="A368" s="171">
        <f t="shared" si="38"/>
        <v>0.31041666666664985</v>
      </c>
      <c r="B368" s="8" t="s">
        <v>1</v>
      </c>
      <c r="C368" s="121">
        <f t="shared" si="39"/>
        <v>43277</v>
      </c>
      <c r="D368" s="121" t="s">
        <v>87</v>
      </c>
      <c r="E368" s="10">
        <v>0.37847222222222227</v>
      </c>
      <c r="F368" s="10">
        <v>0.75347222222222221</v>
      </c>
      <c r="G368" s="11">
        <v>1</v>
      </c>
      <c r="H368" s="45">
        <v>1</v>
      </c>
      <c r="I368" s="135" t="str">
        <f t="shared" si="43"/>
        <v/>
      </c>
      <c r="J368" s="153">
        <f t="shared" si="40"/>
        <v>1.5277777777777668E-2</v>
      </c>
      <c r="K368" s="35">
        <v>56</v>
      </c>
      <c r="L368" s="35">
        <v>56</v>
      </c>
      <c r="M368" s="12">
        <v>0.27083333333333331</v>
      </c>
      <c r="O368" s="143" t="str">
        <f t="shared" si="42"/>
        <v/>
      </c>
      <c r="P368" s="45"/>
      <c r="Q368" s="123">
        <f>(SUM(E$2:E$21)+SUM(E$25:E$154)+SUM(E$156:E368))/(COUNTA(E$2:E368)-4)</f>
        <v>0.37931649543378992</v>
      </c>
      <c r="R368" s="46">
        <f>(SUM(H$2:H368)*E$1+A368)/SUM(H$2:H368)</f>
        <v>0.34690558434081753</v>
      </c>
      <c r="S368" s="62"/>
    </row>
    <row r="369" spans="1:19" s="7" customFormat="1" hidden="1" x14ac:dyDescent="0.3">
      <c r="A369" s="171">
        <f t="shared" si="38"/>
        <v>0.32916666666664984</v>
      </c>
      <c r="B369" s="8" t="s">
        <v>2</v>
      </c>
      <c r="C369" s="121">
        <f t="shared" si="39"/>
        <v>43278</v>
      </c>
      <c r="D369" s="121" t="s">
        <v>298</v>
      </c>
      <c r="E369" s="10">
        <v>0.375</v>
      </c>
      <c r="F369" s="10">
        <v>0.76736111111111116</v>
      </c>
      <c r="G369" s="11">
        <v>2</v>
      </c>
      <c r="H369" s="45">
        <v>1</v>
      </c>
      <c r="I369" s="135" t="str">
        <f t="shared" si="43"/>
        <v/>
      </c>
      <c r="J369" s="153">
        <f t="shared" si="40"/>
        <v>1.8749999999999989E-2</v>
      </c>
      <c r="K369" s="35"/>
      <c r="L369" s="35">
        <v>40</v>
      </c>
      <c r="M369" s="12">
        <v>0.27083333333333331</v>
      </c>
      <c r="O369" s="143" t="str">
        <f t="shared" si="42"/>
        <v/>
      </c>
      <c r="P369" s="45"/>
      <c r="Q369" s="123">
        <f>(SUM(E$2:E$21)+SUM(E$25:E$154)+SUM(E$156:E369))/(COUNTA(E$2:E369)-4)</f>
        <v>0.37930176336746302</v>
      </c>
      <c r="R369" s="46">
        <f>(SUM(H$2:H369)*E$1+A369)/SUM(H$2:H369)</f>
        <v>0.34696643717728054</v>
      </c>
      <c r="S369" s="62"/>
    </row>
    <row r="370" spans="1:19" s="7" customFormat="1" hidden="1" x14ac:dyDescent="0.3">
      <c r="A370" s="171">
        <f t="shared" si="38"/>
        <v>0.3097222222222053</v>
      </c>
      <c r="B370" s="8" t="s">
        <v>3</v>
      </c>
      <c r="C370" s="121">
        <f t="shared" si="39"/>
        <v>43279</v>
      </c>
      <c r="D370" s="121" t="s">
        <v>299</v>
      </c>
      <c r="E370" s="10">
        <v>0.36805555555555558</v>
      </c>
      <c r="F370" s="10">
        <v>0.75</v>
      </c>
      <c r="G370" s="11">
        <v>4</v>
      </c>
      <c r="H370" s="45">
        <v>1</v>
      </c>
      <c r="I370" s="135">
        <f t="shared" si="43"/>
        <v>1.9444444444444542E-2</v>
      </c>
      <c r="J370" s="153">
        <f t="shared" si="40"/>
        <v>-1.9444444444444542E-2</v>
      </c>
      <c r="K370" s="35">
        <v>53</v>
      </c>
      <c r="L370" s="35">
        <v>40</v>
      </c>
      <c r="M370" s="12">
        <v>0.22916666666666666</v>
      </c>
      <c r="O370" s="143" t="str">
        <f t="shared" si="42"/>
        <v/>
      </c>
      <c r="P370" s="45"/>
      <c r="Q370" s="123">
        <f>(SUM(E$2:E$21)+SUM(E$25:E$154)+SUM(E$156:E370))/(COUNTA(E$2:E370)-4)</f>
        <v>0.37926351095993943</v>
      </c>
      <c r="R370" s="46">
        <f>(SUM(H$2:H370)*E$1+A370)/SUM(H$2:H370)</f>
        <v>0.34689584524490186</v>
      </c>
      <c r="S370" s="62"/>
    </row>
    <row r="371" spans="1:19" s="7" customFormat="1" hidden="1" x14ac:dyDescent="0.3">
      <c r="A371" s="172">
        <f t="shared" si="38"/>
        <v>0.33194444444442756</v>
      </c>
      <c r="B371" s="13" t="s">
        <v>4</v>
      </c>
      <c r="C371" s="117">
        <f t="shared" si="39"/>
        <v>43280</v>
      </c>
      <c r="D371" s="117" t="s">
        <v>88</v>
      </c>
      <c r="E371" s="15">
        <v>0.375</v>
      </c>
      <c r="F371" s="15">
        <v>0.75694444444444453</v>
      </c>
      <c r="G371" s="16">
        <v>1</v>
      </c>
      <c r="H371" s="17">
        <v>1</v>
      </c>
      <c r="I371" s="136" t="str">
        <f>IF(J371&lt;0,-J371,"")</f>
        <v/>
      </c>
      <c r="J371" s="154">
        <f t="shared" si="40"/>
        <v>2.2222222222222254E-2</v>
      </c>
      <c r="K371" s="36">
        <v>40</v>
      </c>
      <c r="L371" s="36">
        <v>40</v>
      </c>
      <c r="M371" s="18">
        <v>0.25</v>
      </c>
      <c r="N371" s="7">
        <f>SUM(H351:H371)</f>
        <v>20.5</v>
      </c>
      <c r="O371" s="143" t="str">
        <f t="shared" si="42"/>
        <v/>
      </c>
      <c r="P371" s="137">
        <f>A371-A366</f>
        <v>6.5972222222222043E-2</v>
      </c>
      <c r="Q371" s="123">
        <f>(SUM(E$2:E$21)+SUM(E$25:E$154)+SUM(E$156:E371))/(COUNTA(E$2:E371)-4)</f>
        <v>0.37924905838041423</v>
      </c>
      <c r="R371" s="46">
        <f>(SUM(H$2:H371)*E$1+A371)/SUM(H$2:H371)</f>
        <v>0.34696818613485281</v>
      </c>
      <c r="S371" s="41">
        <f>IF(COUNTA(M367:M371)=0,0,SUM(M367:M371)/COUNTA(M367:M371))</f>
        <v>0.23333333333333331</v>
      </c>
    </row>
    <row r="372" spans="1:19" s="7" customFormat="1" hidden="1" x14ac:dyDescent="0.3">
      <c r="A372" s="170">
        <f t="shared" si="38"/>
        <v>0.32986111111109429</v>
      </c>
      <c r="B372" s="2" t="s">
        <v>0</v>
      </c>
      <c r="C372" s="120">
        <f t="shared" si="39"/>
        <v>43283</v>
      </c>
      <c r="D372" s="120" t="s">
        <v>91</v>
      </c>
      <c r="E372" s="4">
        <v>0.37152777777777773</v>
      </c>
      <c r="F372" s="4">
        <v>0.75694444444444453</v>
      </c>
      <c r="G372" s="5">
        <v>3</v>
      </c>
      <c r="H372" s="2">
        <v>1</v>
      </c>
      <c r="I372" s="134">
        <f t="shared" ref="I372:I390" si="44">IF(J372&lt;0,-J372,"")</f>
        <v>2.0833333333332704E-3</v>
      </c>
      <c r="J372" s="152">
        <f t="shared" si="40"/>
        <v>-2.0833333333332704E-3</v>
      </c>
      <c r="K372" s="34">
        <v>59</v>
      </c>
      <c r="L372" s="34">
        <v>46</v>
      </c>
      <c r="M372" s="6">
        <v>0.14583333333333334</v>
      </c>
      <c r="O372" s="143" t="str">
        <f t="shared" si="42"/>
        <v/>
      </c>
      <c r="P372" s="45"/>
      <c r="Q372" s="123">
        <f>(SUM(E$2:E$21)+SUM(E$25:E$154)+SUM(E$156:E372))/(COUNTA(E$2:E372)-4)</f>
        <v>0.37922297297297286</v>
      </c>
      <c r="R372" s="46">
        <f>(SUM(H$2:H372)*E$1+A372)/SUM(H$2:H372)</f>
        <v>0.34695722127579026</v>
      </c>
      <c r="S372" s="61"/>
    </row>
    <row r="373" spans="1:19" s="7" customFormat="1" hidden="1" x14ac:dyDescent="0.3">
      <c r="A373" s="171">
        <f t="shared" si="38"/>
        <v>0.32083333333331648</v>
      </c>
      <c r="B373" s="8" t="s">
        <v>1</v>
      </c>
      <c r="C373" s="121">
        <f t="shared" si="39"/>
        <v>43284</v>
      </c>
      <c r="D373" s="121" t="s">
        <v>92</v>
      </c>
      <c r="E373" s="10">
        <v>0.38194444444444442</v>
      </c>
      <c r="F373" s="10">
        <v>0.74652777777777779</v>
      </c>
      <c r="G373" s="11">
        <v>2</v>
      </c>
      <c r="H373" s="45">
        <v>1</v>
      </c>
      <c r="I373" s="135">
        <f t="shared" si="44"/>
        <v>9.0277777777778012E-3</v>
      </c>
      <c r="J373" s="153">
        <f t="shared" si="40"/>
        <v>-9.0277777777778012E-3</v>
      </c>
      <c r="K373" s="35">
        <v>53</v>
      </c>
      <c r="L373" s="35">
        <v>51</v>
      </c>
      <c r="M373" s="12">
        <v>0.20833333333333334</v>
      </c>
      <c r="O373" s="143" t="str">
        <f t="shared" si="42"/>
        <v/>
      </c>
      <c r="P373" s="45"/>
      <c r="Q373" s="123">
        <f>(SUM(E$2:E$21)+SUM(E$25:E$154)+SUM(E$156:E373))/(COUNTA(E$2:E373)-4)</f>
        <v>0.37923213617658058</v>
      </c>
      <c r="R373" s="46">
        <f>(SUM(H$2:H373)*E$1+A373)/SUM(H$2:H373)</f>
        <v>0.3469227504244482</v>
      </c>
      <c r="S373" s="62"/>
    </row>
    <row r="374" spans="1:19" s="7" customFormat="1" hidden="1" x14ac:dyDescent="0.3">
      <c r="A374" s="171">
        <f t="shared" si="38"/>
        <v>0.32569444444442758</v>
      </c>
      <c r="B374" s="8" t="s">
        <v>2</v>
      </c>
      <c r="C374" s="121">
        <f t="shared" si="39"/>
        <v>43285</v>
      </c>
      <c r="D374" s="121" t="s">
        <v>300</v>
      </c>
      <c r="E374" s="10">
        <v>0.37847222222222227</v>
      </c>
      <c r="F374" s="10">
        <v>0.75694444444444453</v>
      </c>
      <c r="G374" s="11">
        <v>2</v>
      </c>
      <c r="H374" s="45">
        <v>1</v>
      </c>
      <c r="I374" s="135" t="str">
        <f t="shared" si="44"/>
        <v/>
      </c>
      <c r="J374" s="153">
        <f t="shared" si="40"/>
        <v>4.8611111111110938E-3</v>
      </c>
      <c r="K374" s="35">
        <v>48</v>
      </c>
      <c r="L374" s="35">
        <v>48</v>
      </c>
      <c r="M374" s="12">
        <v>0.16666666666666666</v>
      </c>
      <c r="O374" s="143" t="str">
        <f t="shared" si="42"/>
        <v/>
      </c>
      <c r="P374" s="45"/>
      <c r="Q374" s="123">
        <f>(SUM(E$2:E$21)+SUM(E$25:E$154)+SUM(E$156:E374))/(COUNTA(E$2:E374)-4)</f>
        <v>0.37922958612975388</v>
      </c>
      <c r="R374" s="46">
        <f>(SUM(H$2:H374)*E$1+A374)/SUM(H$2:H374)</f>
        <v>0.34693551419439739</v>
      </c>
      <c r="S374" s="62"/>
    </row>
    <row r="375" spans="1:19" s="7" customFormat="1" hidden="1" x14ac:dyDescent="0.3">
      <c r="A375" s="171">
        <f t="shared" si="38"/>
        <v>0.29236111111109431</v>
      </c>
      <c r="B375" s="8" t="s">
        <v>3</v>
      </c>
      <c r="C375" s="121">
        <f t="shared" si="39"/>
        <v>43286</v>
      </c>
      <c r="D375" s="121" t="s">
        <v>301</v>
      </c>
      <c r="E375" s="10">
        <v>0.3888888888888889</v>
      </c>
      <c r="F375" s="10">
        <v>0.75694444444444453</v>
      </c>
      <c r="G375" s="11">
        <v>4</v>
      </c>
      <c r="H375" s="45">
        <v>1</v>
      </c>
      <c r="I375" s="135">
        <f t="shared" si="44"/>
        <v>3.333333333333327E-2</v>
      </c>
      <c r="J375" s="153">
        <f t="shared" si="40"/>
        <v>-3.333333333333327E-2</v>
      </c>
      <c r="K375" s="35">
        <v>55</v>
      </c>
      <c r="L375" s="35">
        <v>55</v>
      </c>
      <c r="M375" s="12">
        <v>0.29166666666666669</v>
      </c>
      <c r="O375" s="143" t="str">
        <f t="shared" si="42"/>
        <v/>
      </c>
      <c r="P375" s="45"/>
      <c r="Q375" s="123">
        <f>(SUM(E$2:E$21)+SUM(E$25:E$154)+SUM(E$156:E375))/(COUNTA(E$2:E375)-4)</f>
        <v>0.37926189149015233</v>
      </c>
      <c r="R375" s="46">
        <f>(SUM(H$2:H375)*E$1+A375)/SUM(H$2:H375)</f>
        <v>0.34681937418025111</v>
      </c>
      <c r="S375" s="62"/>
    </row>
    <row r="376" spans="1:19" s="7" customFormat="1" hidden="1" x14ac:dyDescent="0.3">
      <c r="A376" s="172">
        <f t="shared" si="38"/>
        <v>0.32152777777776087</v>
      </c>
      <c r="B376" s="13" t="s">
        <v>4</v>
      </c>
      <c r="C376" s="117">
        <f t="shared" si="39"/>
        <v>43287</v>
      </c>
      <c r="D376" s="117" t="s">
        <v>93</v>
      </c>
      <c r="E376" s="15">
        <v>0.375</v>
      </c>
      <c r="F376" s="15">
        <v>0.76388888888888884</v>
      </c>
      <c r="G376" s="16">
        <v>1</v>
      </c>
      <c r="H376" s="17">
        <v>1</v>
      </c>
      <c r="I376" s="136" t="str">
        <f>IF(J376&lt;0,-J376,"")</f>
        <v/>
      </c>
      <c r="J376" s="154">
        <f t="shared" si="40"/>
        <v>2.9166666666666563E-2</v>
      </c>
      <c r="K376" s="36">
        <v>50</v>
      </c>
      <c r="L376" s="36">
        <v>50</v>
      </c>
      <c r="M376" s="18">
        <v>0.16666666666666666</v>
      </c>
      <c r="O376" s="143">
        <f t="shared" si="42"/>
        <v>1.0416666666666685E-2</v>
      </c>
      <c r="P376" s="137">
        <f>A376-A371</f>
        <v>-1.0416666666666685E-2</v>
      </c>
      <c r="Q376" s="123">
        <f>(SUM(E$2:E$21)+SUM(E$25:E$154)+SUM(E$156:E376))/(COUNTA(E$2:E376)-4)</f>
        <v>0.37924768518518515</v>
      </c>
      <c r="R376" s="46">
        <f>(SUM(H$2:H376)*E$1+A376)/SUM(H$2:H376)</f>
        <v>0.34691409897292252</v>
      </c>
      <c r="S376" s="41">
        <f>IF(COUNTA(M372:M376)=0,0,SUM(M372:M376)/COUNTA(M372:M376))</f>
        <v>0.19583333333333333</v>
      </c>
    </row>
    <row r="377" spans="1:19" s="7" customFormat="1" hidden="1" x14ac:dyDescent="0.3">
      <c r="A377" s="170">
        <f t="shared" si="38"/>
        <v>0.36111111111109406</v>
      </c>
      <c r="B377" s="2" t="s">
        <v>0</v>
      </c>
      <c r="C377" s="120">
        <f t="shared" si="39"/>
        <v>43290</v>
      </c>
      <c r="D377" s="120" t="s">
        <v>96</v>
      </c>
      <c r="E377" s="4">
        <v>0.375</v>
      </c>
      <c r="F377" s="4">
        <v>0.77430555555555547</v>
      </c>
      <c r="G377" s="5">
        <v>1</v>
      </c>
      <c r="H377" s="2">
        <v>1</v>
      </c>
      <c r="I377" s="134" t="str">
        <f t="shared" si="44"/>
        <v/>
      </c>
      <c r="J377" s="152">
        <f t="shared" si="40"/>
        <v>3.9583333333333193E-2</v>
      </c>
      <c r="K377" s="34">
        <v>70</v>
      </c>
      <c r="L377" s="34">
        <v>64</v>
      </c>
      <c r="M377" s="6">
        <v>0.125</v>
      </c>
      <c r="O377" s="143" t="str">
        <f t="shared" si="42"/>
        <v/>
      </c>
      <c r="P377" s="45"/>
      <c r="Q377" s="123">
        <f>(SUM(E$2:E$21)+SUM(E$25:E$154)+SUM(E$156:E377))/(COUNTA(E$2:E377)-4)</f>
        <v>0.37923357327427093</v>
      </c>
      <c r="R377" s="46">
        <f>(SUM(H$2:H377)*E$1+A377)/SUM(H$2:H377)</f>
        <v>0.34704308579936721</v>
      </c>
      <c r="S377" s="61"/>
    </row>
    <row r="378" spans="1:19" s="7" customFormat="1" hidden="1" x14ac:dyDescent="0.3">
      <c r="A378" s="171">
        <f t="shared" si="38"/>
        <v>0.39722222222220499</v>
      </c>
      <c r="B378" s="8" t="s">
        <v>1</v>
      </c>
      <c r="C378" s="121">
        <f t="shared" si="39"/>
        <v>43291</v>
      </c>
      <c r="D378" s="121" t="s">
        <v>97</v>
      </c>
      <c r="E378" s="10">
        <v>0.37847222222222227</v>
      </c>
      <c r="F378" s="10">
        <v>0.77430555555555547</v>
      </c>
      <c r="G378" s="11">
        <v>1</v>
      </c>
      <c r="H378" s="45">
        <v>1</v>
      </c>
      <c r="I378" s="135" t="str">
        <f t="shared" si="44"/>
        <v/>
      </c>
      <c r="J378" s="153">
        <f t="shared" si="40"/>
        <v>3.6111111111110927E-2</v>
      </c>
      <c r="K378" s="35">
        <v>64</v>
      </c>
      <c r="L378" s="35">
        <v>64</v>
      </c>
      <c r="M378" s="12">
        <v>0.22916666666666666</v>
      </c>
      <c r="O378" s="143" t="str">
        <f t="shared" si="42"/>
        <v/>
      </c>
      <c r="P378" s="45"/>
      <c r="Q378" s="123">
        <f>(SUM(E$2:E$21)+SUM(E$25:E$154)+SUM(E$156:E378))/(COUNTA(E$2:E378)-4)</f>
        <v>0.37923105224429726</v>
      </c>
      <c r="R378" s="46">
        <f>(SUM(H$2:H378)*E$1+A378)/SUM(H$2:H378)</f>
        <v>0.34715961788165461</v>
      </c>
      <c r="S378" s="62"/>
    </row>
    <row r="379" spans="1:19" s="7" customFormat="1" hidden="1" x14ac:dyDescent="0.3">
      <c r="A379" s="171">
        <f t="shared" si="38"/>
        <v>0.2840277777777605</v>
      </c>
      <c r="B379" s="8" t="s">
        <v>2</v>
      </c>
      <c r="C379" s="121">
        <f t="shared" si="39"/>
        <v>43292</v>
      </c>
      <c r="D379" s="121" t="s">
        <v>302</v>
      </c>
      <c r="E379" s="10">
        <v>0.50347222222222221</v>
      </c>
      <c r="F379" s="10">
        <v>0.75</v>
      </c>
      <c r="G379" s="11">
        <v>0</v>
      </c>
      <c r="H379" s="45">
        <v>1</v>
      </c>
      <c r="I379" s="135">
        <f t="shared" si="44"/>
        <v>0.11319444444444449</v>
      </c>
      <c r="J379" s="153">
        <f t="shared" si="40"/>
        <v>-0.11319444444444449</v>
      </c>
      <c r="K379" s="35">
        <v>64</v>
      </c>
      <c r="L379" s="35"/>
      <c r="M379" s="12">
        <v>0.3125</v>
      </c>
      <c r="O379" s="143" t="str">
        <f t="shared" si="42"/>
        <v/>
      </c>
      <c r="P379" s="45"/>
      <c r="Q379" s="123">
        <f>(SUM(E$2:E$21)+SUM(E$25:E$154)+SUM(E$156:E379))/(COUNTA(E$2:E379)-4)</f>
        <v>0.37964108910891087</v>
      </c>
      <c r="R379" s="46">
        <f>(SUM(H$2:H379)*E$1+A379)/SUM(H$2:H379)</f>
        <v>0.34677851728600478</v>
      </c>
      <c r="S379" s="62"/>
    </row>
    <row r="380" spans="1:19" s="7" customFormat="1" hidden="1" x14ac:dyDescent="0.3">
      <c r="A380" s="171">
        <f t="shared" si="38"/>
        <v>0.29236111111109364</v>
      </c>
      <c r="B380" s="8" t="s">
        <v>3</v>
      </c>
      <c r="C380" s="121">
        <f t="shared" si="39"/>
        <v>43293</v>
      </c>
      <c r="D380" s="121" t="s">
        <v>303</v>
      </c>
      <c r="E380" s="10">
        <v>0.37847222222222227</v>
      </c>
      <c r="F380" s="10">
        <v>0.77430555555555547</v>
      </c>
      <c r="G380" s="11">
        <v>3</v>
      </c>
      <c r="H380" s="45">
        <v>1</v>
      </c>
      <c r="I380" s="135" t="str">
        <f t="shared" si="44"/>
        <v/>
      </c>
      <c r="J380" s="153">
        <f t="shared" si="40"/>
        <v>8.3333333333331372E-3</v>
      </c>
      <c r="K380" s="35">
        <v>50</v>
      </c>
      <c r="L380" s="35">
        <v>59</v>
      </c>
      <c r="M380" s="12">
        <v>0.16666666666666666</v>
      </c>
      <c r="O380" s="143" t="str">
        <f t="shared" si="42"/>
        <v/>
      </c>
      <c r="P380" s="45"/>
      <c r="Q380" s="123">
        <f>(SUM(E$2:E$21)+SUM(E$25:E$154)+SUM(E$156:E380))/(COUNTA(E$2:E380)-4)</f>
        <v>0.3796372441520468</v>
      </c>
      <c r="R380" s="46">
        <f>(SUM(H$2:H380)*E$1+A380)/SUM(H$2:H380)</f>
        <v>0.34680302192740003</v>
      </c>
      <c r="S380" s="62"/>
    </row>
    <row r="381" spans="1:19" s="7" customFormat="1" hidden="1" x14ac:dyDescent="0.3">
      <c r="A381" s="172">
        <f t="shared" si="38"/>
        <v>0.31111111111109352</v>
      </c>
      <c r="B381" s="13" t="s">
        <v>4</v>
      </c>
      <c r="C381" s="117">
        <f t="shared" si="39"/>
        <v>43294</v>
      </c>
      <c r="D381" s="117" t="s">
        <v>98</v>
      </c>
      <c r="E381" s="15">
        <v>0.38541666666666669</v>
      </c>
      <c r="F381" s="15">
        <v>0.76388888888888884</v>
      </c>
      <c r="G381" s="16">
        <v>0</v>
      </c>
      <c r="H381" s="17">
        <v>1</v>
      </c>
      <c r="I381" s="136" t="str">
        <f>IF(J381&lt;0,-J381,"")</f>
        <v/>
      </c>
      <c r="J381" s="154">
        <f t="shared" si="40"/>
        <v>1.8749999999999878E-2</v>
      </c>
      <c r="K381" s="36">
        <v>59</v>
      </c>
      <c r="L381" s="36"/>
      <c r="M381" s="18">
        <v>0.20833333333333334</v>
      </c>
      <c r="O381" s="143">
        <f t="shared" si="42"/>
        <v>1.0416666666667351E-2</v>
      </c>
      <c r="P381" s="137">
        <f>A381-A376</f>
        <v>-1.0416666666667351E-2</v>
      </c>
      <c r="Q381" s="123">
        <f>(SUM(E$2:E$21)+SUM(E$25:E$154)+SUM(E$156:E381))/(COUNTA(E$2:E381)-4)</f>
        <v>0.37965619307832421</v>
      </c>
      <c r="R381" s="46">
        <f>(SUM(H$2:H381)*E$1+A381)/SUM(H$2:H381)</f>
        <v>0.34686179981634524</v>
      </c>
      <c r="S381" s="41">
        <f>IF(COUNTA(M377:M381)=0,0,SUM(M377:M381)/COUNTA(M377:M381))</f>
        <v>0.20833333333333331</v>
      </c>
    </row>
    <row r="382" spans="1:19" s="7" customFormat="1" hidden="1" x14ac:dyDescent="0.3">
      <c r="A382" s="51">
        <f t="shared" si="38"/>
        <v>0.34722222222220456</v>
      </c>
      <c r="B382" s="2" t="s">
        <v>0</v>
      </c>
      <c r="C382" s="120">
        <f t="shared" si="39"/>
        <v>43297</v>
      </c>
      <c r="D382" s="120" t="s">
        <v>101</v>
      </c>
      <c r="E382" s="4">
        <v>0.36458333333333331</v>
      </c>
      <c r="F382" s="4">
        <v>0.76041666666666663</v>
      </c>
      <c r="G382" s="5">
        <v>1</v>
      </c>
      <c r="H382" s="2">
        <v>1</v>
      </c>
      <c r="I382" s="134" t="str">
        <f t="shared" si="44"/>
        <v/>
      </c>
      <c r="J382" s="152">
        <f t="shared" si="40"/>
        <v>3.6111111111111038E-2</v>
      </c>
      <c r="K382" s="34">
        <v>82</v>
      </c>
      <c r="L382" s="34">
        <v>72</v>
      </c>
      <c r="M382" s="6">
        <v>0.25</v>
      </c>
      <c r="O382" s="143" t="str">
        <f t="shared" si="42"/>
        <v/>
      </c>
      <c r="P382" s="45"/>
      <c r="Q382" s="123">
        <f>(SUM(E$2:E$21)+SUM(E$25:E$154)+SUM(E$156:E382))/(COUNTA(E$2:E382)-4)</f>
        <v>0.37960693536673928</v>
      </c>
      <c r="R382" s="46">
        <f>(SUM(H$2:H382)*E$1+A382)/SUM(H$2:H382)</f>
        <v>0.34697739337360423</v>
      </c>
      <c r="S382" s="61"/>
    </row>
    <row r="383" spans="1:19" s="7" customFormat="1" hidden="1" x14ac:dyDescent="0.3">
      <c r="A383" s="52">
        <f t="shared" ref="A383:A446" si="45">A382+J383</f>
        <v>0.38680555555553786</v>
      </c>
      <c r="B383" s="8" t="s">
        <v>1</v>
      </c>
      <c r="C383" s="121">
        <f t="shared" si="39"/>
        <v>43298</v>
      </c>
      <c r="D383" s="121" t="s">
        <v>102</v>
      </c>
      <c r="E383" s="10">
        <v>0.36805555555555558</v>
      </c>
      <c r="F383" s="10">
        <v>0.76736111111111116</v>
      </c>
      <c r="G383" s="11">
        <v>1</v>
      </c>
      <c r="H383" s="45">
        <v>1</v>
      </c>
      <c r="I383" s="135" t="str">
        <f t="shared" si="44"/>
        <v/>
      </c>
      <c r="J383" s="153">
        <f t="shared" si="40"/>
        <v>3.9583333333333304E-2</v>
      </c>
      <c r="K383" s="35">
        <v>79</v>
      </c>
      <c r="L383" s="35">
        <v>73</v>
      </c>
      <c r="M383" s="12">
        <v>0.22916666666666666</v>
      </c>
      <c r="O383" s="143" t="str">
        <f t="shared" si="42"/>
        <v/>
      </c>
      <c r="P383" s="45"/>
      <c r="Q383" s="123">
        <f>(SUM(E$2:E$21)+SUM(E$25:E$154)+SUM(E$156:E383))/(COUNTA(E$2:E383)-4)</f>
        <v>0.37956930872240319</v>
      </c>
      <c r="R383" s="46">
        <f>(SUM(H$2:H383)*E$1+A383)/SUM(H$2:H383)</f>
        <v>0.34710363072432038</v>
      </c>
      <c r="S383" s="62"/>
    </row>
    <row r="384" spans="1:19" s="7" customFormat="1" hidden="1" x14ac:dyDescent="0.3">
      <c r="A384" s="52">
        <f t="shared" si="45"/>
        <v>0.3916666666666489</v>
      </c>
      <c r="B384" s="8" t="s">
        <v>2</v>
      </c>
      <c r="C384" s="121">
        <f t="shared" si="39"/>
        <v>43299</v>
      </c>
      <c r="D384" s="121" t="s">
        <v>304</v>
      </c>
      <c r="E384" s="10">
        <v>0.3888888888888889</v>
      </c>
      <c r="F384" s="10">
        <v>0.75347222222222221</v>
      </c>
      <c r="G384" s="11">
        <v>1</v>
      </c>
      <c r="H384" s="45">
        <v>1</v>
      </c>
      <c r="I384" s="135" t="str">
        <f t="shared" si="44"/>
        <v/>
      </c>
      <c r="J384" s="153">
        <f t="shared" si="40"/>
        <v>4.8611111111110383E-3</v>
      </c>
      <c r="K384" s="35">
        <v>63</v>
      </c>
      <c r="L384" s="35">
        <v>53</v>
      </c>
      <c r="M384" s="12">
        <v>0.16666666666666666</v>
      </c>
      <c r="O384" s="143" t="str">
        <f t="shared" si="42"/>
        <v/>
      </c>
      <c r="P384" s="45"/>
      <c r="Q384" s="123">
        <f>(SUM(E$2:E$21)+SUM(E$25:E$154)+SUM(E$156:E384))/(COUNTA(E$2:E384)-4)</f>
        <v>0.37959956709956705</v>
      </c>
      <c r="R384" s="46">
        <f>(SUM(H$2:H384)*E$1+A384)/SUM(H$2:H384)</f>
        <v>0.3471153846153846</v>
      </c>
      <c r="S384" s="62"/>
    </row>
    <row r="385" spans="1:21" s="7" customFormat="1" hidden="1" x14ac:dyDescent="0.3">
      <c r="A385" s="52">
        <f t="shared" si="45"/>
        <v>0.37222222222220447</v>
      </c>
      <c r="B385" s="8" t="s">
        <v>3</v>
      </c>
      <c r="C385" s="121">
        <f t="shared" si="39"/>
        <v>43300</v>
      </c>
      <c r="D385" s="121" t="s">
        <v>305</v>
      </c>
      <c r="E385" s="10">
        <v>0.38541666666666669</v>
      </c>
      <c r="F385" s="10">
        <v>0.76736111111111116</v>
      </c>
      <c r="G385" s="11">
        <v>4</v>
      </c>
      <c r="H385" s="45">
        <v>1</v>
      </c>
      <c r="I385" s="135">
        <f t="shared" si="44"/>
        <v>1.9444444444444431E-2</v>
      </c>
      <c r="J385" s="153">
        <f t="shared" si="40"/>
        <v>-1.9444444444444431E-2</v>
      </c>
      <c r="K385" s="35">
        <v>60</v>
      </c>
      <c r="L385" s="35">
        <v>55</v>
      </c>
      <c r="M385" s="12">
        <v>0.25</v>
      </c>
      <c r="O385" s="143" t="str">
        <f t="shared" si="42"/>
        <v/>
      </c>
      <c r="P385" s="45"/>
      <c r="Q385" s="123">
        <f>(SUM(E$2:E$21)+SUM(E$25:E$154)+SUM(E$156:E385))/(COUNTA(E$2:E385)-4)</f>
        <v>0.3796183926645092</v>
      </c>
      <c r="R385" s="46">
        <f>(SUM(H$2:H385)*E$1+A385)/SUM(H$2:H385)</f>
        <v>0.34704776146456406</v>
      </c>
      <c r="S385" s="62"/>
    </row>
    <row r="386" spans="1:21" s="7" customFormat="1" hidden="1" x14ac:dyDescent="0.3">
      <c r="A386" s="53">
        <f t="shared" si="45"/>
        <v>0.37708333333331556</v>
      </c>
      <c r="B386" s="13" t="s">
        <v>4</v>
      </c>
      <c r="C386" s="117">
        <f t="shared" si="39"/>
        <v>43301</v>
      </c>
      <c r="D386" s="117" t="s">
        <v>103</v>
      </c>
      <c r="E386" s="15">
        <v>0.38194444444444442</v>
      </c>
      <c r="F386" s="15">
        <v>0.74652777777777779</v>
      </c>
      <c r="G386" s="16">
        <v>1</v>
      </c>
      <c r="H386" s="17">
        <v>1</v>
      </c>
      <c r="I386" s="136" t="str">
        <f>IF(J386&lt;0,-J386,"")</f>
        <v/>
      </c>
      <c r="J386" s="154">
        <f t="shared" si="40"/>
        <v>4.8611111111110938E-3</v>
      </c>
      <c r="K386" s="36">
        <v>60</v>
      </c>
      <c r="L386" s="36">
        <v>60</v>
      </c>
      <c r="M386" s="18">
        <v>0.1875</v>
      </c>
      <c r="O386" s="143" t="str">
        <f t="shared" si="42"/>
        <v/>
      </c>
      <c r="P386" s="137">
        <f>A386-A381</f>
        <v>6.5972222222222043E-2</v>
      </c>
      <c r="Q386" s="123">
        <f>(SUM(E$2:E$21)+SUM(E$25:E$154)+SUM(E$156:E386))/(COUNTA(E$2:E386)-4)</f>
        <v>0.37962589605734764</v>
      </c>
      <c r="R386" s="46">
        <f>(SUM(H$2:H386)*E$1+A386)/SUM(H$2:H386)</f>
        <v>0.34705962059620593</v>
      </c>
      <c r="S386" s="41">
        <f>IF(COUNTA(M382:M386)=0,0,SUM(M382:M386)/COUNTA(M382:M386))</f>
        <v>0.21666666666666665</v>
      </c>
    </row>
    <row r="387" spans="1:21" s="7" customFormat="1" hidden="1" x14ac:dyDescent="0.3">
      <c r="A387" s="51">
        <f t="shared" si="45"/>
        <v>0.48263888888887113</v>
      </c>
      <c r="B387" s="2" t="s">
        <v>0</v>
      </c>
      <c r="C387" s="120">
        <f t="shared" si="39"/>
        <v>43304</v>
      </c>
      <c r="D387" s="120" t="s">
        <v>106</v>
      </c>
      <c r="E387" s="4">
        <v>0.32291666666666669</v>
      </c>
      <c r="F387" s="4">
        <v>0.78819444444444453</v>
      </c>
      <c r="G387" s="5">
        <v>0</v>
      </c>
      <c r="H387" s="2">
        <v>1</v>
      </c>
      <c r="I387" s="134" t="str">
        <f t="shared" si="44"/>
        <v/>
      </c>
      <c r="J387" s="152">
        <f t="shared" si="40"/>
        <v>0.10555555555555557</v>
      </c>
      <c r="K387" s="34">
        <v>62</v>
      </c>
      <c r="L387" s="34">
        <v>51</v>
      </c>
      <c r="M387" s="6">
        <v>0.125</v>
      </c>
      <c r="O387" s="143" t="str">
        <f t="shared" si="42"/>
        <v/>
      </c>
      <c r="P387" s="45"/>
      <c r="Q387" s="123">
        <f>(SUM(E$2:E$21)+SUM(E$25:E$154)+SUM(E$156:E387))/(COUNTA(E$2:E387)-4)</f>
        <v>0.37944355126831014</v>
      </c>
      <c r="R387" s="46">
        <f>(SUM(H$2:H387)*E$1+A387)/SUM(H$2:H387)</f>
        <v>0.34739780298937512</v>
      </c>
      <c r="S387" s="61"/>
    </row>
    <row r="388" spans="1:21" s="7" customFormat="1" hidden="1" x14ac:dyDescent="0.3">
      <c r="A388" s="52">
        <f t="shared" si="45"/>
        <v>0.46666666666664891</v>
      </c>
      <c r="B388" s="8" t="s">
        <v>1</v>
      </c>
      <c r="C388" s="121">
        <f t="shared" si="39"/>
        <v>43305</v>
      </c>
      <c r="D388" s="121" t="s">
        <v>107</v>
      </c>
      <c r="E388" s="10">
        <v>0.38194444444444442</v>
      </c>
      <c r="F388" s="10">
        <v>0.76736111111111116</v>
      </c>
      <c r="G388" s="11">
        <v>4</v>
      </c>
      <c r="H388" s="45">
        <v>1</v>
      </c>
      <c r="I388" s="135">
        <f t="shared" si="44"/>
        <v>1.5972222222222221E-2</v>
      </c>
      <c r="J388" s="153">
        <f t="shared" si="40"/>
        <v>-1.5972222222222221E-2</v>
      </c>
      <c r="K388" s="35">
        <v>51</v>
      </c>
      <c r="L388" s="35">
        <v>45</v>
      </c>
      <c r="M388" s="12">
        <v>0.27083333333333331</v>
      </c>
      <c r="O388" s="143" t="str">
        <f t="shared" si="42"/>
        <v/>
      </c>
      <c r="P388" s="45"/>
      <c r="Q388" s="123">
        <f>(SUM(E$2:E$21)+SUM(E$25:E$154)+SUM(E$156:E388))/(COUNTA(E$2:E388)-4)</f>
        <v>0.37945156695156695</v>
      </c>
      <c r="R388" s="46">
        <f>(SUM(H$2:H388)*E$1+A388)/SUM(H$2:H388)</f>
        <v>0.34734114162627894</v>
      </c>
      <c r="S388" s="62"/>
    </row>
    <row r="389" spans="1:21" s="7" customFormat="1" hidden="1" x14ac:dyDescent="0.3">
      <c r="A389" s="52">
        <f t="shared" si="45"/>
        <v>0.49236111111109337</v>
      </c>
      <c r="B389" s="8" t="s">
        <v>2</v>
      </c>
      <c r="C389" s="121">
        <f t="shared" si="39"/>
        <v>43306</v>
      </c>
      <c r="D389" s="121" t="s">
        <v>306</v>
      </c>
      <c r="E389" s="10">
        <v>0.37152777777777773</v>
      </c>
      <c r="F389" s="10">
        <v>0.77083333333333337</v>
      </c>
      <c r="G389" s="11">
        <v>2</v>
      </c>
      <c r="H389" s="45">
        <v>1</v>
      </c>
      <c r="I389" s="135" t="str">
        <f t="shared" si="44"/>
        <v/>
      </c>
      <c r="J389" s="153">
        <f t="shared" si="40"/>
        <v>2.5694444444444464E-2</v>
      </c>
      <c r="K389" s="35"/>
      <c r="L389" s="35">
        <v>45</v>
      </c>
      <c r="M389" s="12">
        <v>0.25</v>
      </c>
      <c r="O389" s="143" t="str">
        <f t="shared" si="42"/>
        <v/>
      </c>
      <c r="P389" s="45"/>
      <c r="Q389" s="123">
        <f>(SUM(E$2:E$21)+SUM(E$25:E$154)+SUM(E$156:E389))/(COUNTA(E$2:E389)-4)</f>
        <v>0.37942625133120339</v>
      </c>
      <c r="R389" s="46">
        <f>(SUM(H$2:H389)*E$1+A389)/SUM(H$2:H389)</f>
        <v>0.34741903739488278</v>
      </c>
      <c r="S389" s="62"/>
    </row>
    <row r="390" spans="1:21" s="7" customFormat="1" hidden="1" x14ac:dyDescent="0.3">
      <c r="A390" s="52">
        <f t="shared" si="45"/>
        <v>0.45555555555553778</v>
      </c>
      <c r="B390" s="8" t="s">
        <v>3</v>
      </c>
      <c r="C390" s="121">
        <f t="shared" si="39"/>
        <v>43307</v>
      </c>
      <c r="D390" s="121" t="s">
        <v>307</v>
      </c>
      <c r="E390" s="10">
        <v>0.38194444444444442</v>
      </c>
      <c r="F390" s="10">
        <v>0.74652777777777779</v>
      </c>
      <c r="G390" s="11">
        <v>4</v>
      </c>
      <c r="H390" s="45">
        <v>1</v>
      </c>
      <c r="I390" s="135">
        <f t="shared" si="44"/>
        <v>3.6805555555555591E-2</v>
      </c>
      <c r="J390" s="153">
        <f t="shared" si="40"/>
        <v>-3.6805555555555591E-2</v>
      </c>
      <c r="K390" s="35"/>
      <c r="L390" s="35"/>
      <c r="M390" s="12">
        <v>0.20833333333333334</v>
      </c>
      <c r="O390" s="143" t="str">
        <f t="shared" si="42"/>
        <v/>
      </c>
      <c r="P390" s="45"/>
      <c r="Q390" s="123">
        <f>(SUM(E$2:E$21)+SUM(E$25:E$154)+SUM(E$156:E390))/(COUNTA(E$2:E390)-4)</f>
        <v>0.37943427105449401</v>
      </c>
      <c r="R390" s="46">
        <f>(SUM(H$2:H390)*E$1+A390)/SUM(H$2:H390)</f>
        <v>0.34729579097556623</v>
      </c>
      <c r="S390" s="62"/>
    </row>
    <row r="391" spans="1:21" s="7" customFormat="1" hidden="1" x14ac:dyDescent="0.3">
      <c r="A391" s="53">
        <f t="shared" si="45"/>
        <v>0.44652777777775993</v>
      </c>
      <c r="B391" s="13" t="s">
        <v>4</v>
      </c>
      <c r="C391" s="117">
        <f t="shared" si="39"/>
        <v>43308</v>
      </c>
      <c r="D391" s="117" t="s">
        <v>108</v>
      </c>
      <c r="E391" s="15">
        <v>0.39930555555555558</v>
      </c>
      <c r="F391" s="15">
        <v>0.75</v>
      </c>
      <c r="G391" s="16">
        <v>1</v>
      </c>
      <c r="H391" s="17">
        <v>1</v>
      </c>
      <c r="I391" s="136">
        <f>IF(J391&lt;0,-J391,"")</f>
        <v>9.0277777777778567E-3</v>
      </c>
      <c r="J391" s="154">
        <f t="shared" si="40"/>
        <v>-9.0277777777778567E-3</v>
      </c>
      <c r="K391" s="36">
        <v>60</v>
      </c>
      <c r="L391" s="36">
        <v>60</v>
      </c>
      <c r="M391" s="18">
        <v>0.20833333333333334</v>
      </c>
      <c r="O391" s="143" t="str">
        <f t="shared" si="42"/>
        <v/>
      </c>
      <c r="P391" s="137">
        <f>A391-A386</f>
        <v>6.9444444444444364E-2</v>
      </c>
      <c r="Q391" s="123">
        <f>(SUM(E$2:E$21)+SUM(E$25:E$154)+SUM(E$156:E391))/(COUNTA(E$2:E391)-4)</f>
        <v>0.37949735449735444</v>
      </c>
      <c r="R391" s="46">
        <f>(SUM(H$2:H391)*E$1+A391)/SUM(H$2:H391)</f>
        <v>0.34726222222222225</v>
      </c>
      <c r="S391" s="41">
        <f>IF(COUNTA(M387:M391)=0,0,SUM(M387:M391)/COUNTA(M387:M391))</f>
        <v>0.21249999999999999</v>
      </c>
    </row>
    <row r="392" spans="1:21" s="7" customFormat="1" hidden="1" x14ac:dyDescent="0.3">
      <c r="A392" s="51">
        <f t="shared" si="45"/>
        <v>0.40624999999998207</v>
      </c>
      <c r="B392" s="2" t="s">
        <v>0</v>
      </c>
      <c r="C392" s="120">
        <f t="shared" ref="C392:C455" si="46">C387+7</f>
        <v>43311</v>
      </c>
      <c r="D392" s="120" t="s">
        <v>111</v>
      </c>
      <c r="E392" s="4">
        <v>0.375</v>
      </c>
      <c r="F392" s="4">
        <v>0.76388888888888884</v>
      </c>
      <c r="G392" s="5">
        <v>6</v>
      </c>
      <c r="H392" s="2">
        <v>1</v>
      </c>
      <c r="I392" s="134">
        <f t="shared" ref="I392:I410" si="47">IF(J392&lt;0,-J392,"")</f>
        <v>4.0277777777777857E-2</v>
      </c>
      <c r="J392" s="152">
        <f t="shared" ref="J392:J455" si="48">IF(H392=1,F392-E392-MAX(G392,1)*$F$1-$E$1,F392-E392-$E$1*H392)</f>
        <v>-4.0277777777777857E-2</v>
      </c>
      <c r="K392" s="34">
        <v>64</v>
      </c>
      <c r="L392" s="34">
        <v>59</v>
      </c>
      <c r="M392" s="6">
        <v>0.20833333333333334</v>
      </c>
      <c r="O392" s="143" t="str">
        <f t="shared" si="42"/>
        <v/>
      </c>
      <c r="P392" s="45"/>
      <c r="Q392" s="123">
        <f>(SUM(E$2:E$21)+SUM(E$25:E$154)+SUM(E$156:E392))/(COUNTA(E$2:E392)-4)</f>
        <v>0.37948312236286919</v>
      </c>
      <c r="R392" s="46">
        <f>(SUM(H$2:H392)*E$1+A392)/SUM(H$2:H392)</f>
        <v>0.34712918660287084</v>
      </c>
      <c r="S392" s="61"/>
    </row>
    <row r="393" spans="1:21" s="7" customFormat="1" hidden="1" x14ac:dyDescent="0.3">
      <c r="A393" s="52">
        <f t="shared" si="45"/>
        <v>0.43194444444442648</v>
      </c>
      <c r="B393" s="8" t="s">
        <v>1</v>
      </c>
      <c r="C393" s="210">
        <f t="shared" si="46"/>
        <v>43312</v>
      </c>
      <c r="D393" s="121" t="s">
        <v>112</v>
      </c>
      <c r="E393" s="10">
        <v>0.38541666666666669</v>
      </c>
      <c r="F393" s="10">
        <v>0.77083333333333337</v>
      </c>
      <c r="G393" s="11">
        <v>1</v>
      </c>
      <c r="H393" s="45">
        <v>1</v>
      </c>
      <c r="I393" s="135" t="str">
        <f t="shared" si="47"/>
        <v/>
      </c>
      <c r="J393" s="153">
        <f t="shared" si="48"/>
        <v>2.5694444444444409E-2</v>
      </c>
      <c r="K393" s="213">
        <v>66</v>
      </c>
      <c r="L393" s="213">
        <v>49</v>
      </c>
      <c r="M393" s="12">
        <v>0.22916666666666666</v>
      </c>
      <c r="N393" s="7">
        <f>SUM(H372:H393)</f>
        <v>22</v>
      </c>
      <c r="O393" s="143" t="str">
        <f t="shared" si="42"/>
        <v/>
      </c>
      <c r="P393" s="45"/>
      <c r="Q393" s="123">
        <f>(SUM(E$2:E$21)+SUM(E$25:E$154)+SUM(E$156:E393))/(COUNTA(E$2:E393)-4)</f>
        <v>0.37950184016824401</v>
      </c>
      <c r="R393" s="46">
        <f>(SUM(H$2:H393)*E$1+A393)/SUM(H$2:H393)</f>
        <v>0.3472067655891185</v>
      </c>
      <c r="S393" s="62"/>
      <c r="U393" s="190">
        <f>K393-K396</f>
        <v>42</v>
      </c>
    </row>
    <row r="394" spans="1:21" s="7" customFormat="1" hidden="1" x14ac:dyDescent="0.3">
      <c r="A394" s="52">
        <f t="shared" si="45"/>
        <v>0.46111111111109304</v>
      </c>
      <c r="B394" s="8" t="s">
        <v>2</v>
      </c>
      <c r="C394" s="210">
        <f t="shared" si="46"/>
        <v>43313</v>
      </c>
      <c r="D394" s="121" t="s">
        <v>308</v>
      </c>
      <c r="E394" s="10">
        <v>0.375</v>
      </c>
      <c r="F394" s="10">
        <v>0.76388888888888884</v>
      </c>
      <c r="G394" s="11">
        <v>1</v>
      </c>
      <c r="H394" s="45">
        <v>1</v>
      </c>
      <c r="I394" s="135" t="str">
        <f t="shared" si="47"/>
        <v/>
      </c>
      <c r="J394" s="153">
        <f t="shared" si="48"/>
        <v>2.9166666666666563E-2</v>
      </c>
      <c r="K394" s="213">
        <v>49</v>
      </c>
      <c r="L394" s="213">
        <v>38</v>
      </c>
      <c r="M394" s="12">
        <v>0.29166666666666669</v>
      </c>
      <c r="O394" s="143" t="str">
        <f t="shared" si="42"/>
        <v/>
      </c>
      <c r="P394" s="45"/>
      <c r="Q394" s="123">
        <f>(SUM(E$2:E$21)+SUM(E$25:E$154)+SUM(E$156:E394))/(COUNTA(E$2:E394)-4)</f>
        <v>0.37948768343815514</v>
      </c>
      <c r="R394" s="46">
        <f>(SUM(H$2:H394)*E$1+A394)/SUM(H$2:H394)</f>
        <v>0.34729485824969186</v>
      </c>
      <c r="S394" s="62"/>
    </row>
    <row r="395" spans="1:21" s="7" customFormat="1" hidden="1" x14ac:dyDescent="0.3">
      <c r="A395" s="52">
        <f t="shared" si="45"/>
        <v>0.45555555555553751</v>
      </c>
      <c r="B395" s="8" t="s">
        <v>3</v>
      </c>
      <c r="C395" s="210">
        <f t="shared" si="46"/>
        <v>43314</v>
      </c>
      <c r="D395" s="121" t="s">
        <v>309</v>
      </c>
      <c r="E395" s="10">
        <v>0.375</v>
      </c>
      <c r="F395" s="10">
        <v>0.75694444444444453</v>
      </c>
      <c r="G395" s="11">
        <v>3</v>
      </c>
      <c r="H395" s="45">
        <v>1</v>
      </c>
      <c r="I395" s="135">
        <f t="shared" si="47"/>
        <v>5.5555555555555358E-3</v>
      </c>
      <c r="J395" s="153">
        <f t="shared" si="48"/>
        <v>-5.5555555555555358E-3</v>
      </c>
      <c r="K395" s="213">
        <v>34</v>
      </c>
      <c r="L395" s="213">
        <v>34</v>
      </c>
      <c r="M395" s="12">
        <v>0.20833333333333334</v>
      </c>
      <c r="O395" s="143" t="str">
        <f t="shared" si="42"/>
        <v/>
      </c>
      <c r="P395" s="45"/>
      <c r="Q395" s="123">
        <f>(SUM(E$2:E$21)+SUM(E$25:E$154)+SUM(E$156:E395))/(COUNTA(E$2:E395)-4)</f>
        <v>0.37947361546499481</v>
      </c>
      <c r="R395" s="46">
        <f>(SUM(H$2:H395)*E$1+A395)/SUM(H$2:H395)</f>
        <v>0.34727268737932243</v>
      </c>
      <c r="S395" s="62"/>
    </row>
    <row r="396" spans="1:21" s="7" customFormat="1" hidden="1" x14ac:dyDescent="0.3">
      <c r="A396" s="53">
        <f t="shared" si="45"/>
        <v>0.43958333333331517</v>
      </c>
      <c r="B396" s="13" t="s">
        <v>4</v>
      </c>
      <c r="C396" s="211">
        <f>C391+7</f>
        <v>43315</v>
      </c>
      <c r="D396" s="117" t="s">
        <v>113</v>
      </c>
      <c r="E396" s="15">
        <v>0.3888888888888889</v>
      </c>
      <c r="F396" s="15">
        <v>0.73263888888888884</v>
      </c>
      <c r="G396" s="16">
        <v>0</v>
      </c>
      <c r="H396" s="17">
        <v>1</v>
      </c>
      <c r="I396" s="136">
        <f>IF(J396&lt;0,-J396,"")</f>
        <v>1.5972222222222332E-2</v>
      </c>
      <c r="J396" s="154">
        <f t="shared" si="48"/>
        <v>-1.5972222222222332E-2</v>
      </c>
      <c r="K396" s="215">
        <v>24</v>
      </c>
      <c r="L396" s="36">
        <v>18</v>
      </c>
      <c r="M396" s="18">
        <v>0.14583333333333334</v>
      </c>
      <c r="O396" s="143">
        <f t="shared" si="42"/>
        <v>6.9444444444447528E-3</v>
      </c>
      <c r="P396" s="137">
        <f>A396-A391</f>
        <v>-6.9444444444447528E-3</v>
      </c>
      <c r="Q396" s="123">
        <f>(SUM(E$2:E$21)+SUM(E$25:E$154)+SUM(E$156:E396))/(COUNTA(E$2:E396)-4)</f>
        <v>0.37950303819444448</v>
      </c>
      <c r="R396" s="46">
        <f>(SUM(H$2:H396)*E$1+A396)/SUM(H$2:H396)</f>
        <v>0.34721784776902886</v>
      </c>
      <c r="S396" s="41">
        <f>IF(COUNTA(M392:M396)=0,0,SUM(M392:M396)/COUNTA(M392:M396))</f>
        <v>0.2166666666666667</v>
      </c>
    </row>
    <row r="397" spans="1:21" s="7" customFormat="1" hidden="1" x14ac:dyDescent="0.3">
      <c r="A397" s="51">
        <f t="shared" si="45"/>
        <v>0.45138888888887074</v>
      </c>
      <c r="B397" s="2" t="s">
        <v>0</v>
      </c>
      <c r="C397" s="120">
        <f t="shared" si="46"/>
        <v>43318</v>
      </c>
      <c r="D397" s="120" t="s">
        <v>131</v>
      </c>
      <c r="E397" s="4">
        <v>0.38541666666666669</v>
      </c>
      <c r="F397" s="4">
        <v>0.75694444444444453</v>
      </c>
      <c r="G397" s="5">
        <v>1</v>
      </c>
      <c r="H397" s="2">
        <v>1</v>
      </c>
      <c r="I397" s="134" t="str">
        <f t="shared" si="47"/>
        <v/>
      </c>
      <c r="J397" s="152">
        <f t="shared" si="48"/>
        <v>1.1805555555555569E-2</v>
      </c>
      <c r="K397" s="34">
        <v>56</v>
      </c>
      <c r="L397" s="34">
        <v>46</v>
      </c>
      <c r="M397" s="6">
        <v>0.29166666666666669</v>
      </c>
      <c r="O397" s="143" t="str">
        <f t="shared" si="42"/>
        <v/>
      </c>
      <c r="P397" s="45"/>
      <c r="Q397" s="123">
        <f>(SUM(E$2:E$21)+SUM(E$25:E$154)+SUM(E$156:E397))/(COUNTA(E$2:E397)-4)</f>
        <v>0.37952146071304949</v>
      </c>
      <c r="R397" s="46">
        <f>(SUM(H$2:H397)*E$1+A397)/SUM(H$2:H397)</f>
        <v>0.34725056689342404</v>
      </c>
      <c r="S397" s="61"/>
    </row>
    <row r="398" spans="1:21" s="7" customFormat="1" hidden="1" x14ac:dyDescent="0.3">
      <c r="A398" s="52">
        <f t="shared" si="45"/>
        <v>0.42499999999998178</v>
      </c>
      <c r="B398" s="8" t="s">
        <v>1</v>
      </c>
      <c r="C398" s="121">
        <f t="shared" si="46"/>
        <v>43319</v>
      </c>
      <c r="D398" s="121" t="s">
        <v>132</v>
      </c>
      <c r="E398" s="10">
        <v>0.38541666666666669</v>
      </c>
      <c r="F398" s="10">
        <v>0.76041666666666663</v>
      </c>
      <c r="G398" s="11">
        <v>4</v>
      </c>
      <c r="H398" s="45">
        <v>1</v>
      </c>
      <c r="I398" s="135">
        <f t="shared" si="47"/>
        <v>2.6388888888888962E-2</v>
      </c>
      <c r="J398" s="153">
        <f t="shared" si="48"/>
        <v>-2.6388888888888962E-2</v>
      </c>
      <c r="K398" s="35">
        <v>58</v>
      </c>
      <c r="L398" s="35">
        <v>40</v>
      </c>
      <c r="M398" s="12">
        <v>0.22916666666666666</v>
      </c>
      <c r="O398" s="143" t="str">
        <f t="shared" si="42"/>
        <v/>
      </c>
      <c r="P398" s="45"/>
      <c r="Q398" s="123">
        <f>(SUM(E$2:E$21)+SUM(E$25:E$154)+SUM(E$156:E398))/(COUNTA(E$2:E398)-4)</f>
        <v>0.37953976880607321</v>
      </c>
      <c r="R398" s="46">
        <f>(SUM(H$2:H398)*E$1+A398)/SUM(H$2:H398)</f>
        <v>0.34716353677621287</v>
      </c>
      <c r="S398" s="62"/>
    </row>
    <row r="399" spans="1:21" s="7" customFormat="1" hidden="1" x14ac:dyDescent="0.3">
      <c r="A399" s="52">
        <f t="shared" si="45"/>
        <v>0.41597222222220398</v>
      </c>
      <c r="B399" s="8" t="s">
        <v>2</v>
      </c>
      <c r="C399" s="121">
        <f t="shared" si="46"/>
        <v>43320</v>
      </c>
      <c r="D399" s="121" t="s">
        <v>310</v>
      </c>
      <c r="E399" s="10">
        <v>0.3888888888888889</v>
      </c>
      <c r="F399" s="10">
        <v>0.73958333333333337</v>
      </c>
      <c r="G399" s="11">
        <v>1</v>
      </c>
      <c r="H399" s="45">
        <v>1</v>
      </c>
      <c r="I399" s="135">
        <f t="shared" si="47"/>
        <v>9.0277777777778012E-3</v>
      </c>
      <c r="J399" s="153">
        <f t="shared" si="48"/>
        <v>-9.0277777777778012E-3</v>
      </c>
      <c r="K399" s="35">
        <v>48</v>
      </c>
      <c r="L399" s="35">
        <v>40</v>
      </c>
      <c r="M399" s="12">
        <v>0.22916666666666666</v>
      </c>
      <c r="O399" s="143" t="str">
        <f t="shared" ref="O399:O462" si="49">IF(P399&lt;0,-P399,"")</f>
        <v/>
      </c>
      <c r="P399" s="45"/>
      <c r="Q399" s="123">
        <f>(SUM(E$2:E$21)+SUM(E$25:E$154)+SUM(E$156:E399))/(COUNTA(E$2:E399)-4)</f>
        <v>0.37956871345029242</v>
      </c>
      <c r="R399" s="46">
        <f>(SUM(H$2:H399)*E$1+A399)/SUM(H$2:H399)</f>
        <v>0.34713121858207663</v>
      </c>
      <c r="S399" s="62"/>
    </row>
    <row r="400" spans="1:21" s="7" customFormat="1" hidden="1" x14ac:dyDescent="0.3">
      <c r="A400" s="52">
        <f t="shared" si="45"/>
        <v>0.41597222222220398</v>
      </c>
      <c r="B400" s="8" t="s">
        <v>3</v>
      </c>
      <c r="C400" s="146">
        <f t="shared" si="46"/>
        <v>43321</v>
      </c>
      <c r="D400" s="121" t="s">
        <v>311</v>
      </c>
      <c r="E400" s="10"/>
      <c r="F400" s="10"/>
      <c r="G400" s="11"/>
      <c r="H400" s="45">
        <v>0</v>
      </c>
      <c r="I400" s="135" t="str">
        <f t="shared" si="47"/>
        <v/>
      </c>
      <c r="J400" s="153">
        <f t="shared" si="48"/>
        <v>0</v>
      </c>
      <c r="K400" s="35"/>
      <c r="L400" s="35"/>
      <c r="M400" s="12"/>
      <c r="O400" s="143" t="str">
        <f t="shared" si="49"/>
        <v/>
      </c>
      <c r="P400" s="45"/>
      <c r="Q400" s="123">
        <f>(SUM(E$2:E$21)+SUM(E$25:E$154)+SUM(E$156:E400))/(COUNTA(E$2:E400)-4)</f>
        <v>0.37956871345029242</v>
      </c>
      <c r="R400" s="46">
        <f>(SUM(H$2:H400)*E$1+A400)/SUM(H$2:H400)</f>
        <v>0.34713121858207663</v>
      </c>
      <c r="S400" s="62"/>
    </row>
    <row r="401" spans="1:21" s="7" customFormat="1" hidden="1" x14ac:dyDescent="0.3">
      <c r="A401" s="53">
        <f t="shared" si="45"/>
        <v>0.41597222222220398</v>
      </c>
      <c r="B401" s="13" t="s">
        <v>4</v>
      </c>
      <c r="C401" s="65">
        <f t="shared" si="46"/>
        <v>43322</v>
      </c>
      <c r="D401" s="117" t="s">
        <v>133</v>
      </c>
      <c r="E401" s="15"/>
      <c r="F401" s="15"/>
      <c r="G401" s="16"/>
      <c r="H401" s="17">
        <v>0</v>
      </c>
      <c r="I401" s="136" t="str">
        <f>IF(J401&lt;0,-J401,"")</f>
        <v/>
      </c>
      <c r="J401" s="154">
        <f t="shared" si="48"/>
        <v>0</v>
      </c>
      <c r="K401" s="36"/>
      <c r="L401" s="36"/>
      <c r="M401" s="18"/>
      <c r="O401" s="143">
        <f t="shared" si="49"/>
        <v>2.3611111111111194E-2</v>
      </c>
      <c r="P401" s="137">
        <f>A401-A396</f>
        <v>-2.3611111111111194E-2</v>
      </c>
      <c r="Q401" s="123">
        <f>(SUM(E$2:E$21)+SUM(E$25:E$154)+SUM(E$156:E401))/(COUNTA(E$2:E401)-4)</f>
        <v>0.37956871345029242</v>
      </c>
      <c r="R401" s="46">
        <f>(SUM(H$2:H401)*E$1+A401)/SUM(H$2:H401)</f>
        <v>0.34713121858207663</v>
      </c>
      <c r="S401" s="41">
        <f>IF(COUNTA(M397:M401)=0,0,SUM(M397:M401)/COUNTA(M397:M401))</f>
        <v>0.25</v>
      </c>
    </row>
    <row r="402" spans="1:21" s="7" customFormat="1" hidden="1" x14ac:dyDescent="0.3">
      <c r="A402" s="51">
        <f t="shared" si="45"/>
        <v>0.41597222222220398</v>
      </c>
      <c r="B402" s="2" t="s">
        <v>0</v>
      </c>
      <c r="C402" s="139">
        <f t="shared" si="46"/>
        <v>43325</v>
      </c>
      <c r="D402" s="120" t="s">
        <v>136</v>
      </c>
      <c r="E402" s="4"/>
      <c r="F402" s="4"/>
      <c r="G402" s="5"/>
      <c r="H402" s="2">
        <v>0</v>
      </c>
      <c r="I402" s="134" t="str">
        <f t="shared" si="47"/>
        <v/>
      </c>
      <c r="J402" s="152">
        <f t="shared" si="48"/>
        <v>0</v>
      </c>
      <c r="K402" s="34"/>
      <c r="L402" s="34"/>
      <c r="M402" s="6"/>
      <c r="O402" s="143" t="str">
        <f t="shared" si="49"/>
        <v/>
      </c>
      <c r="P402" s="45"/>
      <c r="Q402" s="123">
        <f>(SUM(E$2:E$21)+SUM(E$25:E$154)+SUM(E$156:E402))/(COUNTA(E$2:E402)-4)</f>
        <v>0.37956871345029242</v>
      </c>
      <c r="R402" s="46">
        <f>(SUM(H$2:H402)*E$1+A402)/SUM(H$2:H402)</f>
        <v>0.34713121858207663</v>
      </c>
      <c r="S402" s="61"/>
    </row>
    <row r="403" spans="1:21" s="7" customFormat="1" hidden="1" x14ac:dyDescent="0.3">
      <c r="A403" s="52">
        <f t="shared" si="45"/>
        <v>0.41597222222220398</v>
      </c>
      <c r="B403" s="8" t="s">
        <v>1</v>
      </c>
      <c r="C403" s="146">
        <f t="shared" si="46"/>
        <v>43326</v>
      </c>
      <c r="D403" s="121" t="s">
        <v>137</v>
      </c>
      <c r="E403" s="10"/>
      <c r="F403" s="10"/>
      <c r="G403" s="11"/>
      <c r="H403" s="45">
        <v>0</v>
      </c>
      <c r="I403" s="135" t="str">
        <f t="shared" si="47"/>
        <v/>
      </c>
      <c r="J403" s="153">
        <f t="shared" si="48"/>
        <v>0</v>
      </c>
      <c r="K403" s="35"/>
      <c r="L403" s="35">
        <v>50</v>
      </c>
      <c r="M403" s="12"/>
      <c r="O403" s="143" t="str">
        <f t="shared" si="49"/>
        <v/>
      </c>
      <c r="P403" s="45"/>
      <c r="Q403" s="123">
        <f>(SUM(E$2:E$21)+SUM(E$25:E$154)+SUM(E$156:E403))/(COUNTA(E$2:E403)-4)</f>
        <v>0.37956871345029242</v>
      </c>
      <c r="R403" s="46">
        <f>(SUM(H$2:H403)*E$1+A403)/SUM(H$2:H403)</f>
        <v>0.34713121858207663</v>
      </c>
      <c r="S403" s="62"/>
    </row>
    <row r="404" spans="1:21" s="7" customFormat="1" hidden="1" x14ac:dyDescent="0.3">
      <c r="A404" s="52">
        <f t="shared" si="45"/>
        <v>0.41597222222220398</v>
      </c>
      <c r="B404" s="8" t="s">
        <v>2</v>
      </c>
      <c r="C404" s="146">
        <f t="shared" si="46"/>
        <v>43327</v>
      </c>
      <c r="D404" s="74" t="s">
        <v>312</v>
      </c>
      <c r="E404" s="10"/>
      <c r="F404" s="10"/>
      <c r="G404" s="11"/>
      <c r="H404" s="45">
        <v>0</v>
      </c>
      <c r="I404" s="135" t="str">
        <f t="shared" si="47"/>
        <v/>
      </c>
      <c r="J404" s="153">
        <f t="shared" si="48"/>
        <v>0</v>
      </c>
      <c r="K404" s="35"/>
      <c r="L404" s="35"/>
      <c r="M404" s="12"/>
      <c r="O404" s="143" t="str">
        <f t="shared" si="49"/>
        <v/>
      </c>
      <c r="P404" s="45"/>
      <c r="Q404" s="123">
        <f>(SUM(E$2:E$21)+SUM(E$25:E$154)+SUM(E$156:E404))/(COUNTA(E$2:E404)-4)</f>
        <v>0.37956871345029242</v>
      </c>
      <c r="R404" s="46">
        <f>(SUM(H$2:H404)*E$1+A404)/SUM(H$2:H404)</f>
        <v>0.34713121858207663</v>
      </c>
      <c r="S404" s="62"/>
    </row>
    <row r="405" spans="1:21" s="7" customFormat="1" hidden="1" x14ac:dyDescent="0.3">
      <c r="A405" s="52">
        <f t="shared" si="45"/>
        <v>0.41597222222220398</v>
      </c>
      <c r="B405" s="8" t="s">
        <v>3</v>
      </c>
      <c r="C405" s="146">
        <f t="shared" si="46"/>
        <v>43328</v>
      </c>
      <c r="D405" s="121" t="s">
        <v>313</v>
      </c>
      <c r="E405" s="10"/>
      <c r="F405" s="10"/>
      <c r="G405" s="11"/>
      <c r="H405" s="45">
        <v>0</v>
      </c>
      <c r="I405" s="135" t="str">
        <f t="shared" si="47"/>
        <v/>
      </c>
      <c r="J405" s="153">
        <f t="shared" si="48"/>
        <v>0</v>
      </c>
      <c r="K405" s="35"/>
      <c r="L405" s="35"/>
      <c r="M405" s="12"/>
      <c r="O405" s="143" t="str">
        <f t="shared" si="49"/>
        <v/>
      </c>
      <c r="P405" s="45"/>
      <c r="Q405" s="123">
        <f>(SUM(E$2:E$21)+SUM(E$25:E$154)+SUM(E$156:E405))/(COUNTA(E$2:E405)-4)</f>
        <v>0.37956871345029242</v>
      </c>
      <c r="R405" s="46">
        <f>(SUM(H$2:H405)*E$1+A405)/SUM(H$2:H405)</f>
        <v>0.34713121858207663</v>
      </c>
      <c r="S405" s="62"/>
    </row>
    <row r="406" spans="1:21" s="7" customFormat="1" hidden="1" x14ac:dyDescent="0.3">
      <c r="A406" s="53">
        <f t="shared" si="45"/>
        <v>0.41597222222220398</v>
      </c>
      <c r="B406" s="13" t="s">
        <v>4</v>
      </c>
      <c r="C406" s="65">
        <f t="shared" si="46"/>
        <v>43329</v>
      </c>
      <c r="D406" s="117" t="s">
        <v>138</v>
      </c>
      <c r="E406" s="15"/>
      <c r="F406" s="15"/>
      <c r="G406" s="16"/>
      <c r="H406" s="17">
        <v>0</v>
      </c>
      <c r="I406" s="136" t="str">
        <f>IF(J406&lt;0,-J406,"")</f>
        <v/>
      </c>
      <c r="J406" s="154">
        <f t="shared" si="48"/>
        <v>0</v>
      </c>
      <c r="K406" s="36"/>
      <c r="L406" s="36"/>
      <c r="M406" s="18"/>
      <c r="O406" s="143" t="str">
        <f t="shared" si="49"/>
        <v/>
      </c>
      <c r="P406" s="137">
        <f>A406-A401</f>
        <v>0</v>
      </c>
      <c r="Q406" s="123">
        <f>(SUM(E$2:E$21)+SUM(E$25:E$154)+SUM(E$156:E406))/(COUNTA(E$2:E406)-4)</f>
        <v>0.37956871345029242</v>
      </c>
      <c r="R406" s="46">
        <f>(SUM(H$2:H406)*E$1+A406)/SUM(H$2:H406)</f>
        <v>0.34713121858207663</v>
      </c>
      <c r="S406" s="41">
        <f>IF(COUNTA(M402:M406)=0,0,SUM(M402:M406)/COUNTA(M402:M406))</f>
        <v>0</v>
      </c>
    </row>
    <row r="407" spans="1:21" s="7" customFormat="1" hidden="1" x14ac:dyDescent="0.3">
      <c r="A407" s="51">
        <f t="shared" si="45"/>
        <v>0.41597222222220398</v>
      </c>
      <c r="B407" s="2" t="s">
        <v>0</v>
      </c>
      <c r="C407" s="139">
        <f t="shared" si="46"/>
        <v>43332</v>
      </c>
      <c r="D407" s="120" t="s">
        <v>141</v>
      </c>
      <c r="E407" s="4"/>
      <c r="F407" s="4"/>
      <c r="G407" s="5"/>
      <c r="H407" s="2">
        <v>0</v>
      </c>
      <c r="I407" s="134" t="str">
        <f t="shared" si="47"/>
        <v/>
      </c>
      <c r="J407" s="152">
        <f t="shared" si="48"/>
        <v>0</v>
      </c>
      <c r="K407" s="34"/>
      <c r="L407" s="34">
        <v>60</v>
      </c>
      <c r="M407" s="6"/>
      <c r="O407" s="143" t="str">
        <f t="shared" si="49"/>
        <v/>
      </c>
      <c r="P407" s="45"/>
      <c r="Q407" s="123">
        <f>(SUM(E$2:E$21)+SUM(E$25:E$154)+SUM(E$156:E407))/(COUNTA(E$2:E407)-4)</f>
        <v>0.37956871345029242</v>
      </c>
      <c r="R407" s="46">
        <f>(SUM(H$2:H407)*E$1+A407)/SUM(H$2:H407)</f>
        <v>0.34713121858207663</v>
      </c>
      <c r="S407" s="61"/>
    </row>
    <row r="408" spans="1:21" s="7" customFormat="1" hidden="1" x14ac:dyDescent="0.3">
      <c r="A408" s="52">
        <f t="shared" si="45"/>
        <v>0.41597222222220398</v>
      </c>
      <c r="B408" s="8" t="s">
        <v>1</v>
      </c>
      <c r="C408" s="146">
        <f t="shared" si="46"/>
        <v>43333</v>
      </c>
      <c r="D408" s="121" t="s">
        <v>142</v>
      </c>
      <c r="E408" s="10"/>
      <c r="F408" s="10"/>
      <c r="G408" s="11"/>
      <c r="H408" s="45">
        <v>0</v>
      </c>
      <c r="I408" s="135" t="str">
        <f t="shared" si="47"/>
        <v/>
      </c>
      <c r="J408" s="153">
        <f t="shared" si="48"/>
        <v>0</v>
      </c>
      <c r="K408" s="35"/>
      <c r="L408" s="35"/>
      <c r="M408" s="12"/>
      <c r="O408" s="143" t="str">
        <f t="shared" si="49"/>
        <v/>
      </c>
      <c r="P408" s="45"/>
      <c r="Q408" s="123">
        <f>(SUM(E$2:E$21)+SUM(E$25:E$154)+SUM(E$156:E408))/(COUNTA(E$2:E408)-4)</f>
        <v>0.37956871345029242</v>
      </c>
      <c r="R408" s="46">
        <f>(SUM(H$2:H408)*E$1+A408)/SUM(H$2:H408)</f>
        <v>0.34713121858207663</v>
      </c>
      <c r="S408" s="62"/>
    </row>
    <row r="409" spans="1:21" s="7" customFormat="1" hidden="1" x14ac:dyDescent="0.3">
      <c r="A409" s="52">
        <f t="shared" si="45"/>
        <v>0.41597222222220398</v>
      </c>
      <c r="B409" s="8" t="s">
        <v>2</v>
      </c>
      <c r="C409" s="146">
        <f t="shared" si="46"/>
        <v>43334</v>
      </c>
      <c r="D409" s="121" t="s">
        <v>314</v>
      </c>
      <c r="E409" s="10"/>
      <c r="F409" s="10"/>
      <c r="G409" s="11"/>
      <c r="H409" s="45">
        <v>0</v>
      </c>
      <c r="I409" s="135" t="str">
        <f t="shared" si="47"/>
        <v/>
      </c>
      <c r="J409" s="153">
        <f t="shared" si="48"/>
        <v>0</v>
      </c>
      <c r="K409" s="35"/>
      <c r="L409" s="35"/>
      <c r="M409" s="12"/>
      <c r="O409" s="143" t="str">
        <f t="shared" si="49"/>
        <v/>
      </c>
      <c r="P409" s="45"/>
      <c r="Q409" s="123">
        <f>(SUM(E$2:E$21)+SUM(E$25:E$154)+SUM(E$156:E409))/(COUNTA(E$2:E409)-4)</f>
        <v>0.37956871345029242</v>
      </c>
      <c r="R409" s="46">
        <f>(SUM(H$2:H409)*E$1+A409)/SUM(H$2:H409)</f>
        <v>0.34713121858207663</v>
      </c>
      <c r="S409" s="62"/>
    </row>
    <row r="410" spans="1:21" s="7" customFormat="1" hidden="1" x14ac:dyDescent="0.3">
      <c r="A410" s="52">
        <f t="shared" si="45"/>
        <v>0.41597222222220398</v>
      </c>
      <c r="B410" s="8" t="s">
        <v>3</v>
      </c>
      <c r="C410" s="146">
        <f t="shared" si="46"/>
        <v>43335</v>
      </c>
      <c r="D410" s="121" t="s">
        <v>315</v>
      </c>
      <c r="E410" s="10"/>
      <c r="F410" s="10"/>
      <c r="G410" s="11"/>
      <c r="H410" s="45">
        <v>0</v>
      </c>
      <c r="I410" s="135" t="str">
        <f t="shared" si="47"/>
        <v/>
      </c>
      <c r="J410" s="153">
        <f t="shared" si="48"/>
        <v>0</v>
      </c>
      <c r="K410" s="35"/>
      <c r="L410" s="35"/>
      <c r="M410" s="12"/>
      <c r="O410" s="143" t="str">
        <f t="shared" si="49"/>
        <v/>
      </c>
      <c r="P410" s="45"/>
      <c r="Q410" s="123">
        <f>(SUM(E$2:E$21)+SUM(E$25:E$154)+SUM(E$156:E410))/(COUNTA(E$2:E410)-4)</f>
        <v>0.37956871345029242</v>
      </c>
      <c r="R410" s="46">
        <f>(SUM(H$2:H410)*E$1+A410)/SUM(H$2:H410)</f>
        <v>0.34713121858207663</v>
      </c>
      <c r="S410" s="62"/>
    </row>
    <row r="411" spans="1:21" s="7" customFormat="1" hidden="1" x14ac:dyDescent="0.3">
      <c r="A411" s="53">
        <f t="shared" si="45"/>
        <v>0.41597222222220398</v>
      </c>
      <c r="B411" s="13" t="s">
        <v>4</v>
      </c>
      <c r="C411" s="65">
        <f t="shared" si="46"/>
        <v>43336</v>
      </c>
      <c r="D411" s="117" t="s">
        <v>143</v>
      </c>
      <c r="E411" s="15"/>
      <c r="F411" s="15"/>
      <c r="G411" s="16"/>
      <c r="H411" s="17">
        <v>0</v>
      </c>
      <c r="I411" s="136" t="str">
        <f>IF(J411&lt;0,-J411,"")</f>
        <v/>
      </c>
      <c r="J411" s="154">
        <f t="shared" si="48"/>
        <v>0</v>
      </c>
      <c r="K411" s="36"/>
      <c r="L411" s="36">
        <v>68</v>
      </c>
      <c r="M411" s="18"/>
      <c r="O411" s="143" t="str">
        <f t="shared" si="49"/>
        <v/>
      </c>
      <c r="P411" s="137">
        <f>A411-A406</f>
        <v>0</v>
      </c>
      <c r="Q411" s="123">
        <f>(SUM(E$2:E$21)+SUM(E$25:E$154)+SUM(E$156:E411))/(COUNTA(E$2:E411)-4)</f>
        <v>0.37956871345029242</v>
      </c>
      <c r="R411" s="46">
        <f>(SUM(H$2:H411)*E$1+A411)/SUM(H$2:H411)</f>
        <v>0.34713121858207663</v>
      </c>
      <c r="S411" s="41">
        <f>IF(COUNTA(M407:M411)=0,0,SUM(M407:M411)/COUNTA(M407:M411))</f>
        <v>0</v>
      </c>
    </row>
    <row r="412" spans="1:21" s="7" customFormat="1" hidden="1" x14ac:dyDescent="0.3">
      <c r="A412" s="51">
        <f t="shared" si="45"/>
        <v>0.43819444444442618</v>
      </c>
      <c r="B412" s="2" t="s">
        <v>0</v>
      </c>
      <c r="C412" s="120">
        <f t="shared" si="46"/>
        <v>43339</v>
      </c>
      <c r="D412" s="120" t="s">
        <v>146</v>
      </c>
      <c r="E412" s="4">
        <v>0.3888888888888889</v>
      </c>
      <c r="F412" s="4">
        <v>0.77083333333333337</v>
      </c>
      <c r="G412" s="5">
        <v>0</v>
      </c>
      <c r="H412" s="2">
        <v>1</v>
      </c>
      <c r="I412" s="134" t="str">
        <f t="shared" ref="I412:I430" si="50">IF(J412&lt;0,-J412,"")</f>
        <v/>
      </c>
      <c r="J412" s="152">
        <f t="shared" si="48"/>
        <v>2.2222222222222199E-2</v>
      </c>
      <c r="K412" s="34">
        <v>74</v>
      </c>
      <c r="L412" s="34">
        <v>63</v>
      </c>
      <c r="M412" s="6">
        <v>0.14583333333333334</v>
      </c>
      <c r="O412" s="143" t="str">
        <f t="shared" si="49"/>
        <v/>
      </c>
      <c r="P412" s="45"/>
      <c r="Q412" s="123">
        <f>(SUM(E$2:E$21)+SUM(E$25:E$154)+SUM(E$156:E412))/(COUNTA(E$2:E412)-4)</f>
        <v>0.37959747942386834</v>
      </c>
      <c r="R412" s="46">
        <f>(SUM(H$2:H412)*E$1+A412)/SUM(H$2:H412)</f>
        <v>0.34719630205633312</v>
      </c>
      <c r="S412" s="61"/>
    </row>
    <row r="413" spans="1:21" s="7" customFormat="1" hidden="1" x14ac:dyDescent="0.3">
      <c r="A413" s="52">
        <f t="shared" si="45"/>
        <v>0.43958333333331495</v>
      </c>
      <c r="B413" s="8" t="s">
        <v>1</v>
      </c>
      <c r="C413" s="121">
        <f t="shared" si="46"/>
        <v>43340</v>
      </c>
      <c r="D413" s="121" t="s">
        <v>147</v>
      </c>
      <c r="E413" s="10">
        <v>0.39930555555555558</v>
      </c>
      <c r="F413" s="10">
        <v>0.76041666666666663</v>
      </c>
      <c r="G413" s="11">
        <v>0</v>
      </c>
      <c r="H413" s="45">
        <v>1</v>
      </c>
      <c r="I413" s="135" t="str">
        <f t="shared" si="50"/>
        <v/>
      </c>
      <c r="J413" s="153">
        <f t="shared" si="48"/>
        <v>1.3888888888887729E-3</v>
      </c>
      <c r="K413" s="35">
        <v>63</v>
      </c>
      <c r="L413" s="35">
        <v>68</v>
      </c>
      <c r="M413" s="12">
        <v>0.3125</v>
      </c>
      <c r="O413" s="143" t="str">
        <f t="shared" si="49"/>
        <v/>
      </c>
      <c r="P413" s="45"/>
      <c r="Q413" s="123">
        <f>(SUM(E$2:E$21)+SUM(E$25:E$154)+SUM(E$156:E413))/(COUNTA(E$2:E413)-4)</f>
        <v>0.37965811965811963</v>
      </c>
      <c r="R413" s="46">
        <f>(SUM(H$2:H413)*E$1+A413)/SUM(H$2:H413)</f>
        <v>0.34719638242894058</v>
      </c>
      <c r="S413" s="62"/>
    </row>
    <row r="414" spans="1:21" s="7" customFormat="1" hidden="1" x14ac:dyDescent="0.3">
      <c r="A414" s="52">
        <f t="shared" si="45"/>
        <v>0.43055555555553715</v>
      </c>
      <c r="B414" s="8" t="s">
        <v>2</v>
      </c>
      <c r="C414" s="121">
        <f t="shared" si="46"/>
        <v>43341</v>
      </c>
      <c r="D414" s="121" t="s">
        <v>316</v>
      </c>
      <c r="E414" s="10">
        <v>0.37152777777777773</v>
      </c>
      <c r="F414" s="10">
        <v>0.76388888888888884</v>
      </c>
      <c r="G414" s="11">
        <v>4</v>
      </c>
      <c r="H414" s="45">
        <v>1</v>
      </c>
      <c r="I414" s="135">
        <f t="shared" si="50"/>
        <v>9.0277777777778012E-3</v>
      </c>
      <c r="J414" s="153">
        <f t="shared" si="48"/>
        <v>-9.0277777777778012E-3</v>
      </c>
      <c r="K414" s="35">
        <v>68</v>
      </c>
      <c r="L414" s="35">
        <v>68</v>
      </c>
      <c r="M414" s="12">
        <v>0.10416666666666667</v>
      </c>
      <c r="O414" s="143" t="str">
        <f t="shared" si="49"/>
        <v/>
      </c>
      <c r="P414" s="45"/>
      <c r="Q414" s="123">
        <f>(SUM(E$2:E$21)+SUM(E$25:E$154)+SUM(E$156:E414))/(COUNTA(E$2:E414)-4)</f>
        <v>0.37963317995910018</v>
      </c>
      <c r="R414" s="46">
        <f>(SUM(H$2:H414)*E$1+A414)/SUM(H$2:H414)</f>
        <v>0.3471642624076936</v>
      </c>
      <c r="S414" s="62"/>
    </row>
    <row r="415" spans="1:21" s="7" customFormat="1" hidden="1" x14ac:dyDescent="0.3">
      <c r="A415" s="52">
        <f t="shared" si="45"/>
        <v>0.48402777777775935</v>
      </c>
      <c r="B415" s="8" t="s">
        <v>3</v>
      </c>
      <c r="C415" s="121">
        <f t="shared" si="46"/>
        <v>43342</v>
      </c>
      <c r="D415" s="121" t="s">
        <v>317</v>
      </c>
      <c r="E415" s="10">
        <v>0.3576388888888889</v>
      </c>
      <c r="F415" s="10">
        <v>0.77083333333333337</v>
      </c>
      <c r="G415" s="11">
        <v>1</v>
      </c>
      <c r="H415" s="45">
        <v>1</v>
      </c>
      <c r="I415" s="135" t="str">
        <f t="shared" si="50"/>
        <v/>
      </c>
      <c r="J415" s="153">
        <f t="shared" si="48"/>
        <v>5.3472222222222199E-2</v>
      </c>
      <c r="K415" s="35">
        <v>68</v>
      </c>
      <c r="L415" s="35">
        <v>68</v>
      </c>
      <c r="M415" s="12">
        <v>0.27083333333333331</v>
      </c>
      <c r="O415" s="143" t="str">
        <f t="shared" si="49"/>
        <v/>
      </c>
      <c r="P415" s="45"/>
      <c r="Q415" s="123">
        <f>(SUM(E$2:E$21)+SUM(E$25:E$154)+SUM(E$156:E415))/(COUNTA(E$2:E415)-4)</f>
        <v>0.37956591913013926</v>
      </c>
      <c r="R415" s="46">
        <f>(SUM(H$2:H415)*E$1+A415)/SUM(H$2:H415)</f>
        <v>0.34732494435884265</v>
      </c>
      <c r="S415" s="62"/>
    </row>
    <row r="416" spans="1:21" s="7" customFormat="1" hidden="1" x14ac:dyDescent="0.3">
      <c r="A416" s="53">
        <f t="shared" si="45"/>
        <v>0.50277777777775934</v>
      </c>
      <c r="B416" s="13" t="s">
        <v>4</v>
      </c>
      <c r="C416" s="117">
        <f t="shared" si="46"/>
        <v>43343</v>
      </c>
      <c r="D416" s="117" t="s">
        <v>148</v>
      </c>
      <c r="E416" s="15">
        <v>0.3611111111111111</v>
      </c>
      <c r="F416" s="15">
        <v>0.73958333333333337</v>
      </c>
      <c r="G416" s="16">
        <v>1</v>
      </c>
      <c r="H416" s="17">
        <v>1</v>
      </c>
      <c r="I416" s="136" t="str">
        <f>IF(J416&lt;0,-J416,"")</f>
        <v/>
      </c>
      <c r="J416" s="154">
        <f t="shared" si="48"/>
        <v>1.8749999999999989E-2</v>
      </c>
      <c r="K416" s="36">
        <v>68</v>
      </c>
      <c r="L416" s="36">
        <v>55</v>
      </c>
      <c r="M416" s="18">
        <v>0.22916666666666666</v>
      </c>
      <c r="N416" s="7">
        <f>SUM(H394:H416)</f>
        <v>11</v>
      </c>
      <c r="O416" s="143" t="str">
        <f t="shared" si="49"/>
        <v/>
      </c>
      <c r="P416" s="137">
        <f>A416-A411</f>
        <v>8.6805555555555358E-2</v>
      </c>
      <c r="Q416" s="123">
        <f>(SUM(E$2:E$21)+SUM(E$25:E$154)+SUM(E$156:E416))/(COUNTA(E$2:E416)-4)</f>
        <v>0.37950965447154467</v>
      </c>
      <c r="R416" s="46">
        <f>(SUM(H$2:H416)*E$1+A416)/SUM(H$2:H416)</f>
        <v>0.34737796552312683</v>
      </c>
      <c r="S416" s="41">
        <f>IF(COUNTA(M412:M416)=0,0,SUM(M412:M416)/COUNTA(M412:M416))</f>
        <v>0.21249999999999999</v>
      </c>
      <c r="T416" s="7">
        <v>55</v>
      </c>
      <c r="U416" s="7">
        <v>74</v>
      </c>
    </row>
    <row r="417" spans="1:23" s="7" customFormat="1" x14ac:dyDescent="0.3">
      <c r="A417" s="51">
        <f t="shared" si="45"/>
        <v>0.5284722222222038</v>
      </c>
      <c r="B417" s="2" t="s">
        <v>0</v>
      </c>
      <c r="C417" s="212">
        <f t="shared" si="46"/>
        <v>43346</v>
      </c>
      <c r="D417" s="120" t="s">
        <v>151</v>
      </c>
      <c r="E417" s="4">
        <v>0.37152777777777773</v>
      </c>
      <c r="F417" s="4">
        <v>0.75694444444444453</v>
      </c>
      <c r="G417" s="5">
        <v>0</v>
      </c>
      <c r="H417" s="2">
        <v>1</v>
      </c>
      <c r="I417" s="134" t="str">
        <f t="shared" si="50"/>
        <v/>
      </c>
      <c r="J417" s="152">
        <f t="shared" si="48"/>
        <v>2.569444444444452E-2</v>
      </c>
      <c r="K417" s="213">
        <v>53</v>
      </c>
      <c r="L417" s="213">
        <v>46</v>
      </c>
      <c r="M417" s="6">
        <v>0.29166666666666669</v>
      </c>
      <c r="O417" s="143" t="str">
        <f>IF(P417&lt;0,-P417,"")</f>
        <v/>
      </c>
      <c r="P417" s="45"/>
      <c r="Q417" s="123">
        <f>(SUM(E$2:E$21)+SUM(E$25:E$154)+SUM(E$156:E417))/(COUNTA(E$2:E417)-4)</f>
        <v>0.37948539344815935</v>
      </c>
      <c r="R417" s="46">
        <f>(SUM(H$2:H417)*E$1+A417)/SUM(H$2:H417)</f>
        <v>0.34745193125744428</v>
      </c>
      <c r="S417" s="61"/>
      <c r="U417" s="190">
        <f>N417-K419</f>
        <v>-37</v>
      </c>
    </row>
    <row r="418" spans="1:23" s="7" customFormat="1" x14ac:dyDescent="0.3">
      <c r="A418" s="52">
        <f t="shared" si="45"/>
        <v>0.56111111111109269</v>
      </c>
      <c r="B418" s="8" t="s">
        <v>1</v>
      </c>
      <c r="C418" s="210">
        <f t="shared" si="46"/>
        <v>43347</v>
      </c>
      <c r="D418" s="121" t="s">
        <v>152</v>
      </c>
      <c r="E418" s="10">
        <v>0.37847222222222227</v>
      </c>
      <c r="F418" s="10">
        <v>0.77083333333333337</v>
      </c>
      <c r="G418" s="11">
        <v>1</v>
      </c>
      <c r="H418" s="45">
        <v>1</v>
      </c>
      <c r="I418" s="135" t="str">
        <f t="shared" si="50"/>
        <v/>
      </c>
      <c r="J418" s="153">
        <f t="shared" si="48"/>
        <v>3.2638888888888828E-2</v>
      </c>
      <c r="K418" s="214">
        <v>46</v>
      </c>
      <c r="L418" s="214">
        <v>37</v>
      </c>
      <c r="M418" s="12">
        <v>0.16666666666666666</v>
      </c>
      <c r="O418" s="143" t="str">
        <f t="shared" si="49"/>
        <v/>
      </c>
      <c r="P418" s="45"/>
      <c r="Q418" s="123">
        <f>(SUM(E$2:E$21)+SUM(E$25:E$154)+SUM(E$156:E418))/(COUNTA(E$2:E418)-4)</f>
        <v>0.37948232323232323</v>
      </c>
      <c r="R418" s="46">
        <f>(SUM(H$2:H418)*E$1+A418)/SUM(H$2:H418)</f>
        <v>0.34754664970313826</v>
      </c>
      <c r="S418" s="62"/>
    </row>
    <row r="419" spans="1:23" s="7" customFormat="1" x14ac:dyDescent="0.3">
      <c r="A419" s="52">
        <f t="shared" si="45"/>
        <v>0.58333333333331483</v>
      </c>
      <c r="B419" s="8" t="s">
        <v>2</v>
      </c>
      <c r="C419" s="210">
        <f t="shared" si="46"/>
        <v>43348</v>
      </c>
      <c r="D419" s="121" t="s">
        <v>318</v>
      </c>
      <c r="E419" s="10">
        <v>0.3576388888888889</v>
      </c>
      <c r="F419" s="10">
        <v>0.75347222222222221</v>
      </c>
      <c r="G419" s="11">
        <v>2</v>
      </c>
      <c r="H419" s="45">
        <v>1</v>
      </c>
      <c r="I419" s="135" t="str">
        <f t="shared" si="50"/>
        <v/>
      </c>
      <c r="J419" s="153">
        <f t="shared" si="48"/>
        <v>2.2222222222222143E-2</v>
      </c>
      <c r="K419" s="213">
        <v>37</v>
      </c>
      <c r="L419" s="35">
        <v>45</v>
      </c>
      <c r="M419" s="12">
        <v>0.20833333333333334</v>
      </c>
      <c r="O419" s="143" t="str">
        <f t="shared" si="49"/>
        <v/>
      </c>
      <c r="P419" s="45"/>
      <c r="Q419" s="123">
        <f>(SUM(E$2:E$21)+SUM(E$25:E$154)+SUM(E$156:E419))/(COUNTA(E$2:E419)-4)</f>
        <v>0.37941633098355149</v>
      </c>
      <c r="R419" s="46">
        <f>(SUM(H$2:H419)*E$1+A419)/SUM(H$2:H419)</f>
        <v>0.34760908168442417</v>
      </c>
      <c r="S419" s="62"/>
      <c r="U419" s="193"/>
    </row>
    <row r="420" spans="1:23" s="7" customFormat="1" x14ac:dyDescent="0.3">
      <c r="A420" s="52">
        <f t="shared" si="45"/>
        <v>0.58124999999998161</v>
      </c>
      <c r="B420" s="8" t="s">
        <v>3</v>
      </c>
      <c r="C420" s="121">
        <f t="shared" si="46"/>
        <v>43349</v>
      </c>
      <c r="D420" s="121" t="s">
        <v>319</v>
      </c>
      <c r="E420" s="10">
        <v>0.37152777777777773</v>
      </c>
      <c r="F420" s="10">
        <v>0.77083333333333337</v>
      </c>
      <c r="G420" s="11">
        <v>4</v>
      </c>
      <c r="H420" s="45">
        <v>1</v>
      </c>
      <c r="I420" s="135">
        <f t="shared" si="50"/>
        <v>2.0833333333332704E-3</v>
      </c>
      <c r="J420" s="153">
        <f t="shared" si="48"/>
        <v>-2.0833333333332704E-3</v>
      </c>
      <c r="K420" s="35">
        <v>45</v>
      </c>
      <c r="L420" s="35">
        <v>38</v>
      </c>
      <c r="M420" s="12">
        <v>0.27083333333333331</v>
      </c>
      <c r="O420" s="143" t="str">
        <f t="shared" si="49"/>
        <v/>
      </c>
      <c r="P420" s="45"/>
      <c r="Q420" s="123">
        <f>(SUM(E$2:E$21)+SUM(E$25:E$154)+SUM(E$156:E420))/(COUNTA(E$2:E420)-4)</f>
        <v>0.37939257028112444</v>
      </c>
      <c r="R420" s="46">
        <f>(SUM(H$2:H420)*E$1+A420)/SUM(H$2:H420)</f>
        <v>0.34759736975214972</v>
      </c>
      <c r="S420" s="62"/>
    </row>
    <row r="421" spans="1:23" s="7" customFormat="1" x14ac:dyDescent="0.3">
      <c r="A421" s="53">
        <f t="shared" si="45"/>
        <v>0.57916666666664818</v>
      </c>
      <c r="B421" s="13" t="s">
        <v>4</v>
      </c>
      <c r="C421" s="117">
        <f t="shared" si="46"/>
        <v>43350</v>
      </c>
      <c r="D421" s="117" t="s">
        <v>153</v>
      </c>
      <c r="E421" s="15">
        <v>0.37152777777777773</v>
      </c>
      <c r="F421" s="15">
        <v>0.72916666666666663</v>
      </c>
      <c r="G421" s="16">
        <v>0</v>
      </c>
      <c r="H421" s="17">
        <v>1</v>
      </c>
      <c r="I421" s="136">
        <f>IF(J421&lt;0,-J421,"")</f>
        <v>2.0833333333333814E-3</v>
      </c>
      <c r="J421" s="154">
        <f t="shared" si="48"/>
        <v>-2.0833333333333814E-3</v>
      </c>
      <c r="K421" s="36">
        <v>43</v>
      </c>
      <c r="L421" s="36">
        <v>46</v>
      </c>
      <c r="M421" s="18">
        <v>0.16666666666666666</v>
      </c>
      <c r="O421" s="143" t="str">
        <f t="shared" si="49"/>
        <v/>
      </c>
      <c r="P421" s="137">
        <f>A421-A416</f>
        <v>7.638888888888884E-2</v>
      </c>
      <c r="Q421" s="123">
        <f>(SUM(E$2:E$21)+SUM(E$25:E$154)+SUM(E$156:E421))/(COUNTA(E$2:E421)-4)</f>
        <v>0.3793689522856189</v>
      </c>
      <c r="R421" s="46">
        <f>(SUM(H$2:H421)*E$1+A421)/SUM(H$2:H421)</f>
        <v>0.34758572869389814</v>
      </c>
      <c r="S421" s="41">
        <f>IF(COUNTA(M417:M421)=0,0,SUM(M417:M421)/COUNTA(M417:M421))</f>
        <v>0.22083333333333335</v>
      </c>
      <c r="T421" s="7">
        <f>T416-6</f>
        <v>49</v>
      </c>
      <c r="V421" s="7">
        <f>$V$1*(H421&gt;0)+(G421&gt;2)*20</f>
        <v>26.5</v>
      </c>
      <c r="W421" s="7">
        <f>W420+V421</f>
        <v>26.5</v>
      </c>
    </row>
    <row r="422" spans="1:23" s="7" customFormat="1" x14ac:dyDescent="0.3">
      <c r="A422" s="51">
        <f t="shared" si="45"/>
        <v>0.57916666666664818</v>
      </c>
      <c r="B422" s="2" t="s">
        <v>0</v>
      </c>
      <c r="C422" s="84">
        <f t="shared" si="46"/>
        <v>43353</v>
      </c>
      <c r="D422" s="84" t="s">
        <v>156</v>
      </c>
      <c r="E422" s="4"/>
      <c r="F422" s="4"/>
      <c r="G422" s="5"/>
      <c r="H422" s="2"/>
      <c r="I422" s="134" t="str">
        <f t="shared" si="50"/>
        <v/>
      </c>
      <c r="J422" s="152">
        <f t="shared" si="48"/>
        <v>0</v>
      </c>
      <c r="K422" s="34"/>
      <c r="L422" s="34"/>
      <c r="M422" s="6"/>
      <c r="O422" s="143" t="str">
        <f t="shared" si="49"/>
        <v/>
      </c>
      <c r="P422" s="45"/>
      <c r="Q422" s="123">
        <f>(SUM(E$2:E$21)+SUM(E$25:E$154)+SUM(E$156:E422))/(COUNTA(E$2:E422)-4)</f>
        <v>0.3793689522856189</v>
      </c>
      <c r="R422" s="46">
        <f>(SUM(H$2:H422)*E$1+A422)/SUM(H$2:H422)</f>
        <v>0.34758572869389814</v>
      </c>
      <c r="S422" s="61"/>
      <c r="V422" s="7">
        <f t="shared" ref="V422:V442" si="51">$V$1*(H422&gt;0)+(G422&gt;2)*20</f>
        <v>0</v>
      </c>
      <c r="W422" s="7">
        <f t="shared" ref="W422:W485" si="52">W421+V422</f>
        <v>26.5</v>
      </c>
    </row>
    <row r="423" spans="1:23" s="7" customFormat="1" x14ac:dyDescent="0.3">
      <c r="A423" s="52">
        <f t="shared" si="45"/>
        <v>0.57916666666664818</v>
      </c>
      <c r="B423" s="8" t="s">
        <v>1</v>
      </c>
      <c r="C423" s="85">
        <f t="shared" si="46"/>
        <v>43354</v>
      </c>
      <c r="D423" s="85" t="s">
        <v>157</v>
      </c>
      <c r="E423" s="10"/>
      <c r="F423" s="10"/>
      <c r="G423" s="11"/>
      <c r="H423" s="45"/>
      <c r="I423" s="135" t="str">
        <f t="shared" si="50"/>
        <v/>
      </c>
      <c r="J423" s="153">
        <f t="shared" si="48"/>
        <v>0</v>
      </c>
      <c r="K423" s="35"/>
      <c r="L423" s="35"/>
      <c r="M423" s="12"/>
      <c r="O423" s="143" t="str">
        <f t="shared" si="49"/>
        <v/>
      </c>
      <c r="P423" s="45"/>
      <c r="Q423" s="123">
        <f>(SUM(E$2:E$21)+SUM(E$25:E$154)+SUM(E$156:E423))/(COUNTA(E$2:E423)-4)</f>
        <v>0.3793689522856189</v>
      </c>
      <c r="R423" s="46">
        <f>(SUM(H$2:H423)*E$1+A423)/SUM(H$2:H423)</f>
        <v>0.34758572869389814</v>
      </c>
      <c r="S423" s="62"/>
      <c r="V423" s="7">
        <f t="shared" si="51"/>
        <v>0</v>
      </c>
      <c r="W423" s="7">
        <f t="shared" si="52"/>
        <v>26.5</v>
      </c>
    </row>
    <row r="424" spans="1:23" s="7" customFormat="1" x14ac:dyDescent="0.3">
      <c r="A424" s="52">
        <f t="shared" si="45"/>
        <v>0.62222222222220358</v>
      </c>
      <c r="B424" s="8" t="s">
        <v>2</v>
      </c>
      <c r="C424" s="121">
        <f t="shared" si="46"/>
        <v>43355</v>
      </c>
      <c r="D424" s="121" t="s">
        <v>320</v>
      </c>
      <c r="E424" s="10">
        <v>0.36805555555555558</v>
      </c>
      <c r="F424" s="10">
        <v>0.78472222222222221</v>
      </c>
      <c r="G424" s="11">
        <v>2</v>
      </c>
      <c r="H424" s="45">
        <v>1</v>
      </c>
      <c r="I424" s="135" t="str">
        <f t="shared" si="50"/>
        <v/>
      </c>
      <c r="J424" s="153">
        <f t="shared" si="48"/>
        <v>4.3055555555555458E-2</v>
      </c>
      <c r="K424" s="35">
        <v>86</v>
      </c>
      <c r="L424" s="35">
        <v>66</v>
      </c>
      <c r="M424" s="12">
        <v>0.20833333333333334</v>
      </c>
      <c r="O424" s="143" t="str">
        <f t="shared" si="49"/>
        <v/>
      </c>
      <c r="P424" s="45"/>
      <c r="Q424" s="123">
        <f>(SUM(E$2:E$21)+SUM(E$25:E$154)+SUM(E$156:E424))/(COUNTA(E$2:E424)-4)</f>
        <v>0.37933507984031933</v>
      </c>
      <c r="R424" s="46">
        <f>(SUM(H$2:H424)*E$1+A424)/SUM(H$2:H424)</f>
        <v>0.34771032344561753</v>
      </c>
      <c r="S424" s="62"/>
      <c r="V424" s="7">
        <f t="shared" si="51"/>
        <v>26.5</v>
      </c>
      <c r="W424" s="7">
        <f t="shared" si="52"/>
        <v>53</v>
      </c>
    </row>
    <row r="425" spans="1:23" s="7" customFormat="1" x14ac:dyDescent="0.3">
      <c r="A425" s="52">
        <f t="shared" si="45"/>
        <v>0.61319444444442572</v>
      </c>
      <c r="B425" s="8" t="s">
        <v>3</v>
      </c>
      <c r="C425" s="121">
        <f t="shared" si="46"/>
        <v>43356</v>
      </c>
      <c r="D425" s="121" t="s">
        <v>321</v>
      </c>
      <c r="E425" s="10">
        <v>0.38194444444444442</v>
      </c>
      <c r="F425" s="10">
        <v>0.73263888888888884</v>
      </c>
      <c r="G425" s="11">
        <v>0</v>
      </c>
      <c r="H425" s="45">
        <v>1</v>
      </c>
      <c r="I425" s="135">
        <f t="shared" si="50"/>
        <v>9.0277777777778567E-3</v>
      </c>
      <c r="J425" s="153">
        <f t="shared" si="48"/>
        <v>-9.0277777777778567E-3</v>
      </c>
      <c r="K425" s="35">
        <v>64</v>
      </c>
      <c r="L425" s="35">
        <v>59</v>
      </c>
      <c r="M425" s="12">
        <v>0.16666666666666666</v>
      </c>
      <c r="O425" s="143" t="str">
        <f t="shared" si="49"/>
        <v/>
      </c>
      <c r="P425" s="45"/>
      <c r="Q425" s="123">
        <f>(SUM(E$2:E$21)+SUM(E$25:E$154)+SUM(E$156:E425))/(COUNTA(E$2:E425)-4)</f>
        <v>0.37934286898839131</v>
      </c>
      <c r="R425" s="46">
        <f>(SUM(H$2:H425)*E$1+A425)/SUM(H$2:H425)</f>
        <v>0.34767752715121136</v>
      </c>
      <c r="S425" s="62"/>
      <c r="V425" s="7">
        <f>$V$1*(H425&gt;0)+(G425&gt;2)*20+5</f>
        <v>31.5</v>
      </c>
      <c r="W425" s="7">
        <f t="shared" si="52"/>
        <v>84.5</v>
      </c>
    </row>
    <row r="426" spans="1:23" s="7" customFormat="1" x14ac:dyDescent="0.3">
      <c r="A426" s="53">
        <f t="shared" si="45"/>
        <v>0.60069444444442566</v>
      </c>
      <c r="B426" s="13" t="s">
        <v>4</v>
      </c>
      <c r="C426" s="117">
        <f t="shared" si="46"/>
        <v>43357</v>
      </c>
      <c r="D426" s="117" t="s">
        <v>158</v>
      </c>
      <c r="E426" s="15">
        <v>0.38194444444444442</v>
      </c>
      <c r="F426" s="15">
        <v>0.72916666666666663</v>
      </c>
      <c r="G426" s="16">
        <v>0</v>
      </c>
      <c r="H426" s="17">
        <v>1</v>
      </c>
      <c r="I426" s="136">
        <f>IF(J426&lt;0,-J426,"")</f>
        <v>1.2500000000000067E-2</v>
      </c>
      <c r="J426" s="154">
        <f t="shared" si="48"/>
        <v>-1.2500000000000067E-2</v>
      </c>
      <c r="K426" s="36">
        <v>59</v>
      </c>
      <c r="L426" s="36">
        <v>59</v>
      </c>
      <c r="M426" s="18">
        <v>0.20833333333333334</v>
      </c>
      <c r="O426" s="143" t="str">
        <f t="shared" si="49"/>
        <v/>
      </c>
      <c r="P426" s="137">
        <f>A426-A421</f>
        <v>2.1527777777777479E-2</v>
      </c>
      <c r="Q426" s="123">
        <f>(SUM(E$2:E$21)+SUM(E$25:E$154)+SUM(E$156:E426))/(COUNTA(E$2:E426)-4)</f>
        <v>0.37935061177248675</v>
      </c>
      <c r="R426" s="46">
        <f>(SUM(H$2:H426)*E$1+A426)/SUM(H$2:H426)</f>
        <v>0.34763451607529572</v>
      </c>
      <c r="S426" s="41">
        <f>IF(COUNTA(M422:M426)=0,0,SUM(M422:M426)/COUNTA(M422:M426))</f>
        <v>0.19444444444444445</v>
      </c>
      <c r="T426" s="7">
        <f>T421+10</f>
        <v>59</v>
      </c>
      <c r="V426" s="7">
        <f t="shared" si="51"/>
        <v>26.5</v>
      </c>
      <c r="W426" s="7">
        <f t="shared" si="52"/>
        <v>111</v>
      </c>
    </row>
    <row r="427" spans="1:23" s="7" customFormat="1" x14ac:dyDescent="0.3">
      <c r="A427" s="51">
        <f t="shared" si="45"/>
        <v>0.65069444444442559</v>
      </c>
      <c r="B427" s="2" t="s">
        <v>0</v>
      </c>
      <c r="C427" s="120">
        <f t="shared" si="46"/>
        <v>43360</v>
      </c>
      <c r="D427" s="120" t="s">
        <v>161</v>
      </c>
      <c r="E427" s="4">
        <v>0.37847222222222227</v>
      </c>
      <c r="F427" s="4">
        <v>0.78819444444444453</v>
      </c>
      <c r="G427" s="5">
        <v>1</v>
      </c>
      <c r="H427" s="2">
        <v>1</v>
      </c>
      <c r="I427" s="134" t="str">
        <f t="shared" si="50"/>
        <v/>
      </c>
      <c r="J427" s="152">
        <f t="shared" si="48"/>
        <v>4.9999999999999989E-2</v>
      </c>
      <c r="K427" s="34">
        <v>72</v>
      </c>
      <c r="L427" s="34">
        <v>59</v>
      </c>
      <c r="M427" s="6">
        <v>0.22916666666666666</v>
      </c>
      <c r="O427" s="143" t="str">
        <f t="shared" si="49"/>
        <v/>
      </c>
      <c r="P427" s="45"/>
      <c r="Q427" s="123">
        <f>(SUM(E$2:E$21)+SUM(E$25:E$154)+SUM(E$156:E427))/(COUNTA(E$2:E427)-4)</f>
        <v>0.37934800527530493</v>
      </c>
      <c r="R427" s="46">
        <f>(SUM(H$2:H427)*E$1+A427)/SUM(H$2:H427)</f>
        <v>0.3477786082046172</v>
      </c>
      <c r="S427" s="61"/>
      <c r="V427" s="7">
        <f t="shared" si="51"/>
        <v>26.5</v>
      </c>
      <c r="W427" s="7">
        <f t="shared" si="52"/>
        <v>137.5</v>
      </c>
    </row>
    <row r="428" spans="1:23" s="7" customFormat="1" x14ac:dyDescent="0.3">
      <c r="A428" s="52">
        <f t="shared" si="45"/>
        <v>0.65069444444442559</v>
      </c>
      <c r="B428" s="8" t="s">
        <v>1</v>
      </c>
      <c r="C428" s="85">
        <f t="shared" si="46"/>
        <v>43361</v>
      </c>
      <c r="D428" s="85" t="s">
        <v>162</v>
      </c>
      <c r="E428" s="10"/>
      <c r="F428" s="10"/>
      <c r="G428" s="11"/>
      <c r="H428" s="45"/>
      <c r="I428" s="135" t="str">
        <f t="shared" si="50"/>
        <v/>
      </c>
      <c r="J428" s="153">
        <f t="shared" si="48"/>
        <v>0</v>
      </c>
      <c r="K428" s="35">
        <v>59</v>
      </c>
      <c r="L428" s="35">
        <v>59</v>
      </c>
      <c r="M428" s="12">
        <v>0.29166666666666669</v>
      </c>
      <c r="O428" s="143" t="str">
        <f t="shared" si="49"/>
        <v/>
      </c>
      <c r="P428" s="45"/>
      <c r="Q428" s="123">
        <f>(SUM(E$2:E$21)+SUM(E$25:E$154)+SUM(E$156:E428))/(COUNTA(E$2:E428)-4)</f>
        <v>0.37934800527530493</v>
      </c>
      <c r="R428" s="46">
        <f>(SUM(H$2:H428)*E$1+A428)/SUM(H$2:H428)</f>
        <v>0.3477786082046172</v>
      </c>
      <c r="S428" s="62"/>
      <c r="V428" s="7">
        <f t="shared" si="51"/>
        <v>0</v>
      </c>
      <c r="W428" s="7">
        <f t="shared" si="52"/>
        <v>137.5</v>
      </c>
    </row>
    <row r="429" spans="1:23" s="7" customFormat="1" x14ac:dyDescent="0.3">
      <c r="A429" s="52">
        <f t="shared" si="45"/>
        <v>0.65069444444442559</v>
      </c>
      <c r="B429" s="8" t="s">
        <v>2</v>
      </c>
      <c r="C429" s="85">
        <f t="shared" si="46"/>
        <v>43362</v>
      </c>
      <c r="D429" s="85" t="s">
        <v>322</v>
      </c>
      <c r="E429" s="10"/>
      <c r="F429" s="10"/>
      <c r="G429" s="11"/>
      <c r="H429" s="45"/>
      <c r="I429" s="135" t="str">
        <f t="shared" si="50"/>
        <v/>
      </c>
      <c r="J429" s="153">
        <f t="shared" si="48"/>
        <v>0</v>
      </c>
      <c r="K429" s="35">
        <v>59</v>
      </c>
      <c r="L429" s="35">
        <v>57</v>
      </c>
      <c r="M429" s="12">
        <v>0.375</v>
      </c>
      <c r="O429" s="143" t="str">
        <f t="shared" si="49"/>
        <v/>
      </c>
      <c r="P429" s="45"/>
      <c r="Q429" s="123">
        <f>(SUM(E$2:E$21)+SUM(E$25:E$154)+SUM(E$156:E429))/(COUNTA(E$2:E429)-4)</f>
        <v>0.37934800527530493</v>
      </c>
      <c r="R429" s="46">
        <f>(SUM(H$2:H429)*E$1+A429)/SUM(H$2:H429)</f>
        <v>0.3477786082046172</v>
      </c>
      <c r="S429" s="62"/>
      <c r="V429" s="7">
        <f t="shared" si="51"/>
        <v>0</v>
      </c>
      <c r="W429" s="7">
        <f t="shared" si="52"/>
        <v>137.5</v>
      </c>
    </row>
    <row r="430" spans="1:23" s="7" customFormat="1" x14ac:dyDescent="0.3">
      <c r="A430" s="52">
        <f t="shared" si="45"/>
        <v>0.61041666666664773</v>
      </c>
      <c r="B430" s="8" t="s">
        <v>3</v>
      </c>
      <c r="C430" s="121">
        <f t="shared" si="46"/>
        <v>43363</v>
      </c>
      <c r="D430" s="121" t="s">
        <v>323</v>
      </c>
      <c r="E430" s="10">
        <v>0.38194444444444442</v>
      </c>
      <c r="F430" s="10">
        <v>0.74305555555555547</v>
      </c>
      <c r="G430" s="11">
        <v>4</v>
      </c>
      <c r="H430" s="45">
        <v>1</v>
      </c>
      <c r="I430" s="135">
        <f t="shared" si="50"/>
        <v>4.0277777777777912E-2</v>
      </c>
      <c r="J430" s="153">
        <f t="shared" si="48"/>
        <v>-4.0277777777777912E-2</v>
      </c>
      <c r="K430" s="35">
        <v>61</v>
      </c>
      <c r="L430" s="35"/>
      <c r="M430" s="12">
        <v>4.1666666666666664E-2</v>
      </c>
      <c r="O430" s="143" t="str">
        <f t="shared" si="49"/>
        <v/>
      </c>
      <c r="P430" s="45"/>
      <c r="Q430" s="123">
        <f>(SUM(E$2:E$21)+SUM(E$25:E$154)+SUM(E$156:E430))/(COUNTA(E$2:E430)-4)</f>
        <v>0.37935568704799466</v>
      </c>
      <c r="R430" s="46">
        <f>(SUM(H$2:H430)*E$1+A430)/SUM(H$2:H430)</f>
        <v>0.34765275707898657</v>
      </c>
      <c r="S430" s="62"/>
      <c r="V430" s="7">
        <f>$V$1*(H430&gt;0)+(G430&gt;2)*20+5</f>
        <v>51.5</v>
      </c>
      <c r="W430" s="7">
        <f t="shared" si="52"/>
        <v>189</v>
      </c>
    </row>
    <row r="431" spans="1:23" s="7" customFormat="1" x14ac:dyDescent="0.3">
      <c r="A431" s="53">
        <f t="shared" si="45"/>
        <v>0.60138888888886988</v>
      </c>
      <c r="B431" s="13" t="s">
        <v>4</v>
      </c>
      <c r="C431" s="117">
        <f t="shared" si="46"/>
        <v>43364</v>
      </c>
      <c r="D431" s="117" t="s">
        <v>163</v>
      </c>
      <c r="E431" s="15">
        <v>0.3888888888888889</v>
      </c>
      <c r="F431" s="15">
        <v>0.73958333333333337</v>
      </c>
      <c r="G431" s="16">
        <v>0</v>
      </c>
      <c r="H431" s="17">
        <v>1</v>
      </c>
      <c r="I431" s="136">
        <f>IF(J431&lt;0,-J431,"")</f>
        <v>9.0277777777778012E-3</v>
      </c>
      <c r="J431" s="154">
        <f t="shared" si="48"/>
        <v>-9.0277777777778012E-3</v>
      </c>
      <c r="K431" s="36">
        <v>61</v>
      </c>
      <c r="L431" s="36">
        <v>52</v>
      </c>
      <c r="M431" s="18">
        <v>0.20833333333333334</v>
      </c>
      <c r="O431" s="143" t="str">
        <f t="shared" si="49"/>
        <v/>
      </c>
      <c r="P431" s="137">
        <f>A431-A426</f>
        <v>6.9444444444421993E-4</v>
      </c>
      <c r="Q431" s="123">
        <f>(SUM(E$2:E$21)+SUM(E$25:E$154)+SUM(E$156:E431))/(COUNTA(E$2:E431)-4)</f>
        <v>0.37938380858734833</v>
      </c>
      <c r="R431" s="46">
        <f>(SUM(H$2:H431)*E$1+A431)/SUM(H$2:H431)</f>
        <v>0.34762052171041768</v>
      </c>
      <c r="S431" s="41">
        <f>IF(COUNTA(M427:M431)=0,0,SUM(M427:M431)/COUNTA(M427:M431))</f>
        <v>0.22916666666666666</v>
      </c>
      <c r="T431" s="7">
        <f>T426-10</f>
        <v>49</v>
      </c>
      <c r="V431" s="7">
        <f t="shared" si="51"/>
        <v>26.5</v>
      </c>
      <c r="W431" s="7">
        <f t="shared" si="52"/>
        <v>215.5</v>
      </c>
    </row>
    <row r="432" spans="1:23" s="7" customFormat="1" x14ac:dyDescent="0.3">
      <c r="A432" s="51">
        <f t="shared" si="45"/>
        <v>0.60138888888886988</v>
      </c>
      <c r="B432" s="2" t="s">
        <v>0</v>
      </c>
      <c r="C432" s="84">
        <f>C427+7</f>
        <v>43367</v>
      </c>
      <c r="D432" s="84" t="s">
        <v>166</v>
      </c>
      <c r="E432" s="4"/>
      <c r="F432" s="4"/>
      <c r="G432" s="5"/>
      <c r="H432" s="2"/>
      <c r="I432" s="134" t="str">
        <f t="shared" ref="I432:I450" si="53">IF(J432&lt;0,-J432,"")</f>
        <v/>
      </c>
      <c r="J432" s="152">
        <f t="shared" si="48"/>
        <v>0</v>
      </c>
      <c r="K432" s="34"/>
      <c r="L432" s="34"/>
      <c r="M432" s="6"/>
      <c r="O432" s="143" t="str">
        <f t="shared" si="49"/>
        <v/>
      </c>
      <c r="P432" s="45"/>
      <c r="Q432" s="123">
        <f>(SUM(E$2:E$21)+SUM(E$25:E$154)+SUM(E$156:E432))/(COUNTA(E$2:E432)-4)</f>
        <v>0.37938380858734833</v>
      </c>
      <c r="R432" s="46">
        <f>(SUM(H$2:H432)*E$1+A432)/SUM(H$2:H432)</f>
        <v>0.34762052171041768</v>
      </c>
      <c r="S432" s="61"/>
      <c r="V432" s="7">
        <f t="shared" si="51"/>
        <v>0</v>
      </c>
      <c r="W432" s="7">
        <f t="shared" si="52"/>
        <v>215.5</v>
      </c>
    </row>
    <row r="433" spans="1:23" s="7" customFormat="1" x14ac:dyDescent="0.3">
      <c r="A433" s="52">
        <f t="shared" si="45"/>
        <v>0.60138888888886988</v>
      </c>
      <c r="B433" s="8" t="s">
        <v>1</v>
      </c>
      <c r="C433" s="85">
        <f t="shared" si="46"/>
        <v>43368</v>
      </c>
      <c r="D433" s="85" t="s">
        <v>167</v>
      </c>
      <c r="E433" s="10"/>
      <c r="F433" s="10"/>
      <c r="G433" s="11"/>
      <c r="H433" s="45"/>
      <c r="I433" s="135" t="str">
        <f t="shared" si="53"/>
        <v/>
      </c>
      <c r="J433" s="153">
        <f t="shared" si="48"/>
        <v>0</v>
      </c>
      <c r="K433" s="35"/>
      <c r="L433" s="35"/>
      <c r="M433" s="12"/>
      <c r="O433" s="143" t="str">
        <f t="shared" si="49"/>
        <v/>
      </c>
      <c r="P433" s="45"/>
      <c r="Q433" s="123">
        <f>(SUM(E$2:E$21)+SUM(E$25:E$154)+SUM(E$156:E433))/(COUNTA(E$2:E433)-4)</f>
        <v>0.37938380858734833</v>
      </c>
      <c r="R433" s="46">
        <f>(SUM(H$2:H433)*E$1+A433)/SUM(H$2:H433)</f>
        <v>0.34762052171041768</v>
      </c>
      <c r="S433" s="62"/>
      <c r="V433" s="7">
        <f t="shared" si="51"/>
        <v>0</v>
      </c>
      <c r="W433" s="7">
        <f t="shared" si="52"/>
        <v>215.5</v>
      </c>
    </row>
    <row r="434" spans="1:23" s="7" customFormat="1" x14ac:dyDescent="0.3">
      <c r="A434" s="52">
        <f t="shared" si="45"/>
        <v>0.61319444444442528</v>
      </c>
      <c r="B434" s="8" t="s">
        <v>2</v>
      </c>
      <c r="C434" s="121">
        <f t="shared" si="46"/>
        <v>43369</v>
      </c>
      <c r="D434" s="121" t="s">
        <v>324</v>
      </c>
      <c r="E434" s="10">
        <v>0.3923611111111111</v>
      </c>
      <c r="F434" s="10">
        <v>0.76388888888888884</v>
      </c>
      <c r="G434" s="11">
        <v>1</v>
      </c>
      <c r="H434" s="45">
        <v>1</v>
      </c>
      <c r="I434" s="135" t="str">
        <f t="shared" si="53"/>
        <v/>
      </c>
      <c r="J434" s="153">
        <f t="shared" si="48"/>
        <v>1.1805555555555458E-2</v>
      </c>
      <c r="K434" s="35"/>
      <c r="L434" s="35">
        <v>51</v>
      </c>
      <c r="M434" s="12">
        <v>0.16666666666666666</v>
      </c>
      <c r="O434" s="143" t="str">
        <f t="shared" si="49"/>
        <v/>
      </c>
      <c r="P434" s="45"/>
      <c r="Q434" s="123">
        <f>(SUM(E$2:E$21)+SUM(E$25:E$154)+SUM(E$156:E434))/(COUNTA(E$2:E434)-4)</f>
        <v>0.37942197712418296</v>
      </c>
      <c r="R434" s="46">
        <f>(SUM(H$2:H434)*E$1+A434)/SUM(H$2:H434)</f>
        <v>0.34765020576131689</v>
      </c>
      <c r="S434" s="62"/>
      <c r="V434" s="7">
        <f t="shared" si="51"/>
        <v>26.5</v>
      </c>
      <c r="W434" s="7">
        <f t="shared" si="52"/>
        <v>242</v>
      </c>
    </row>
    <row r="435" spans="1:23" s="7" customFormat="1" x14ac:dyDescent="0.3">
      <c r="A435" s="52">
        <f t="shared" si="45"/>
        <v>0.68055555555553637</v>
      </c>
      <c r="B435" s="8" t="s">
        <v>3</v>
      </c>
      <c r="C435" s="121">
        <f t="shared" si="46"/>
        <v>43370</v>
      </c>
      <c r="D435" s="121" t="s">
        <v>325</v>
      </c>
      <c r="E435" s="10">
        <v>0.375</v>
      </c>
      <c r="F435" s="10">
        <v>0.80208333333333337</v>
      </c>
      <c r="G435" s="11">
        <v>1</v>
      </c>
      <c r="H435" s="45">
        <v>1</v>
      </c>
      <c r="I435" s="135" t="str">
        <f t="shared" si="53"/>
        <v/>
      </c>
      <c r="J435" s="153">
        <f t="shared" si="48"/>
        <v>6.7361111111111094E-2</v>
      </c>
      <c r="K435" s="35"/>
      <c r="L435" s="35">
        <v>51</v>
      </c>
      <c r="M435" s="12">
        <v>0.16666666666666666</v>
      </c>
      <c r="O435" s="143" t="str">
        <f t="shared" si="49"/>
        <v/>
      </c>
      <c r="P435" s="45"/>
      <c r="Q435" s="123">
        <f>(SUM(E$2:E$21)+SUM(E$25:E$154)+SUM(E$156:E435))/(COUNTA(E$2:E435)-4)</f>
        <v>0.37940900944933198</v>
      </c>
      <c r="R435" s="46">
        <f>(SUM(H$2:H435)*E$1+A435)/SUM(H$2:H435)</f>
        <v>0.34784383719021827</v>
      </c>
      <c r="S435" s="62"/>
      <c r="V435" s="7">
        <f t="shared" si="51"/>
        <v>26.5</v>
      </c>
      <c r="W435" s="7">
        <f t="shared" si="52"/>
        <v>268.5</v>
      </c>
    </row>
    <row r="436" spans="1:23" s="7" customFormat="1" x14ac:dyDescent="0.3">
      <c r="A436" s="53">
        <f t="shared" si="45"/>
        <v>0.61874999999998082</v>
      </c>
      <c r="B436" s="13" t="s">
        <v>4</v>
      </c>
      <c r="C436" s="201">
        <f t="shared" si="46"/>
        <v>43371</v>
      </c>
      <c r="D436" s="201" t="s">
        <v>168</v>
      </c>
      <c r="E436" s="15">
        <v>0.39583333333333331</v>
      </c>
      <c r="F436" s="15">
        <v>0.50694444444444442</v>
      </c>
      <c r="G436" s="16">
        <v>0</v>
      </c>
      <c r="H436" s="17">
        <v>0.5</v>
      </c>
      <c r="I436" s="136">
        <f>IF(J436&lt;0,-J436,"")</f>
        <v>6.1805555555555586E-2</v>
      </c>
      <c r="J436" s="154">
        <f t="shared" si="48"/>
        <v>-6.1805555555555586E-2</v>
      </c>
      <c r="K436" s="36">
        <v>51</v>
      </c>
      <c r="L436" s="36"/>
      <c r="M436" s="18">
        <v>0.29166666666666669</v>
      </c>
      <c r="N436" s="7">
        <f>SUM(H417:H436)</f>
        <v>13.5</v>
      </c>
      <c r="O436" s="143" t="str">
        <f t="shared" si="49"/>
        <v/>
      </c>
      <c r="P436" s="137">
        <f>A436-A431</f>
        <v>1.7361111111110938E-2</v>
      </c>
      <c r="Q436" s="123">
        <f>(SUM(E$2:E$21)+SUM(E$25:E$154)+SUM(E$156:E436))/(COUNTA(E$2:E436)-4)</f>
        <v>0.37945703378817408</v>
      </c>
      <c r="R436" s="46">
        <f>(SUM(H$2:H436)*E$1+A436)/SUM(H$2:H436)</f>
        <v>0.34765855457227135</v>
      </c>
      <c r="S436" s="41">
        <f>IF(COUNTA(M432:M436)=0,0,SUM(M432:M436)/COUNTA(M432:M436))</f>
        <v>0.20833333333333334</v>
      </c>
      <c r="T436" s="7">
        <f>T431+10</f>
        <v>59</v>
      </c>
      <c r="V436" s="7">
        <f t="shared" si="51"/>
        <v>26.5</v>
      </c>
      <c r="W436" s="7">
        <f>W435+V436</f>
        <v>295</v>
      </c>
    </row>
    <row r="437" spans="1:23" s="7" customFormat="1" x14ac:dyDescent="0.3">
      <c r="A437" s="51">
        <f t="shared" si="45"/>
        <v>0.61874999999998082</v>
      </c>
      <c r="B437" s="2" t="s">
        <v>0</v>
      </c>
      <c r="C437" s="84">
        <f t="shared" si="46"/>
        <v>43374</v>
      </c>
      <c r="D437" s="84" t="s">
        <v>171</v>
      </c>
      <c r="E437" s="4"/>
      <c r="F437" s="4"/>
      <c r="G437" s="5"/>
      <c r="H437" s="2"/>
      <c r="I437" s="134" t="str">
        <f t="shared" si="53"/>
        <v/>
      </c>
      <c r="J437" s="152">
        <f t="shared" si="48"/>
        <v>0</v>
      </c>
      <c r="K437" s="34"/>
      <c r="L437" s="34"/>
      <c r="M437" s="6"/>
      <c r="O437" s="143" t="str">
        <f t="shared" si="49"/>
        <v/>
      </c>
      <c r="P437" s="45"/>
      <c r="Q437" s="123">
        <f>(SUM(E$2:E$21)+SUM(E$25:E$154)+SUM(E$156:E437))/(COUNTA(E$2:E437)-4)</f>
        <v>0.37945703378817408</v>
      </c>
      <c r="R437" s="46">
        <f>(SUM(H$2:H437)*E$1+A437)/SUM(H$2:H437)</f>
        <v>0.34765855457227135</v>
      </c>
      <c r="S437" s="61"/>
      <c r="V437" s="7">
        <f t="shared" si="51"/>
        <v>0</v>
      </c>
      <c r="W437" s="7">
        <f t="shared" si="52"/>
        <v>295</v>
      </c>
    </row>
    <row r="438" spans="1:23" s="7" customFormat="1" x14ac:dyDescent="0.3">
      <c r="A438" s="52">
        <f t="shared" si="45"/>
        <v>0.61874999999998082</v>
      </c>
      <c r="B438" s="8" t="s">
        <v>1</v>
      </c>
      <c r="C438" s="85">
        <f t="shared" si="46"/>
        <v>43375</v>
      </c>
      <c r="D438" s="85" t="s">
        <v>172</v>
      </c>
      <c r="E438" s="10"/>
      <c r="F438" s="10"/>
      <c r="G438" s="11"/>
      <c r="H438" s="45"/>
      <c r="I438" s="135" t="str">
        <f t="shared" si="53"/>
        <v/>
      </c>
      <c r="J438" s="153">
        <f t="shared" si="48"/>
        <v>0</v>
      </c>
      <c r="K438" s="35"/>
      <c r="L438" s="35"/>
      <c r="M438" s="12"/>
      <c r="O438" s="143" t="str">
        <f t="shared" si="49"/>
        <v/>
      </c>
      <c r="P438" s="45"/>
      <c r="Q438" s="123">
        <f>(SUM(E$2:E$21)+SUM(E$25:E$154)+SUM(E$156:E438))/(COUNTA(E$2:E438)-4)</f>
        <v>0.37945703378817408</v>
      </c>
      <c r="R438" s="46">
        <f>(SUM(H$2:H438)*E$1+A438)/SUM(H$2:H438)</f>
        <v>0.34765855457227135</v>
      </c>
      <c r="S438" s="62"/>
      <c r="V438" s="7">
        <f t="shared" si="51"/>
        <v>0</v>
      </c>
      <c r="W438" s="7">
        <f t="shared" si="52"/>
        <v>295</v>
      </c>
    </row>
    <row r="439" spans="1:23" s="7" customFormat="1" x14ac:dyDescent="0.3">
      <c r="A439" s="52">
        <f t="shared" si="45"/>
        <v>0.61874999999998082</v>
      </c>
      <c r="B439" s="8" t="s">
        <v>2</v>
      </c>
      <c r="C439" s="85">
        <f t="shared" si="46"/>
        <v>43376</v>
      </c>
      <c r="D439" s="85" t="s">
        <v>326</v>
      </c>
      <c r="E439" s="10"/>
      <c r="F439" s="10"/>
      <c r="G439" s="11"/>
      <c r="H439" s="45"/>
      <c r="I439" s="135" t="str">
        <f t="shared" si="53"/>
        <v/>
      </c>
      <c r="J439" s="153">
        <f t="shared" si="48"/>
        <v>0</v>
      </c>
      <c r="K439" s="35"/>
      <c r="L439" s="35"/>
      <c r="M439" s="12"/>
      <c r="O439" s="143" t="str">
        <f t="shared" si="49"/>
        <v/>
      </c>
      <c r="P439" s="45"/>
      <c r="Q439" s="123">
        <f>(SUM(E$2:E$21)+SUM(E$25:E$154)+SUM(E$156:E439))/(COUNTA(E$2:E439)-4)</f>
        <v>0.37945703378817408</v>
      </c>
      <c r="R439" s="46">
        <f>(SUM(H$2:H439)*E$1+A439)/SUM(H$2:H439)</f>
        <v>0.34765855457227135</v>
      </c>
      <c r="S439" s="62"/>
      <c r="V439" s="7">
        <f t="shared" si="51"/>
        <v>0</v>
      </c>
      <c r="W439" s="7">
        <f t="shared" si="52"/>
        <v>295</v>
      </c>
    </row>
    <row r="440" spans="1:23" s="7" customFormat="1" x14ac:dyDescent="0.3">
      <c r="A440" s="52">
        <f t="shared" si="45"/>
        <v>0.59583333333331412</v>
      </c>
      <c r="B440" s="8" t="s">
        <v>3</v>
      </c>
      <c r="C440" s="121">
        <f t="shared" si="46"/>
        <v>43377</v>
      </c>
      <c r="D440" s="121" t="s">
        <v>327</v>
      </c>
      <c r="E440" s="10">
        <v>0.38194444444444442</v>
      </c>
      <c r="F440" s="10">
        <v>0.76041666666666663</v>
      </c>
      <c r="G440" s="11">
        <v>4</v>
      </c>
      <c r="H440" s="45">
        <v>1</v>
      </c>
      <c r="I440" s="135">
        <f t="shared" si="53"/>
        <v>2.2916666666666752E-2</v>
      </c>
      <c r="J440" s="153">
        <f t="shared" si="48"/>
        <v>-2.2916666666666752E-2</v>
      </c>
      <c r="K440" s="35">
        <v>87</v>
      </c>
      <c r="L440" s="35">
        <v>79</v>
      </c>
      <c r="M440" s="12">
        <v>8.3333333333333329E-2</v>
      </c>
      <c r="O440" s="143" t="str">
        <f t="shared" si="49"/>
        <v/>
      </c>
      <c r="P440" s="45"/>
      <c r="Q440" s="123">
        <f>(SUM(E$2:E$21)+SUM(E$25:E$154)+SUM(E$156:E440))/(COUNTA(E$2:E440)-4)</f>
        <v>0.37946428571428564</v>
      </c>
      <c r="R440" s="46">
        <f>(SUM(H$2:H440)*E$1+A440)/SUM(H$2:H440)</f>
        <v>0.34758578431372544</v>
      </c>
      <c r="S440" s="62"/>
      <c r="V440" s="7">
        <f>$V$1*(H440&gt;0)+(G440&gt;2)*20+5</f>
        <v>51.5</v>
      </c>
      <c r="W440" s="7">
        <f t="shared" si="52"/>
        <v>346.5</v>
      </c>
    </row>
    <row r="441" spans="1:23" s="7" customFormat="1" x14ac:dyDescent="0.3">
      <c r="A441" s="53">
        <f t="shared" si="45"/>
        <v>0.56597222222220289</v>
      </c>
      <c r="B441" s="13" t="s">
        <v>4</v>
      </c>
      <c r="C441" s="117">
        <f t="shared" si="46"/>
        <v>43378</v>
      </c>
      <c r="D441" s="117" t="s">
        <v>173</v>
      </c>
      <c r="E441" s="15">
        <v>0.37847222222222227</v>
      </c>
      <c r="F441" s="15">
        <v>0.72222222222222221</v>
      </c>
      <c r="G441" s="16">
        <v>2</v>
      </c>
      <c r="H441" s="17">
        <v>1</v>
      </c>
      <c r="I441" s="136">
        <f>IF(J441&lt;0,-J441,"")</f>
        <v>2.9861111111111227E-2</v>
      </c>
      <c r="J441" s="154">
        <f t="shared" si="48"/>
        <v>-2.9861111111111227E-2</v>
      </c>
      <c r="K441" s="36">
        <v>74</v>
      </c>
      <c r="L441" s="36">
        <v>69</v>
      </c>
      <c r="M441" s="18">
        <v>0.1875</v>
      </c>
      <c r="O441" s="143">
        <f t="shared" si="49"/>
        <v>5.2777777777777923E-2</v>
      </c>
      <c r="P441" s="137">
        <f>A441-A436</f>
        <v>-5.2777777777777923E-2</v>
      </c>
      <c r="Q441" s="123">
        <f>(SUM(E$2:E$21)+SUM(E$25:E$154)+SUM(E$156:E441))/(COUNTA(E$2:E441)-4)</f>
        <v>0.37946140180878546</v>
      </c>
      <c r="R441" s="46">
        <f>(SUM(H$2:H441)*E$1+A441)/SUM(H$2:H441)</f>
        <v>0.34749307592049528</v>
      </c>
      <c r="S441" s="41">
        <f>IF(COUNTA(M437:M441)=0,0,SUM(M437:M441)/COUNTA(M437:M441))</f>
        <v>0.13541666666666666</v>
      </c>
      <c r="T441" s="7">
        <f>T436+10</f>
        <v>69</v>
      </c>
      <c r="V441" s="7">
        <f t="shared" si="51"/>
        <v>26.5</v>
      </c>
      <c r="W441" s="7">
        <f t="shared" si="52"/>
        <v>373</v>
      </c>
    </row>
    <row r="442" spans="1:23" s="7" customFormat="1" x14ac:dyDescent="0.3">
      <c r="A442" s="51">
        <f t="shared" si="45"/>
        <v>0.58819444444442515</v>
      </c>
      <c r="B442" s="2" t="s">
        <v>0</v>
      </c>
      <c r="C442" s="120">
        <f t="shared" si="46"/>
        <v>43381</v>
      </c>
      <c r="D442" s="120" t="s">
        <v>176</v>
      </c>
      <c r="E442" s="4">
        <v>0.375</v>
      </c>
      <c r="F442" s="4">
        <v>0.75694444444444453</v>
      </c>
      <c r="G442" s="5">
        <v>0</v>
      </c>
      <c r="H442" s="2">
        <v>1</v>
      </c>
      <c r="I442" s="134" t="str">
        <f t="shared" si="53"/>
        <v/>
      </c>
      <c r="J442" s="152">
        <f t="shared" si="48"/>
        <v>2.2222222222222254E-2</v>
      </c>
      <c r="K442" s="34">
        <v>77</v>
      </c>
      <c r="L442" s="34"/>
      <c r="M442" s="6">
        <v>0.20833333333333334</v>
      </c>
      <c r="O442" s="143" t="str">
        <f t="shared" si="49"/>
        <v/>
      </c>
      <c r="P442" s="45"/>
      <c r="Q442" s="123">
        <f>(SUM(E$2:E$21)+SUM(E$25:E$154)+SUM(E$156:E442))/(COUNTA(E$2:E442)-4)</f>
        <v>0.37944847020933969</v>
      </c>
      <c r="R442" s="46">
        <f>(SUM(H$2:H442)*E$1+A442)/SUM(H$2:H442)</f>
        <v>0.3475532001299545</v>
      </c>
      <c r="S442" s="61"/>
      <c r="V442" s="7">
        <f t="shared" si="51"/>
        <v>26.5</v>
      </c>
      <c r="W442" s="7">
        <f t="shared" si="52"/>
        <v>399.5</v>
      </c>
    </row>
    <row r="443" spans="1:23" s="7" customFormat="1" x14ac:dyDescent="0.3">
      <c r="A443" s="52">
        <f t="shared" si="45"/>
        <v>0.62777777777775845</v>
      </c>
      <c r="B443" s="8" t="s">
        <v>1</v>
      </c>
      <c r="C443" s="121">
        <f t="shared" si="46"/>
        <v>43382</v>
      </c>
      <c r="D443" s="121" t="s">
        <v>177</v>
      </c>
      <c r="E443" s="10">
        <v>0.3576388888888889</v>
      </c>
      <c r="F443" s="10">
        <v>0.75694444444444453</v>
      </c>
      <c r="G443" s="11">
        <v>1</v>
      </c>
      <c r="H443" s="45">
        <v>1</v>
      </c>
      <c r="I443" s="135" t="str">
        <f t="shared" si="53"/>
        <v/>
      </c>
      <c r="J443" s="153">
        <f t="shared" si="48"/>
        <v>3.9583333333333359E-2</v>
      </c>
      <c r="K443" s="35">
        <v>77</v>
      </c>
      <c r="L443" s="35">
        <v>59</v>
      </c>
      <c r="M443" s="12">
        <v>0.1875</v>
      </c>
      <c r="O443" s="143" t="str">
        <f t="shared" si="49"/>
        <v/>
      </c>
      <c r="P443" s="45"/>
      <c r="Q443" s="123">
        <f>(SUM(E$2:E$21)+SUM(E$25:E$154)+SUM(E$156:E443))/(COUNTA(E$2:E443)-4)</f>
        <v>0.37938543673731528</v>
      </c>
      <c r="R443" s="46">
        <f>(SUM(H$2:H443)*E$1+A443)/SUM(H$2:H443)</f>
        <v>0.34766358924522189</v>
      </c>
      <c r="S443" s="62"/>
      <c r="V443" s="7">
        <f>$V$1*(H443&gt;0)+(G443&gt;2)*20+5</f>
        <v>31.5</v>
      </c>
      <c r="W443" s="7">
        <f t="shared" si="52"/>
        <v>431</v>
      </c>
    </row>
    <row r="444" spans="1:23" s="7" customFormat="1" x14ac:dyDescent="0.3">
      <c r="A444" s="52">
        <f t="shared" si="45"/>
        <v>0.64652777777775838</v>
      </c>
      <c r="B444" s="8" t="s">
        <v>2</v>
      </c>
      <c r="C444" s="121">
        <f t="shared" si="46"/>
        <v>43383</v>
      </c>
      <c r="D444" s="121" t="s">
        <v>328</v>
      </c>
      <c r="E444" s="10">
        <v>0.38541666666666669</v>
      </c>
      <c r="F444" s="10">
        <v>0.77777777777777779</v>
      </c>
      <c r="G444" s="11">
        <v>2</v>
      </c>
      <c r="H444" s="45">
        <v>1</v>
      </c>
      <c r="I444" s="135" t="str">
        <f t="shared" si="53"/>
        <v/>
      </c>
      <c r="J444" s="153">
        <f t="shared" si="48"/>
        <v>1.8749999999999933E-2</v>
      </c>
      <c r="K444" s="35">
        <v>73</v>
      </c>
      <c r="L444" s="35">
        <v>60</v>
      </c>
      <c r="M444" s="12">
        <v>0.375</v>
      </c>
      <c r="O444" s="143" t="str">
        <f t="shared" si="49"/>
        <v/>
      </c>
      <c r="P444" s="45"/>
      <c r="Q444" s="123">
        <f>(SUM(E$2:E$21)+SUM(E$25:E$154)+SUM(E$156:E444))/(COUNTA(E$2:E444)-4)</f>
        <v>0.37940281780339413</v>
      </c>
      <c r="R444" s="46">
        <f>(SUM(H$2:H444)*E$1+A444)/SUM(H$2:H444)</f>
        <v>0.34771277454780364</v>
      </c>
      <c r="S444" s="62"/>
      <c r="V444" s="7">
        <f>$V$1*(H444&gt;0)+(G444&gt;2)*20+5</f>
        <v>31.5</v>
      </c>
      <c r="W444" s="7">
        <f t="shared" si="52"/>
        <v>462.5</v>
      </c>
    </row>
    <row r="445" spans="1:23" s="7" customFormat="1" x14ac:dyDescent="0.3">
      <c r="A445" s="52">
        <f t="shared" si="45"/>
        <v>0.65486111111109169</v>
      </c>
      <c r="B445" s="8" t="s">
        <v>3</v>
      </c>
      <c r="C445" s="121">
        <f t="shared" si="46"/>
        <v>43384</v>
      </c>
      <c r="D445" s="121" t="s">
        <v>329</v>
      </c>
      <c r="E445" s="10">
        <v>0.375</v>
      </c>
      <c r="F445" s="10">
        <v>0.77083333333333337</v>
      </c>
      <c r="G445" s="11">
        <v>3</v>
      </c>
      <c r="H445" s="45">
        <v>1</v>
      </c>
      <c r="I445" s="135" t="str">
        <f t="shared" si="53"/>
        <v/>
      </c>
      <c r="J445" s="153">
        <f t="shared" si="48"/>
        <v>8.3333333333333037E-3</v>
      </c>
      <c r="K445" s="35">
        <v>60</v>
      </c>
      <c r="L445" s="35">
        <v>60</v>
      </c>
      <c r="M445" s="12">
        <v>6.25E-2</v>
      </c>
      <c r="O445" s="143" t="str">
        <f t="shared" si="49"/>
        <v/>
      </c>
      <c r="P445" s="45"/>
      <c r="Q445" s="123">
        <f>(SUM(E$2:E$21)+SUM(E$25:E$154)+SUM(E$156:E445))/(COUNTA(E$2:E445)-4)</f>
        <v>0.37939016602809705</v>
      </c>
      <c r="R445" s="46">
        <f>(SUM(H$2:H445)*E$1+A445)/SUM(H$2:H445)</f>
        <v>0.34773148148148147</v>
      </c>
      <c r="S445" s="62"/>
      <c r="V445" s="7">
        <f>$V$1*(H445&gt;0)+(G445&gt;2)*20+5</f>
        <v>51.5</v>
      </c>
      <c r="W445" s="7">
        <f t="shared" si="52"/>
        <v>514</v>
      </c>
    </row>
    <row r="446" spans="1:23" s="7" customFormat="1" x14ac:dyDescent="0.3">
      <c r="A446" s="53">
        <f t="shared" si="45"/>
        <v>0.64236111111109162</v>
      </c>
      <c r="B446" s="13" t="s">
        <v>4</v>
      </c>
      <c r="C446" s="117">
        <f t="shared" si="46"/>
        <v>43385</v>
      </c>
      <c r="D446" s="117" t="s">
        <v>178</v>
      </c>
      <c r="E446" s="15">
        <v>0.38541666666666669</v>
      </c>
      <c r="F446" s="15">
        <v>0.73263888888888884</v>
      </c>
      <c r="G446" s="16">
        <v>1</v>
      </c>
      <c r="H446" s="17">
        <v>1</v>
      </c>
      <c r="I446" s="136">
        <f>IF(J446&lt;0,-J446,"")</f>
        <v>1.2500000000000122E-2</v>
      </c>
      <c r="J446" s="154">
        <f t="shared" si="48"/>
        <v>-1.2500000000000122E-2</v>
      </c>
      <c r="K446" s="36">
        <v>66</v>
      </c>
      <c r="L446" s="36">
        <v>59</v>
      </c>
      <c r="M446" s="18">
        <v>0.29166666666666669</v>
      </c>
      <c r="O446" s="143" t="str">
        <f t="shared" si="49"/>
        <v/>
      </c>
      <c r="P446" s="137">
        <f>A446-A441</f>
        <v>7.6388888888888729E-2</v>
      </c>
      <c r="Q446" s="123">
        <f>(SUM(E$2:E$21)+SUM(E$25:E$154)+SUM(E$156:E446))/(COUNTA(E$2:E446)-4)</f>
        <v>0.37940743393823617</v>
      </c>
      <c r="R446" s="46">
        <f>(SUM(H$2:H446)*E$1+A446)/SUM(H$2:H446)</f>
        <v>0.34768986833654458</v>
      </c>
      <c r="S446" s="41">
        <f>IF(COUNTA(M442:M446)=0,0,SUM(M442:M446)/COUNTA(M442:M446))</f>
        <v>0.22500000000000001</v>
      </c>
      <c r="T446" s="7">
        <f>T441-10</f>
        <v>59</v>
      </c>
      <c r="V446" s="7">
        <f t="shared" ref="V446:V447" si="54">$V$1*(H446&gt;0)+(G446&gt;2)*20</f>
        <v>26.5</v>
      </c>
      <c r="W446" s="7">
        <f t="shared" si="52"/>
        <v>540.5</v>
      </c>
    </row>
    <row r="447" spans="1:23" s="7" customFormat="1" x14ac:dyDescent="0.3">
      <c r="A447" s="51">
        <f t="shared" ref="A447:A510" si="55">A446+J447</f>
        <v>0.6159722222222026</v>
      </c>
      <c r="B447" s="2" t="s">
        <v>0</v>
      </c>
      <c r="C447" s="120">
        <f t="shared" si="46"/>
        <v>43388</v>
      </c>
      <c r="D447" s="120" t="s">
        <v>181</v>
      </c>
      <c r="E447" s="4">
        <v>0.37152777777777773</v>
      </c>
      <c r="F447" s="4">
        <v>0.77430555555555547</v>
      </c>
      <c r="G447" s="5">
        <v>6</v>
      </c>
      <c r="H447" s="2">
        <v>1</v>
      </c>
      <c r="I447" s="134">
        <f t="shared" si="53"/>
        <v>2.6388888888888962E-2</v>
      </c>
      <c r="J447" s="152">
        <f t="shared" si="48"/>
        <v>-2.6388888888888962E-2</v>
      </c>
      <c r="K447" s="34">
        <v>76</v>
      </c>
      <c r="L447" s="34">
        <v>69</v>
      </c>
      <c r="M447" s="6">
        <v>0.16666666666666666</v>
      </c>
      <c r="O447" s="143" t="str">
        <f t="shared" si="49"/>
        <v/>
      </c>
      <c r="P447" s="45"/>
      <c r="Q447" s="123">
        <f>(SUM(E$2:E$21)+SUM(E$25:E$154)+SUM(E$156:E447))/(COUNTA(E$2:E447)-4)</f>
        <v>0.37938492063492057</v>
      </c>
      <c r="R447" s="46">
        <f>(SUM(H$2:H447)*E$1+A447)/SUM(H$2:H447)</f>
        <v>0.34760846942042906</v>
      </c>
      <c r="S447" s="61"/>
      <c r="V447" s="7">
        <f t="shared" si="54"/>
        <v>46.5</v>
      </c>
      <c r="W447" s="7">
        <f t="shared" si="52"/>
        <v>587</v>
      </c>
    </row>
    <row r="448" spans="1:23" s="7" customFormat="1" x14ac:dyDescent="0.3">
      <c r="A448" s="52">
        <f t="shared" si="55"/>
        <v>0.62430555555553591</v>
      </c>
      <c r="B448" s="8" t="s">
        <v>1</v>
      </c>
      <c r="C448" s="121">
        <f t="shared" si="46"/>
        <v>43389</v>
      </c>
      <c r="D448" s="121" t="s">
        <v>182</v>
      </c>
      <c r="E448" s="10">
        <v>0.38194444444444442</v>
      </c>
      <c r="F448" s="10">
        <v>0.75</v>
      </c>
      <c r="G448" s="11">
        <v>0</v>
      </c>
      <c r="H448" s="45">
        <v>1</v>
      </c>
      <c r="I448" s="135" t="str">
        <f t="shared" si="53"/>
        <v/>
      </c>
      <c r="J448" s="153">
        <f t="shared" si="48"/>
        <v>8.3333333333333037E-3</v>
      </c>
      <c r="K448" s="35">
        <v>69</v>
      </c>
      <c r="L448" s="35">
        <v>60</v>
      </c>
      <c r="M448" s="12">
        <v>0.27083333333333331</v>
      </c>
      <c r="O448" s="143" t="str">
        <f t="shared" si="49"/>
        <v/>
      </c>
      <c r="P448" s="45"/>
      <c r="Q448" s="123">
        <f>(SUM(E$2:E$21)+SUM(E$25:E$154)+SUM(E$156:E448))/(COUNTA(E$2:E448)-4)</f>
        <v>0.37939221272554602</v>
      </c>
      <c r="R448" s="46">
        <f>(SUM(H$2:H448)*E$1+A448)/SUM(H$2:H448)</f>
        <v>0.34762731481481485</v>
      </c>
      <c r="S448" s="62"/>
      <c r="V448" s="7">
        <f>$V$1*(H448&gt;0)+(G448&gt;2)*20+5</f>
        <v>31.5</v>
      </c>
      <c r="W448" s="7">
        <f t="shared" si="52"/>
        <v>618.5</v>
      </c>
    </row>
    <row r="449" spans="1:23" s="7" customFormat="1" x14ac:dyDescent="0.3">
      <c r="A449" s="52">
        <f t="shared" si="55"/>
        <v>0.59444444444442479</v>
      </c>
      <c r="B449" s="8" t="s">
        <v>2</v>
      </c>
      <c r="C449" s="121">
        <f t="shared" si="46"/>
        <v>43390</v>
      </c>
      <c r="D449" s="121" t="s">
        <v>330</v>
      </c>
      <c r="E449" s="10">
        <v>0.4201388888888889</v>
      </c>
      <c r="F449" s="10">
        <v>0.75</v>
      </c>
      <c r="G449" s="11">
        <v>1</v>
      </c>
      <c r="H449" s="45">
        <v>1</v>
      </c>
      <c r="I449" s="135">
        <f t="shared" si="53"/>
        <v>2.9861111111111172E-2</v>
      </c>
      <c r="J449" s="153">
        <f t="shared" si="48"/>
        <v>-2.9861111111111172E-2</v>
      </c>
      <c r="K449" s="35">
        <v>60</v>
      </c>
      <c r="L449" s="35">
        <v>53</v>
      </c>
      <c r="M449" s="12">
        <v>0.27083333333333331</v>
      </c>
      <c r="O449" s="143" t="str">
        <f t="shared" si="49"/>
        <v/>
      </c>
      <c r="P449" s="45"/>
      <c r="Q449" s="123">
        <f>(SUM(E$2:E$21)+SUM(E$25:E$154)+SUM(E$156:E449))/(COUNTA(E$2:E449)-4)</f>
        <v>0.37950797032828282</v>
      </c>
      <c r="R449" s="46">
        <f>(SUM(H$2:H449)*E$1+A449)/SUM(H$2:H449)</f>
        <v>0.34753661254377588</v>
      </c>
      <c r="S449" s="62"/>
      <c r="V449" s="7">
        <f>$V$1*(H449&gt;0)+(G449&gt;2)*20+5</f>
        <v>31.5</v>
      </c>
      <c r="W449" s="7">
        <f t="shared" si="52"/>
        <v>650</v>
      </c>
    </row>
    <row r="450" spans="1:23" s="7" customFormat="1" x14ac:dyDescent="0.3">
      <c r="A450" s="52">
        <f t="shared" si="55"/>
        <v>0.60972222222220251</v>
      </c>
      <c r="B450" s="8" t="s">
        <v>3</v>
      </c>
      <c r="C450" s="121">
        <f t="shared" si="46"/>
        <v>43391</v>
      </c>
      <c r="D450" s="121" t="s">
        <v>331</v>
      </c>
      <c r="E450" s="10">
        <v>0.375</v>
      </c>
      <c r="F450" s="10">
        <v>0.77777777777777779</v>
      </c>
      <c r="G450" s="11">
        <v>3</v>
      </c>
      <c r="H450" s="45">
        <v>1</v>
      </c>
      <c r="I450" s="135" t="str">
        <f t="shared" si="53"/>
        <v/>
      </c>
      <c r="J450" s="153">
        <f t="shared" si="48"/>
        <v>1.5277777777777724E-2</v>
      </c>
      <c r="K450" s="35">
        <v>60</v>
      </c>
      <c r="L450" s="35">
        <v>60</v>
      </c>
      <c r="M450" s="12">
        <v>0.14583333333333334</v>
      </c>
      <c r="O450" s="143" t="str">
        <f t="shared" si="49"/>
        <v/>
      </c>
      <c r="P450" s="45"/>
      <c r="Q450" s="123">
        <f>(SUM(E$2:E$21)+SUM(E$25:E$154)+SUM(E$156:E450))/(COUNTA(E$2:E450)-4)</f>
        <v>0.37949519987409502</v>
      </c>
      <c r="R450" s="46">
        <f>(SUM(H$2:H450)*E$1+A450)/SUM(H$2:H450)</f>
        <v>0.34757539682539684</v>
      </c>
      <c r="S450" s="62"/>
      <c r="V450" s="7">
        <f>$V$1*(H450&gt;0)+(G450&gt;2)*20+5</f>
        <v>51.5</v>
      </c>
      <c r="W450" s="7">
        <f t="shared" si="52"/>
        <v>701.5</v>
      </c>
    </row>
    <row r="451" spans="1:23" s="7" customFormat="1" x14ac:dyDescent="0.3">
      <c r="A451" s="53">
        <f t="shared" si="55"/>
        <v>0.59999999999998033</v>
      </c>
      <c r="B451" s="13" t="s">
        <v>4</v>
      </c>
      <c r="C451" s="117">
        <f t="shared" si="46"/>
        <v>43392</v>
      </c>
      <c r="D451" s="117" t="s">
        <v>183</v>
      </c>
      <c r="E451" s="15">
        <v>0.38194444444444442</v>
      </c>
      <c r="F451" s="15">
        <v>0.54513888888888895</v>
      </c>
      <c r="G451" s="16">
        <v>0</v>
      </c>
      <c r="H451" s="17">
        <v>0.5</v>
      </c>
      <c r="I451" s="136">
        <f>IF(J451&lt;0,-J451,"")</f>
        <v>9.7222222222221599E-3</v>
      </c>
      <c r="J451" s="154">
        <f t="shared" si="48"/>
        <v>-9.7222222222221599E-3</v>
      </c>
      <c r="K451" s="36">
        <v>60</v>
      </c>
      <c r="L451" s="36">
        <v>55</v>
      </c>
      <c r="M451" s="18">
        <v>0.20833333333333334</v>
      </c>
      <c r="O451" s="143">
        <f t="shared" si="49"/>
        <v>4.2361111111111294E-2</v>
      </c>
      <c r="P451" s="137">
        <f>A451-A446</f>
        <v>-4.2361111111111294E-2</v>
      </c>
      <c r="Q451" s="123">
        <f>(SUM(E$2:E$21)+SUM(E$25:E$154)+SUM(E$156:E451))/(COUNTA(E$2:E451)-4)</f>
        <v>0.37950211864406774</v>
      </c>
      <c r="R451" s="46">
        <f>(SUM(H$2:H451)*E$1+A451)/SUM(H$2:H451)</f>
        <v>0.34754517356157871</v>
      </c>
      <c r="S451" s="41">
        <f>IF(COUNTA(M447:M451)=0,0,SUM(M447:M451)/COUNTA(M447:M451))</f>
        <v>0.21249999999999999</v>
      </c>
      <c r="T451" s="7">
        <f>T446-6</f>
        <v>53</v>
      </c>
      <c r="V451" s="7">
        <f t="shared" ref="V451:V452" si="56">$V$1*(H451&gt;0)+(G451&gt;2)*20</f>
        <v>26.5</v>
      </c>
      <c r="W451" s="7">
        <f t="shared" si="52"/>
        <v>728</v>
      </c>
    </row>
    <row r="452" spans="1:23" s="7" customFormat="1" x14ac:dyDescent="0.3">
      <c r="A452" s="51">
        <f t="shared" si="55"/>
        <v>0.62152777777775803</v>
      </c>
      <c r="B452" s="2" t="s">
        <v>0</v>
      </c>
      <c r="C452" s="120">
        <f t="shared" si="46"/>
        <v>43395</v>
      </c>
      <c r="D452" s="120" t="s">
        <v>186</v>
      </c>
      <c r="E452" s="4">
        <v>0.58680555555555558</v>
      </c>
      <c r="F452" s="4">
        <v>0.78125</v>
      </c>
      <c r="G452" s="5">
        <v>0</v>
      </c>
      <c r="H452" s="2">
        <v>0.5</v>
      </c>
      <c r="I452" s="134" t="str">
        <f t="shared" ref="I452:I470" si="57">IF(J452&lt;0,-J452,"")</f>
        <v/>
      </c>
      <c r="J452" s="152">
        <f t="shared" si="48"/>
        <v>2.1527777777777729E-2</v>
      </c>
      <c r="K452" s="34">
        <v>74</v>
      </c>
      <c r="L452" s="213">
        <v>74</v>
      </c>
      <c r="M452" s="6">
        <v>0.14583333333333334</v>
      </c>
      <c r="O452" s="143" t="str">
        <f t="shared" si="49"/>
        <v/>
      </c>
      <c r="P452" s="45"/>
      <c r="Q452" s="123">
        <f>(SUM(E$2:E$21)+SUM(E$25:E$154)+SUM(E$156:E452))/(COUNTA(E$2:E452)-4)</f>
        <v>0.3800860719874804</v>
      </c>
      <c r="R452" s="46">
        <f>(SUM(H$2:H452)*E$1+A452)/SUM(H$2:H452)</f>
        <v>0.3476040677429566</v>
      </c>
      <c r="S452" s="61"/>
      <c r="U452" s="190">
        <f>L452-MIN(K453:L456)</f>
        <v>44</v>
      </c>
      <c r="V452" s="7">
        <f t="shared" si="56"/>
        <v>26.5</v>
      </c>
      <c r="W452" s="7">
        <f t="shared" si="52"/>
        <v>754.5</v>
      </c>
    </row>
    <row r="453" spans="1:23" s="7" customFormat="1" x14ac:dyDescent="0.3">
      <c r="A453" s="52">
        <f t="shared" si="55"/>
        <v>0.66458333333331354</v>
      </c>
      <c r="B453" s="8" t="s">
        <v>1</v>
      </c>
      <c r="C453" s="210">
        <f t="shared" si="46"/>
        <v>43396</v>
      </c>
      <c r="D453" s="121" t="s">
        <v>187</v>
      </c>
      <c r="E453" s="10">
        <v>0.375</v>
      </c>
      <c r="F453" s="10">
        <v>0.77777777777777779</v>
      </c>
      <c r="G453" s="11">
        <v>1</v>
      </c>
      <c r="H453" s="45">
        <v>1</v>
      </c>
      <c r="I453" s="135" t="str">
        <f t="shared" si="57"/>
        <v/>
      </c>
      <c r="J453" s="153">
        <f t="shared" si="48"/>
        <v>4.3055555555555514E-2</v>
      </c>
      <c r="K453" s="213">
        <v>58</v>
      </c>
      <c r="L453" s="213">
        <v>51</v>
      </c>
      <c r="M453" s="12">
        <v>0.3125</v>
      </c>
      <c r="O453" s="143" t="str">
        <f t="shared" si="49"/>
        <v/>
      </c>
      <c r="P453" s="45"/>
      <c r="Q453" s="123">
        <f>(SUM(E$2:E$21)+SUM(E$25:E$154)+SUM(E$156:E453))/(COUNTA(E$2:E453)-4)</f>
        <v>0.38007178526841445</v>
      </c>
      <c r="R453" s="46">
        <f>(SUM(H$2:H453)*E$1+A453)/SUM(H$2:H453)</f>
        <v>0.34772135416666666</v>
      </c>
      <c r="S453" s="62"/>
      <c r="V453" s="7">
        <f>$V$1*(H453&gt;0)+(G453&gt;2)*20+5</f>
        <v>31.5</v>
      </c>
      <c r="W453" s="7">
        <f t="shared" si="52"/>
        <v>786</v>
      </c>
    </row>
    <row r="454" spans="1:23" s="7" customFormat="1" x14ac:dyDescent="0.3">
      <c r="A454" s="52">
        <f t="shared" si="55"/>
        <v>0.66944444444442475</v>
      </c>
      <c r="B454" s="8" t="s">
        <v>2</v>
      </c>
      <c r="C454" s="210">
        <f t="shared" si="46"/>
        <v>43397</v>
      </c>
      <c r="D454" s="121" t="s">
        <v>332</v>
      </c>
      <c r="E454" s="10">
        <v>0.36458333333333331</v>
      </c>
      <c r="F454" s="10">
        <v>0.75694444444444453</v>
      </c>
      <c r="G454" s="11">
        <v>3</v>
      </c>
      <c r="H454" s="45">
        <v>1</v>
      </c>
      <c r="I454" s="135" t="str">
        <f t="shared" si="57"/>
        <v/>
      </c>
      <c r="J454" s="153">
        <f t="shared" si="48"/>
        <v>4.8611111111111494E-3</v>
      </c>
      <c r="K454" s="213">
        <v>51</v>
      </c>
      <c r="L454" s="213">
        <v>43</v>
      </c>
      <c r="M454" s="12">
        <v>0.16666666666666666</v>
      </c>
      <c r="O454" s="143" t="str">
        <f t="shared" si="49"/>
        <v/>
      </c>
      <c r="P454" s="45"/>
      <c r="Q454" s="123">
        <f>(SUM(E$2:E$21)+SUM(E$25:E$154)+SUM(E$156:E454))/(COUNTA(E$2:E454)-4)</f>
        <v>0.38002840024898837</v>
      </c>
      <c r="R454" s="46">
        <f>(SUM(H$2:H454)*E$1+A454)/SUM(H$2:H454)</f>
        <v>0.34772977651872833</v>
      </c>
      <c r="S454" s="62"/>
      <c r="V454" s="7">
        <f>$V$1*(H454&gt;0)+(G454&gt;2)*20+5</f>
        <v>51.5</v>
      </c>
      <c r="W454" s="7">
        <f t="shared" si="52"/>
        <v>837.5</v>
      </c>
    </row>
    <row r="455" spans="1:23" s="7" customFormat="1" x14ac:dyDescent="0.3">
      <c r="A455" s="52">
        <f t="shared" si="55"/>
        <v>0.67777777777775805</v>
      </c>
      <c r="B455" s="8" t="s">
        <v>3</v>
      </c>
      <c r="C455" s="210">
        <f t="shared" si="46"/>
        <v>43398</v>
      </c>
      <c r="D455" s="121" t="s">
        <v>333</v>
      </c>
      <c r="E455" s="10">
        <v>0.37152777777777773</v>
      </c>
      <c r="F455" s="10">
        <v>0.75347222222222221</v>
      </c>
      <c r="G455" s="11">
        <v>2</v>
      </c>
      <c r="H455" s="45">
        <v>1</v>
      </c>
      <c r="I455" s="135" t="str">
        <f t="shared" si="57"/>
        <v/>
      </c>
      <c r="J455" s="153">
        <f t="shared" si="48"/>
        <v>8.3333333333333037E-3</v>
      </c>
      <c r="K455" s="213">
        <v>43</v>
      </c>
      <c r="L455" s="213">
        <v>34</v>
      </c>
      <c r="M455" s="12">
        <v>0.27083333333333331</v>
      </c>
      <c r="O455" s="143" t="str">
        <f t="shared" si="49"/>
        <v/>
      </c>
      <c r="P455" s="45"/>
      <c r="Q455" s="123">
        <f>(SUM(E$2:E$21)+SUM(E$25:E$154)+SUM(E$156:E455))/(COUNTA(E$2:E455)-4)</f>
        <v>0.38000465549348222</v>
      </c>
      <c r="R455" s="46">
        <f>(SUM(H$2:H455)*E$1+A455)/SUM(H$2:H455)</f>
        <v>0.34774795982423101</v>
      </c>
      <c r="S455" s="62"/>
      <c r="V455" s="7">
        <f>$V$1*(H455&gt;0)+(G455&gt;2)*20+5</f>
        <v>31.5</v>
      </c>
      <c r="W455" s="7">
        <f t="shared" si="52"/>
        <v>869</v>
      </c>
    </row>
    <row r="456" spans="1:23" s="7" customFormat="1" x14ac:dyDescent="0.3">
      <c r="A456" s="53">
        <f t="shared" si="55"/>
        <v>0.67847222222220238</v>
      </c>
      <c r="B456" s="13" t="s">
        <v>4</v>
      </c>
      <c r="C456" s="211">
        <f t="shared" ref="C456:C519" si="58">C451+7</f>
        <v>43399</v>
      </c>
      <c r="D456" s="117" t="s">
        <v>188</v>
      </c>
      <c r="E456" s="15">
        <v>0.36805555555555558</v>
      </c>
      <c r="F456" s="15">
        <v>0.54166666666666663</v>
      </c>
      <c r="G456" s="16">
        <v>0</v>
      </c>
      <c r="H456" s="17">
        <v>0.5</v>
      </c>
      <c r="I456" s="136" t="str">
        <f>IF(J456&lt;0,-J456,"")</f>
        <v/>
      </c>
      <c r="J456" s="154">
        <f t="shared" ref="J456:J519" si="59">IF(H456=1,F456-E456-MAX(G456,1)*$F$1-$E$1,F456-E456-$E$1*H456)</f>
        <v>6.9444444444435871E-4</v>
      </c>
      <c r="K456" s="215">
        <v>35</v>
      </c>
      <c r="L456" s="215">
        <v>30</v>
      </c>
      <c r="M456" s="18">
        <v>0.1875</v>
      </c>
      <c r="O456" s="143" t="str">
        <f t="shared" si="49"/>
        <v/>
      </c>
      <c r="P456" s="137">
        <f>A456-A451</f>
        <v>7.8472222222222054E-2</v>
      </c>
      <c r="Q456" s="123">
        <f>(SUM(E$2:E$21)+SUM(E$25:E$154)+SUM(E$156:E456))/(COUNTA(E$2:E456)-4)</f>
        <v>0.37997137109254092</v>
      </c>
      <c r="R456" s="46">
        <f>(SUM(H$2:H456)*E$1+A456)/SUM(H$2:H456)</f>
        <v>0.34774721830434097</v>
      </c>
      <c r="S456" s="41">
        <f>IF(COUNTA(M452:M456)=0,0,SUM(M452:M456)/COUNTA(M452:M456))</f>
        <v>0.21666666666666665</v>
      </c>
      <c r="T456" s="7">
        <f>T451-3</f>
        <v>50</v>
      </c>
      <c r="V456" s="7">
        <f t="shared" ref="V456:V457" si="60">$V$1*(H456&gt;0)+(G456&gt;2)*20</f>
        <v>26.5</v>
      </c>
      <c r="W456" s="7">
        <f t="shared" si="52"/>
        <v>895.5</v>
      </c>
    </row>
    <row r="457" spans="1:23" s="7" customFormat="1" x14ac:dyDescent="0.3">
      <c r="A457" s="51">
        <f t="shared" si="55"/>
        <v>0.68333333333331336</v>
      </c>
      <c r="B457" s="2" t="s">
        <v>0</v>
      </c>
      <c r="C457" s="216">
        <f t="shared" si="58"/>
        <v>43402</v>
      </c>
      <c r="D457" s="120" t="s">
        <v>191</v>
      </c>
      <c r="E457" s="4">
        <v>0.3888888888888889</v>
      </c>
      <c r="F457" s="4">
        <v>0.75347222222222221</v>
      </c>
      <c r="G457" s="5">
        <v>1</v>
      </c>
      <c r="H457" s="2">
        <v>1</v>
      </c>
      <c r="I457" s="134" t="str">
        <f t="shared" si="57"/>
        <v/>
      </c>
      <c r="J457" s="152">
        <f t="shared" si="59"/>
        <v>4.8611111111110383E-3</v>
      </c>
      <c r="K457" s="34">
        <v>69</v>
      </c>
      <c r="L457" s="34">
        <v>56</v>
      </c>
      <c r="M457" s="6">
        <v>0.125</v>
      </c>
      <c r="O457" s="143" t="str">
        <f t="shared" si="49"/>
        <v/>
      </c>
      <c r="P457" s="45"/>
      <c r="Q457" s="123">
        <f>(SUM(E$2:E$21)+SUM(E$25:E$154)+SUM(E$156:E457))/(COUNTA(E$2:E457)-4)</f>
        <v>0.37999614197530857</v>
      </c>
      <c r="R457" s="46">
        <f>(SUM(H$2:H457)*E$1+A457)/SUM(H$2:H457)</f>
        <v>0.34775550867323018</v>
      </c>
      <c r="S457" s="61"/>
      <c r="V457" s="7">
        <f t="shared" si="60"/>
        <v>26.5</v>
      </c>
      <c r="W457" s="7">
        <f t="shared" si="52"/>
        <v>922</v>
      </c>
    </row>
    <row r="458" spans="1:23" s="7" customFormat="1" x14ac:dyDescent="0.3">
      <c r="A458" s="52">
        <f t="shared" si="55"/>
        <v>0.6708333333333133</v>
      </c>
      <c r="B458" s="8" t="s">
        <v>1</v>
      </c>
      <c r="C458" s="217">
        <f t="shared" si="58"/>
        <v>43403</v>
      </c>
      <c r="D458" s="121" t="s">
        <v>192</v>
      </c>
      <c r="E458" s="10">
        <v>0.3923611111111111</v>
      </c>
      <c r="F458" s="10">
        <v>0.75347222222222221</v>
      </c>
      <c r="G458" s="11">
        <v>2</v>
      </c>
      <c r="H458" s="45">
        <v>1</v>
      </c>
      <c r="I458" s="135">
        <f t="shared" si="57"/>
        <v>1.2500000000000067E-2</v>
      </c>
      <c r="J458" s="153">
        <f t="shared" si="59"/>
        <v>-1.2500000000000067E-2</v>
      </c>
      <c r="K458" s="35">
        <v>56</v>
      </c>
      <c r="L458" s="35">
        <v>49</v>
      </c>
      <c r="M458" s="12">
        <v>0.3125</v>
      </c>
      <c r="O458" s="143" t="str">
        <f t="shared" si="49"/>
        <v/>
      </c>
      <c r="P458" s="45"/>
      <c r="Q458" s="123">
        <f>(SUM(E$2:E$21)+SUM(E$25:E$154)+SUM(E$156:E458))/(COUNTA(E$2:E458)-4)</f>
        <v>0.38003039396737454</v>
      </c>
      <c r="R458" s="46">
        <f>(SUM(H$2:H458)*E$1+A458)/SUM(H$2:H458)</f>
        <v>0.34771505376344086</v>
      </c>
      <c r="S458" s="62"/>
      <c r="V458" s="7">
        <f>$V$1*(H458&gt;0)+(G458&gt;2)*20+5</f>
        <v>31.5</v>
      </c>
      <c r="W458" s="7">
        <f t="shared" si="52"/>
        <v>953.5</v>
      </c>
    </row>
    <row r="459" spans="1:23" s="7" customFormat="1" x14ac:dyDescent="0.3">
      <c r="A459" s="52">
        <f t="shared" si="55"/>
        <v>0.67569444444442439</v>
      </c>
      <c r="B459" s="8" t="s">
        <v>2</v>
      </c>
      <c r="C459" s="217">
        <f t="shared" si="58"/>
        <v>43404</v>
      </c>
      <c r="D459" s="121" t="s">
        <v>334</v>
      </c>
      <c r="E459" s="10">
        <v>0.3888888888888889</v>
      </c>
      <c r="F459" s="10">
        <v>0.75347222222222221</v>
      </c>
      <c r="G459" s="11">
        <v>1</v>
      </c>
      <c r="H459" s="45">
        <v>1</v>
      </c>
      <c r="I459" s="135" t="str">
        <f t="shared" si="57"/>
        <v/>
      </c>
      <c r="J459" s="153">
        <f t="shared" si="59"/>
        <v>4.8611111111110383E-3</v>
      </c>
      <c r="K459" s="35">
        <v>57</v>
      </c>
      <c r="L459" s="35">
        <v>50</v>
      </c>
      <c r="M459" s="12">
        <v>8.3333333333333329E-2</v>
      </c>
      <c r="N459" s="7">
        <f>SUM(H437:H459)</f>
        <v>18.5</v>
      </c>
      <c r="O459" s="143" t="str">
        <f t="shared" si="49"/>
        <v/>
      </c>
      <c r="P459" s="45"/>
      <c r="Q459" s="123">
        <f>(SUM(E$2:E$21)+SUM(E$25:E$154)+SUM(E$156:E459))/(COUNTA(E$2:E459)-4)</f>
        <v>0.3800548649478207</v>
      </c>
      <c r="R459" s="46">
        <f>(SUM(H$2:H459)*E$1+A459)/SUM(H$2:H459)</f>
        <v>0.34772338772338768</v>
      </c>
      <c r="S459" s="62"/>
      <c r="V459" s="7">
        <f>$V$1*(H459&gt;0)+(G459&gt;2)*20+5</f>
        <v>31.5</v>
      </c>
      <c r="W459" s="7">
        <f t="shared" si="52"/>
        <v>985</v>
      </c>
    </row>
    <row r="460" spans="1:23" s="7" customFormat="1" x14ac:dyDescent="0.3">
      <c r="A460" s="52">
        <f t="shared" si="55"/>
        <v>0.67569444444442439</v>
      </c>
      <c r="B460" s="8" t="s">
        <v>3</v>
      </c>
      <c r="C460" s="217">
        <f t="shared" si="58"/>
        <v>43405</v>
      </c>
      <c r="D460" s="74" t="s">
        <v>335</v>
      </c>
      <c r="E460" s="10"/>
      <c r="F460" s="10"/>
      <c r="G460" s="11"/>
      <c r="H460" s="45"/>
      <c r="I460" s="135" t="str">
        <f t="shared" si="57"/>
        <v/>
      </c>
      <c r="J460" s="153">
        <f t="shared" si="59"/>
        <v>0</v>
      </c>
      <c r="K460" s="35">
        <v>46</v>
      </c>
      <c r="L460" s="35"/>
      <c r="M460" s="12">
        <v>0.3125</v>
      </c>
      <c r="O460" s="143" t="str">
        <f t="shared" si="49"/>
        <v/>
      </c>
      <c r="P460" s="45"/>
      <c r="Q460" s="123">
        <f>(SUM(E$2:E$21)+SUM(E$25:E$154)+SUM(E$156:E460))/(COUNTA(E$2:E460)-4)</f>
        <v>0.3800548649478207</v>
      </c>
      <c r="R460" s="46">
        <f>(SUM(H$2:H460)*E$1+A460)/SUM(H$2:H460)</f>
        <v>0.34772338772338768</v>
      </c>
      <c r="S460" s="62"/>
      <c r="V460" s="7">
        <f>$V$1*(H460&gt;0)+12+5</f>
        <v>17</v>
      </c>
      <c r="W460" s="7">
        <f t="shared" si="52"/>
        <v>1002</v>
      </c>
    </row>
    <row r="461" spans="1:23" s="7" customFormat="1" x14ac:dyDescent="0.3">
      <c r="A461" s="53">
        <f t="shared" si="55"/>
        <v>0.69027777777775767</v>
      </c>
      <c r="B461" s="13" t="s">
        <v>4</v>
      </c>
      <c r="C461" s="218">
        <f t="shared" si="58"/>
        <v>43406</v>
      </c>
      <c r="D461" s="117" t="s">
        <v>193</v>
      </c>
      <c r="E461" s="15">
        <v>0.36805555555555558</v>
      </c>
      <c r="F461" s="15">
        <v>0.55555555555555558</v>
      </c>
      <c r="G461" s="16">
        <v>0</v>
      </c>
      <c r="H461" s="17">
        <v>0.5</v>
      </c>
      <c r="I461" s="136" t="str">
        <f>IF(J461&lt;0,-J461,"")</f>
        <v/>
      </c>
      <c r="J461" s="154">
        <f t="shared" si="59"/>
        <v>1.4583333333333309E-2</v>
      </c>
      <c r="K461" s="36">
        <v>56</v>
      </c>
      <c r="L461" s="36">
        <v>49</v>
      </c>
      <c r="M461" s="18">
        <v>0.20833333333333334</v>
      </c>
      <c r="O461" s="143" t="str">
        <f t="shared" si="49"/>
        <v/>
      </c>
      <c r="P461" s="137">
        <f>A461-A456</f>
        <v>1.1805555555555292E-2</v>
      </c>
      <c r="Q461" s="123">
        <f>(SUM(E$2:E$21)+SUM(E$25:E$154)+SUM(E$156:E461))/(COUNTA(E$2:E461)-4)</f>
        <v>0.38002180899908161</v>
      </c>
      <c r="R461" s="46">
        <f>(SUM(H$2:H461)*E$1+A461)/SUM(H$2:H461)</f>
        <v>0.34776148355058967</v>
      </c>
      <c r="S461" s="41">
        <f>IF(COUNTA(M457:M461)=0,0,SUM(M457:M461)/COUNTA(M457:M461))</f>
        <v>0.20833333333333334</v>
      </c>
      <c r="T461" s="7">
        <f>T456-3</f>
        <v>47</v>
      </c>
      <c r="V461" s="7">
        <f>$V$1*(H461&gt;0)+(G461&gt;2)*20</f>
        <v>26.5</v>
      </c>
      <c r="W461" s="7">
        <f t="shared" si="52"/>
        <v>1028.5</v>
      </c>
    </row>
    <row r="462" spans="1:23" s="7" customFormat="1" x14ac:dyDescent="0.3">
      <c r="A462" s="51">
        <f t="shared" si="55"/>
        <v>0.70902777777775761</v>
      </c>
      <c r="B462" s="2" t="s">
        <v>0</v>
      </c>
      <c r="C462" s="120">
        <f t="shared" si="58"/>
        <v>43409</v>
      </c>
      <c r="D462" s="120" t="s">
        <v>196</v>
      </c>
      <c r="E462" s="4">
        <v>0.3888888888888889</v>
      </c>
      <c r="F462" s="4">
        <v>0.76736111111111116</v>
      </c>
      <c r="G462" s="5">
        <v>0</v>
      </c>
      <c r="H462" s="2">
        <v>1</v>
      </c>
      <c r="I462" s="134" t="str">
        <f t="shared" si="57"/>
        <v/>
      </c>
      <c r="J462" s="152">
        <f t="shared" si="59"/>
        <v>1.8749999999999989E-2</v>
      </c>
      <c r="K462" s="34">
        <v>76</v>
      </c>
      <c r="L462" s="34">
        <v>67</v>
      </c>
      <c r="M462" s="6">
        <v>0.1875</v>
      </c>
      <c r="O462" s="143" t="str">
        <f t="shared" si="49"/>
        <v/>
      </c>
      <c r="P462" s="45"/>
      <c r="Q462" s="123">
        <f>(SUM(E$2:E$21)+SUM(E$25:E$154)+SUM(E$156:E462))/(COUNTA(E$2:E462)-4)</f>
        <v>0.38004616910866901</v>
      </c>
      <c r="R462" s="46">
        <f>(SUM(H$2:H462)*E$1+A462)/SUM(H$2:H462)</f>
        <v>0.34780834107087588</v>
      </c>
      <c r="S462" s="61"/>
      <c r="V462" s="7">
        <f t="shared" ref="V461:V462" si="61">$V$1*(H462&gt;0)+(G462&gt;2)*20</f>
        <v>26.5</v>
      </c>
      <c r="W462" s="7">
        <f t="shared" si="52"/>
        <v>1055</v>
      </c>
    </row>
    <row r="463" spans="1:23" s="7" customFormat="1" x14ac:dyDescent="0.3">
      <c r="A463" s="52">
        <f t="shared" si="55"/>
        <v>0.71388888888886881</v>
      </c>
      <c r="B463" s="8" t="s">
        <v>1</v>
      </c>
      <c r="C463" s="121">
        <f t="shared" si="58"/>
        <v>43410</v>
      </c>
      <c r="D463" s="121" t="s">
        <v>197</v>
      </c>
      <c r="E463" s="10">
        <v>0.3923611111111111</v>
      </c>
      <c r="F463" s="10">
        <v>0.75694444444444453</v>
      </c>
      <c r="G463" s="11">
        <v>0</v>
      </c>
      <c r="H463" s="45">
        <v>1</v>
      </c>
      <c r="I463" s="135" t="str">
        <f t="shared" si="57"/>
        <v/>
      </c>
      <c r="J463" s="153">
        <f t="shared" si="59"/>
        <v>4.8611111111111494E-3</v>
      </c>
      <c r="K463" s="35">
        <v>56</v>
      </c>
      <c r="L463" s="35">
        <v>57</v>
      </c>
      <c r="M463" s="12">
        <v>0.25</v>
      </c>
      <c r="O463" s="143" t="str">
        <f t="shared" ref="O463:O526" si="62">IF(P463&lt;0,-P463,"")</f>
        <v/>
      </c>
      <c r="P463" s="45"/>
      <c r="Q463" s="123">
        <f>(SUM(E$2:E$21)+SUM(E$25:E$154)+SUM(E$156:E463))/(COUNTA(E$2:E463)-4)</f>
        <v>0.38007990867579899</v>
      </c>
      <c r="R463" s="46">
        <f>(SUM(H$2:H463)*E$1+A463)/SUM(H$2:H463)</f>
        <v>0.34781635802469135</v>
      </c>
      <c r="S463" s="62"/>
      <c r="V463" s="7">
        <f>$V$1*(H463&gt;0)+(G463&gt;2)*20+5</f>
        <v>31.5</v>
      </c>
      <c r="W463" s="7">
        <f t="shared" si="52"/>
        <v>1086.5</v>
      </c>
    </row>
    <row r="464" spans="1:23" s="7" customFormat="1" x14ac:dyDescent="0.3">
      <c r="A464" s="52">
        <f t="shared" si="55"/>
        <v>0.66319444444442421</v>
      </c>
      <c r="B464" s="8" t="s">
        <v>2</v>
      </c>
      <c r="C464" s="121">
        <f t="shared" si="58"/>
        <v>43411</v>
      </c>
      <c r="D464" s="121" t="s">
        <v>336</v>
      </c>
      <c r="E464" s="10">
        <v>0.3923611111111111</v>
      </c>
      <c r="F464" s="10">
        <v>0.72916666666666663</v>
      </c>
      <c r="G464" s="11">
        <v>3</v>
      </c>
      <c r="H464" s="45">
        <v>1</v>
      </c>
      <c r="I464" s="135">
        <f t="shared" si="57"/>
        <v>5.0694444444444542E-2</v>
      </c>
      <c r="J464" s="153">
        <f t="shared" si="59"/>
        <v>-5.0694444444444542E-2</v>
      </c>
      <c r="K464" s="35">
        <v>57</v>
      </c>
      <c r="L464" s="35">
        <v>43</v>
      </c>
      <c r="M464" s="12">
        <v>0.14583333333333334</v>
      </c>
      <c r="O464" s="143" t="str">
        <f t="shared" si="62"/>
        <v/>
      </c>
      <c r="P464" s="45"/>
      <c r="Q464" s="123">
        <f>(SUM(E$2:E$21)+SUM(E$25:E$154)+SUM(E$156:E464))/(COUNTA(E$2:E464)-4)</f>
        <v>0.3801134638737097</v>
      </c>
      <c r="R464" s="46">
        <f>(SUM(H$2:H464)*E$1+A464)/SUM(H$2:H464)</f>
        <v>0.34767043705755618</v>
      </c>
      <c r="S464" s="62"/>
      <c r="V464" s="7">
        <f>$V$1*(H464&gt;0)+(G464&gt;2)*20+5</f>
        <v>51.5</v>
      </c>
      <c r="W464" s="7">
        <f t="shared" si="52"/>
        <v>1138</v>
      </c>
    </row>
    <row r="465" spans="1:23" s="7" customFormat="1" x14ac:dyDescent="0.3">
      <c r="A465" s="52">
        <f t="shared" si="55"/>
        <v>0.66319444444442421</v>
      </c>
      <c r="B465" s="8" t="s">
        <v>3</v>
      </c>
      <c r="C465" s="85">
        <f t="shared" si="58"/>
        <v>43412</v>
      </c>
      <c r="D465" s="85" t="s">
        <v>337</v>
      </c>
      <c r="E465" s="10"/>
      <c r="F465" s="10"/>
      <c r="G465" s="11"/>
      <c r="H465" s="45"/>
      <c r="I465" s="135" t="str">
        <f t="shared" si="57"/>
        <v/>
      </c>
      <c r="J465" s="153">
        <f t="shared" si="59"/>
        <v>0</v>
      </c>
      <c r="K465" s="35"/>
      <c r="L465" s="35"/>
      <c r="M465" s="12"/>
      <c r="O465" s="143" t="str">
        <f t="shared" si="62"/>
        <v/>
      </c>
      <c r="P465" s="45"/>
      <c r="Q465" s="123">
        <f>(SUM(E$2:E$21)+SUM(E$25:E$154)+SUM(E$156:E465))/(COUNTA(E$2:E465)-4)</f>
        <v>0.3801134638737097</v>
      </c>
      <c r="R465" s="46">
        <f>(SUM(H$2:H465)*E$1+A465)/SUM(H$2:H465)</f>
        <v>0.34767043705755618</v>
      </c>
      <c r="S465" s="62"/>
      <c r="V465" s="7">
        <f t="shared" ref="V465:V467" si="63">$V$1*(H465&gt;0)+(G465&gt;2)*20</f>
        <v>0</v>
      </c>
      <c r="W465" s="7">
        <f t="shared" si="52"/>
        <v>1138</v>
      </c>
    </row>
    <row r="466" spans="1:23" s="7" customFormat="1" x14ac:dyDescent="0.3">
      <c r="A466" s="53">
        <f t="shared" si="55"/>
        <v>0.66319444444442421</v>
      </c>
      <c r="B466" s="13" t="s">
        <v>4</v>
      </c>
      <c r="C466" s="86">
        <f t="shared" si="58"/>
        <v>43413</v>
      </c>
      <c r="D466" s="86" t="s">
        <v>338</v>
      </c>
      <c r="E466" s="15"/>
      <c r="F466" s="15"/>
      <c r="G466" s="16"/>
      <c r="H466" s="17"/>
      <c r="I466" s="136" t="str">
        <f>IF(J466&lt;0,-J466,"")</f>
        <v/>
      </c>
      <c r="J466" s="154">
        <f t="shared" si="59"/>
        <v>0</v>
      </c>
      <c r="K466" s="36"/>
      <c r="L466" s="36"/>
      <c r="M466" s="18"/>
      <c r="O466" s="143">
        <f t="shared" si="62"/>
        <v>2.7083333333333459E-2</v>
      </c>
      <c r="P466" s="137">
        <f>A466-A461</f>
        <v>-2.7083333333333459E-2</v>
      </c>
      <c r="Q466" s="123">
        <f>(SUM(E$2:E$21)+SUM(E$25:E$154)+SUM(E$156:E466))/(COUNTA(E$2:E466)-4)</f>
        <v>0.3801134638737097</v>
      </c>
      <c r="R466" s="46">
        <f>(SUM(H$2:H466)*E$1+A466)/SUM(H$2:H466)</f>
        <v>0.34767043705755618</v>
      </c>
      <c r="S466" s="41">
        <f>IF(COUNTA(M462:M466)=0,0,SUM(M462:M466)/COUNTA(M462:M466))</f>
        <v>0.19444444444444445</v>
      </c>
      <c r="T466" s="7">
        <f>T461-1</f>
        <v>46</v>
      </c>
      <c r="V466" s="7">
        <f t="shared" si="63"/>
        <v>0</v>
      </c>
      <c r="W466" s="7">
        <f t="shared" si="52"/>
        <v>1138</v>
      </c>
    </row>
    <row r="467" spans="1:23" s="7" customFormat="1" x14ac:dyDescent="0.3">
      <c r="A467" s="51">
        <f t="shared" si="55"/>
        <v>0.66319444444442421</v>
      </c>
      <c r="B467" s="2" t="s">
        <v>0</v>
      </c>
      <c r="C467" s="84">
        <f t="shared" si="58"/>
        <v>43416</v>
      </c>
      <c r="D467" s="84" t="s">
        <v>200</v>
      </c>
      <c r="E467" s="4"/>
      <c r="F467" s="4"/>
      <c r="G467" s="5"/>
      <c r="H467" s="2"/>
      <c r="I467" s="134" t="str">
        <f t="shared" si="57"/>
        <v/>
      </c>
      <c r="J467" s="152">
        <f t="shared" si="59"/>
        <v>0</v>
      </c>
      <c r="K467" s="34"/>
      <c r="L467" s="34">
        <v>65</v>
      </c>
      <c r="M467" s="6"/>
      <c r="O467" s="143" t="str">
        <f t="shared" si="62"/>
        <v/>
      </c>
      <c r="P467" s="45"/>
      <c r="Q467" s="123">
        <f>(SUM(E$2:E$21)+SUM(E$25:E$154)+SUM(E$156:E467))/(COUNTA(E$2:E467)-4)</f>
        <v>0.3801134638737097</v>
      </c>
      <c r="R467" s="46">
        <f>(SUM(H$2:H467)*E$1+A467)/SUM(H$2:H467)</f>
        <v>0.34767043705755618</v>
      </c>
      <c r="S467" s="61"/>
      <c r="V467" s="7">
        <f t="shared" si="63"/>
        <v>0</v>
      </c>
      <c r="W467" s="7">
        <f t="shared" si="52"/>
        <v>1138</v>
      </c>
    </row>
    <row r="468" spans="1:23" s="7" customFormat="1" x14ac:dyDescent="0.3">
      <c r="A468" s="52">
        <f t="shared" si="55"/>
        <v>0.74791666666664636</v>
      </c>
      <c r="B468" s="8" t="s">
        <v>1</v>
      </c>
      <c r="C468" s="121">
        <f t="shared" si="58"/>
        <v>43417</v>
      </c>
      <c r="D468" s="121" t="s">
        <v>201</v>
      </c>
      <c r="E468" s="10">
        <v>0.37847222222222227</v>
      </c>
      <c r="F468" s="10">
        <v>0.82291666666666663</v>
      </c>
      <c r="G468" s="11">
        <v>1</v>
      </c>
      <c r="H468" s="45">
        <v>1</v>
      </c>
      <c r="I468" s="135" t="str">
        <f t="shared" si="57"/>
        <v/>
      </c>
      <c r="J468" s="153">
        <f t="shared" si="59"/>
        <v>8.4722222222222088E-2</v>
      </c>
      <c r="K468" s="35">
        <v>65</v>
      </c>
      <c r="L468" s="35">
        <v>53</v>
      </c>
      <c r="M468" s="12">
        <v>0.33333333333333331</v>
      </c>
      <c r="O468" s="143" t="str">
        <f t="shared" si="62"/>
        <v/>
      </c>
      <c r="P468" s="45"/>
      <c r="Q468" s="123">
        <f>(SUM(E$2:E$21)+SUM(E$25:E$154)+SUM(E$156:E468))/(COUNTA(E$2:E468)-4)</f>
        <v>0.38010899182561297</v>
      </c>
      <c r="R468" s="46">
        <f>(SUM(H$2:H468)*E$1+A468)/SUM(H$2:H468)</f>
        <v>0.34789940147329645</v>
      </c>
      <c r="S468" s="62"/>
      <c r="V468" s="7">
        <f>$V$1*(H468&gt;0)+(G468&gt;2)*20+5</f>
        <v>31.5</v>
      </c>
      <c r="W468" s="7">
        <f t="shared" si="52"/>
        <v>1169.5</v>
      </c>
    </row>
    <row r="469" spans="1:23" s="7" customFormat="1" x14ac:dyDescent="0.3">
      <c r="A469" s="52">
        <f t="shared" si="55"/>
        <v>0.73194444444442408</v>
      </c>
      <c r="B469" s="8" t="s">
        <v>2</v>
      </c>
      <c r="C469" s="121">
        <f t="shared" si="58"/>
        <v>43418</v>
      </c>
      <c r="D469" s="121" t="s">
        <v>202</v>
      </c>
      <c r="E469" s="10">
        <v>0.38194444444444442</v>
      </c>
      <c r="F469" s="10">
        <v>0.73958333333333337</v>
      </c>
      <c r="G469" s="11">
        <v>2</v>
      </c>
      <c r="H469" s="45">
        <v>1</v>
      </c>
      <c r="I469" s="135">
        <f t="shared" si="57"/>
        <v>1.5972222222222221E-2</v>
      </c>
      <c r="J469" s="153">
        <f t="shared" si="59"/>
        <v>-1.5972222222222221E-2</v>
      </c>
      <c r="K469" s="35">
        <v>53</v>
      </c>
      <c r="L469" s="35">
        <v>43</v>
      </c>
      <c r="M469" s="12">
        <v>0.10416666666666667</v>
      </c>
      <c r="O469" s="143" t="str">
        <f t="shared" si="62"/>
        <v/>
      </c>
      <c r="P469" s="45"/>
      <c r="Q469" s="123">
        <f>(SUM(E$2:E$21)+SUM(E$25:E$154)+SUM(E$156:E469))/(COUNTA(E$2:E469)-4)</f>
        <v>0.38011397946859898</v>
      </c>
      <c r="R469" s="46">
        <f>(SUM(H$2:H469)*E$1+A469)/SUM(H$2:H469)</f>
        <v>0.34784970921334557</v>
      </c>
      <c r="S469" s="62"/>
      <c r="V469" s="7">
        <f>$V$1*(H469&gt;0)+(G469&gt;2)*20+5</f>
        <v>31.5</v>
      </c>
      <c r="W469" s="7">
        <f t="shared" si="52"/>
        <v>1201</v>
      </c>
    </row>
    <row r="470" spans="1:23" s="7" customFormat="1" x14ac:dyDescent="0.3">
      <c r="A470" s="52">
        <f t="shared" si="55"/>
        <v>0.71249999999997971</v>
      </c>
      <c r="B470" s="8" t="s">
        <v>3</v>
      </c>
      <c r="C470" s="121">
        <f t="shared" si="58"/>
        <v>43419</v>
      </c>
      <c r="D470" s="121" t="s">
        <v>339</v>
      </c>
      <c r="E470" s="10">
        <v>0.375</v>
      </c>
      <c r="F470" s="10">
        <v>0.75694444444444453</v>
      </c>
      <c r="G470" s="11">
        <v>4</v>
      </c>
      <c r="H470" s="45">
        <v>1</v>
      </c>
      <c r="I470" s="135">
        <f t="shared" si="57"/>
        <v>1.9444444444444431E-2</v>
      </c>
      <c r="J470" s="153">
        <f t="shared" si="59"/>
        <v>-1.9444444444444431E-2</v>
      </c>
      <c r="K470" s="35">
        <v>43</v>
      </c>
      <c r="L470" s="35">
        <v>38</v>
      </c>
      <c r="M470" s="12">
        <v>0.14583333333333334</v>
      </c>
      <c r="O470" s="143" t="str">
        <f t="shared" si="62"/>
        <v/>
      </c>
      <c r="P470" s="45"/>
      <c r="Q470" s="123">
        <f>(SUM(E$2:E$21)+SUM(E$25:E$154)+SUM(E$156:E470))/(COUNTA(E$2:E470)-4)</f>
        <v>0.38010012044564884</v>
      </c>
      <c r="R470" s="46">
        <f>(SUM(H$2:H470)*E$1+A470)/SUM(H$2:H470)</f>
        <v>0.3477907509157509</v>
      </c>
      <c r="S470" s="62"/>
      <c r="V470" s="7">
        <f>$V$1*(H470&gt;0)+(G470&gt;2)*20+5</f>
        <v>51.5</v>
      </c>
      <c r="W470" s="7">
        <f t="shared" si="52"/>
        <v>1252.5</v>
      </c>
    </row>
    <row r="471" spans="1:23" s="7" customFormat="1" x14ac:dyDescent="0.3">
      <c r="A471" s="53">
        <f t="shared" si="55"/>
        <v>0.71666666666664636</v>
      </c>
      <c r="B471" s="13" t="s">
        <v>4</v>
      </c>
      <c r="C471" s="117">
        <f t="shared" si="58"/>
        <v>43420</v>
      </c>
      <c r="D471" s="117" t="s">
        <v>340</v>
      </c>
      <c r="E471" s="15">
        <v>0.38194444444444442</v>
      </c>
      <c r="F471" s="15">
        <v>0.55902777777777779</v>
      </c>
      <c r="G471" s="16">
        <v>0</v>
      </c>
      <c r="H471" s="17">
        <v>0.5</v>
      </c>
      <c r="I471" s="136" t="str">
        <f>IF(J471&lt;0,-J471,"")</f>
        <v/>
      </c>
      <c r="J471" s="154">
        <f t="shared" si="59"/>
        <v>4.1666666666666796E-3</v>
      </c>
      <c r="K471" s="36"/>
      <c r="L471" s="36">
        <v>43</v>
      </c>
      <c r="M471" s="18">
        <v>0.25</v>
      </c>
      <c r="O471" s="143" t="str">
        <f t="shared" si="62"/>
        <v/>
      </c>
      <c r="P471" s="137">
        <f>A471-A466</f>
        <v>5.3472222222222143E-2</v>
      </c>
      <c r="Q471" s="123">
        <f>(SUM(E$2:E$21)+SUM(E$25:E$154)+SUM(E$156:E471))/(COUNTA(E$2:E471)-4)</f>
        <v>0.38010510510510503</v>
      </c>
      <c r="R471" s="46">
        <f>(SUM(H$2:H471)*E$1+A471)/SUM(H$2:H471)</f>
        <v>0.34779949702789209</v>
      </c>
      <c r="S471" s="41">
        <f>IF(COUNTA(M467:M471)=0,0,SUM(M467:M471)/COUNTA(M467:M471))</f>
        <v>0.20833333333333334</v>
      </c>
      <c r="T471" s="7">
        <f>T466-3</f>
        <v>43</v>
      </c>
      <c r="V471" s="7">
        <f>$V$1*(H471&gt;0)+(G471&gt;2)*20</f>
        <v>26.5</v>
      </c>
      <c r="W471" s="7">
        <f t="shared" si="52"/>
        <v>1279</v>
      </c>
    </row>
    <row r="472" spans="1:23" s="7" customFormat="1" x14ac:dyDescent="0.3">
      <c r="A472" s="51">
        <f t="shared" si="55"/>
        <v>0.75624999999997966</v>
      </c>
      <c r="B472" s="2" t="s">
        <v>0</v>
      </c>
      <c r="C472" s="120">
        <f t="shared" si="58"/>
        <v>43423</v>
      </c>
      <c r="D472" s="120" t="s">
        <v>205</v>
      </c>
      <c r="E472" s="4">
        <v>0.36805555555555558</v>
      </c>
      <c r="F472" s="4">
        <v>0.76736111111111116</v>
      </c>
      <c r="G472" s="5">
        <v>1</v>
      </c>
      <c r="H472" s="2">
        <v>1</v>
      </c>
      <c r="I472" s="134" t="str">
        <f t="shared" ref="I472:I490" si="64">IF(J472&lt;0,-J472,"")</f>
        <v/>
      </c>
      <c r="J472" s="152">
        <f t="shared" si="59"/>
        <v>3.9583333333333304E-2</v>
      </c>
      <c r="K472" s="34"/>
      <c r="L472" s="34">
        <v>63</v>
      </c>
      <c r="M472" s="6">
        <v>0.29166666666666669</v>
      </c>
      <c r="O472" s="143" t="str">
        <f t="shared" si="62"/>
        <v/>
      </c>
      <c r="P472" s="45"/>
      <c r="Q472" s="123">
        <f>(SUM(E$2:E$21)+SUM(E$25:E$154)+SUM(E$156:E472))/(COUNTA(E$2:E472)-4)</f>
        <v>0.38007262653489066</v>
      </c>
      <c r="R472" s="46">
        <f>(SUM(H$2:H472)*E$1+A472)/SUM(H$2:H472)</f>
        <v>0.34790241678066575</v>
      </c>
      <c r="S472" s="61"/>
      <c r="V472" s="7">
        <f>$V$1*(H472&gt;0)+(G472&gt;2)*20</f>
        <v>26.5</v>
      </c>
      <c r="W472" s="7">
        <f t="shared" si="52"/>
        <v>1305.5</v>
      </c>
    </row>
    <row r="473" spans="1:23" s="7" customFormat="1" x14ac:dyDescent="0.3">
      <c r="A473" s="52">
        <f t="shared" si="55"/>
        <v>0.72638888888886832</v>
      </c>
      <c r="B473" s="8" t="s">
        <v>1</v>
      </c>
      <c r="C473" s="121">
        <f t="shared" si="58"/>
        <v>43424</v>
      </c>
      <c r="D473" s="121" t="s">
        <v>206</v>
      </c>
      <c r="E473" s="10">
        <v>0.37847222222222227</v>
      </c>
      <c r="F473" s="10">
        <v>0.76388888888888884</v>
      </c>
      <c r="G473" s="11">
        <v>5</v>
      </c>
      <c r="H473" s="45">
        <v>1</v>
      </c>
      <c r="I473" s="135">
        <f t="shared" si="64"/>
        <v>2.9861111111111283E-2</v>
      </c>
      <c r="J473" s="153">
        <f t="shared" si="59"/>
        <v>-2.9861111111111283E-2</v>
      </c>
      <c r="K473" s="35">
        <v>63</v>
      </c>
      <c r="L473" s="35">
        <v>63</v>
      </c>
      <c r="M473" s="12">
        <v>0.16666666666666666</v>
      </c>
      <c r="O473" s="143" t="str">
        <f t="shared" si="62"/>
        <v/>
      </c>
      <c r="P473" s="45"/>
      <c r="Q473" s="123">
        <f>(SUM(E$2:E$21)+SUM(E$25:E$154)+SUM(E$156:E473))/(COUNTA(E$2:E473)-4)</f>
        <v>0.38006832437275984</v>
      </c>
      <c r="R473" s="46">
        <f>(SUM(H$2:H473)*E$1+A473)/SUM(H$2:H473)</f>
        <v>0.34781529483098378</v>
      </c>
      <c r="S473" s="62"/>
      <c r="V473" s="7">
        <f>$V$1*(H473&gt;0)+12+5</f>
        <v>43.5</v>
      </c>
      <c r="W473" s="7">
        <f t="shared" si="52"/>
        <v>1349</v>
      </c>
    </row>
    <row r="474" spans="1:23" s="7" customFormat="1" x14ac:dyDescent="0.3">
      <c r="A474" s="52">
        <f t="shared" si="55"/>
        <v>0.73472222222220163</v>
      </c>
      <c r="B474" s="8" t="s">
        <v>2</v>
      </c>
      <c r="C474" s="121">
        <f t="shared" si="58"/>
        <v>43425</v>
      </c>
      <c r="D474" s="121" t="s">
        <v>207</v>
      </c>
      <c r="E474" s="10">
        <v>0.37847222222222227</v>
      </c>
      <c r="F474" s="10">
        <v>0.74652777777777779</v>
      </c>
      <c r="G474" s="11">
        <v>1</v>
      </c>
      <c r="H474" s="45">
        <v>1</v>
      </c>
      <c r="I474" s="135" t="str">
        <f t="shared" si="64"/>
        <v/>
      </c>
      <c r="J474" s="153">
        <f t="shared" si="59"/>
        <v>8.3333333333332482E-3</v>
      </c>
      <c r="K474" s="35">
        <v>63</v>
      </c>
      <c r="L474" s="35">
        <v>54</v>
      </c>
      <c r="M474" s="12">
        <v>0.1875</v>
      </c>
      <c r="O474" s="143" t="str">
        <f t="shared" si="62"/>
        <v/>
      </c>
      <c r="P474" s="45"/>
      <c r="Q474" s="123">
        <f>(SUM(E$2:E$21)+SUM(E$25:E$154)+SUM(E$156:E474))/(COUNTA(E$2:E474)-4)</f>
        <v>0.3800640452785225</v>
      </c>
      <c r="R474" s="46">
        <f>(SUM(H$2:H474)*E$1+A474)/SUM(H$2:H474)</f>
        <v>0.34783257747543461</v>
      </c>
      <c r="S474" s="62"/>
      <c r="V474" s="7">
        <f>$V$1*(H474&gt;0)+(G474&gt;2)*20+5</f>
        <v>31.5</v>
      </c>
      <c r="W474" s="7">
        <f t="shared" si="52"/>
        <v>1380.5</v>
      </c>
    </row>
    <row r="475" spans="1:23" s="7" customFormat="1" x14ac:dyDescent="0.3">
      <c r="A475" s="52">
        <f t="shared" si="55"/>
        <v>0.74999999999997935</v>
      </c>
      <c r="B475" s="8" t="s">
        <v>3</v>
      </c>
      <c r="C475" s="121">
        <f t="shared" si="58"/>
        <v>43426</v>
      </c>
      <c r="D475" s="121" t="s">
        <v>341</v>
      </c>
      <c r="E475" s="10">
        <v>0.38194444444444442</v>
      </c>
      <c r="F475" s="10">
        <v>0.77083333333333337</v>
      </c>
      <c r="G475" s="11">
        <v>2</v>
      </c>
      <c r="H475" s="45">
        <v>1</v>
      </c>
      <c r="I475" s="135" t="str">
        <f t="shared" si="64"/>
        <v/>
      </c>
      <c r="J475" s="153">
        <f t="shared" si="59"/>
        <v>1.5277777777777779E-2</v>
      </c>
      <c r="K475" s="35">
        <v>55</v>
      </c>
      <c r="L475" s="35">
        <v>45</v>
      </c>
      <c r="M475" s="12">
        <v>0.3125</v>
      </c>
      <c r="O475" s="143" t="str">
        <f t="shared" si="62"/>
        <v/>
      </c>
      <c r="P475" s="45"/>
      <c r="Q475" s="123">
        <f>(SUM(E$2:E$21)+SUM(E$25:E$154)+SUM(E$156:E475))/(COUNTA(E$2:E475)-4)</f>
        <v>0.38006907308377891</v>
      </c>
      <c r="R475" s="46">
        <f>(SUM(H$2:H475)*E$1+A475)/SUM(H$2:H475)</f>
        <v>0.34786861148801446</v>
      </c>
      <c r="S475" s="62"/>
      <c r="V475" s="7">
        <f>$V$1*(H475&gt;0)+5</f>
        <v>31.5</v>
      </c>
      <c r="W475" s="7">
        <f t="shared" si="52"/>
        <v>1412</v>
      </c>
    </row>
    <row r="476" spans="1:23" s="7" customFormat="1" x14ac:dyDescent="0.3">
      <c r="A476" s="53">
        <f t="shared" si="55"/>
        <v>0.73680555555553484</v>
      </c>
      <c r="B476" s="13" t="s">
        <v>4</v>
      </c>
      <c r="C476" s="117">
        <f t="shared" si="58"/>
        <v>43427</v>
      </c>
      <c r="D476" s="117" t="s">
        <v>342</v>
      </c>
      <c r="E476" s="15">
        <v>0.37847222222222227</v>
      </c>
      <c r="F476" s="15">
        <v>0.53819444444444442</v>
      </c>
      <c r="G476" s="16">
        <v>0</v>
      </c>
      <c r="H476" s="17">
        <v>0.5</v>
      </c>
      <c r="I476" s="136">
        <f>IF(J476&lt;0,-J476,"")</f>
        <v>1.3194444444444536E-2</v>
      </c>
      <c r="J476" s="154">
        <f t="shared" si="59"/>
        <v>-1.3194444444444536E-2</v>
      </c>
      <c r="K476" s="36">
        <v>55</v>
      </c>
      <c r="L476" s="36">
        <v>46</v>
      </c>
      <c r="M476" s="18">
        <v>0.22916666666666666</v>
      </c>
      <c r="O476" s="143" t="str">
        <f t="shared" si="62"/>
        <v/>
      </c>
      <c r="P476" s="137">
        <f>A476-A471</f>
        <v>2.0138888888888484E-2</v>
      </c>
      <c r="Q476" s="123">
        <f>(SUM(E$2:E$21)+SUM(E$25:E$154)+SUM(E$156:E476))/(COUNTA(E$2:E476)-4)</f>
        <v>0.3800648148148148</v>
      </c>
      <c r="R476" s="46">
        <f>(SUM(H$2:H476)*E$1+A476)/SUM(H$2:H476)</f>
        <v>0.34783009635651913</v>
      </c>
      <c r="S476" s="41">
        <f>IF(COUNTA(M472:M476)=0,0,SUM(M472:M476)/COUNTA(M472:M476))</f>
        <v>0.23749999999999999</v>
      </c>
      <c r="T476" s="7">
        <v>43</v>
      </c>
      <c r="V476" s="7">
        <f>$V$1*(H476&gt;0)+(G476&gt;2)*20</f>
        <v>26.5</v>
      </c>
      <c r="W476" s="7">
        <f t="shared" si="52"/>
        <v>1438.5</v>
      </c>
    </row>
    <row r="477" spans="1:23" s="7" customFormat="1" x14ac:dyDescent="0.3">
      <c r="A477" s="51">
        <f t="shared" si="55"/>
        <v>0.76249999999997919</v>
      </c>
      <c r="B477" s="2" t="s">
        <v>0</v>
      </c>
      <c r="C477" s="120">
        <f t="shared" si="58"/>
        <v>43430</v>
      </c>
      <c r="D477" s="120" t="s">
        <v>210</v>
      </c>
      <c r="E477" s="4">
        <v>0.37847222222222227</v>
      </c>
      <c r="F477" s="4">
        <v>0.77777777777777779</v>
      </c>
      <c r="G477" s="5">
        <v>2</v>
      </c>
      <c r="H477" s="2">
        <v>1</v>
      </c>
      <c r="I477" s="134" t="str">
        <f t="shared" si="64"/>
        <v/>
      </c>
      <c r="J477" s="152">
        <f t="shared" si="59"/>
        <v>2.5694444444444353E-2</v>
      </c>
      <c r="K477" s="34">
        <v>69</v>
      </c>
      <c r="L477" s="34">
        <v>63</v>
      </c>
      <c r="M477" s="6">
        <v>0.22916666666666666</v>
      </c>
      <c r="O477" s="143" t="str">
        <f t="shared" si="62"/>
        <v/>
      </c>
      <c r="P477" s="45"/>
      <c r="Q477" s="123">
        <f>(SUM(E$2:E$21)+SUM(E$25:E$154)+SUM(E$156:E477))/(COUNTA(E$2:E477)-4)</f>
        <v>0.3800605791962175</v>
      </c>
      <c r="R477" s="46">
        <f>(SUM(H$2:H477)*E$1+A477)/SUM(H$2:H477)</f>
        <v>0.34789414414414416</v>
      </c>
      <c r="S477" s="61"/>
      <c r="V477" s="7">
        <f>$V$1*(H477&gt;0)+(G477&gt;2)*20</f>
        <v>26.5</v>
      </c>
      <c r="W477" s="7">
        <f t="shared" si="52"/>
        <v>1465</v>
      </c>
    </row>
    <row r="478" spans="1:23" s="7" customFormat="1" x14ac:dyDescent="0.3">
      <c r="A478" s="52">
        <f t="shared" si="55"/>
        <v>0.78819444444442366</v>
      </c>
      <c r="B478" s="8" t="s">
        <v>1</v>
      </c>
      <c r="C478" s="121">
        <f t="shared" si="58"/>
        <v>43431</v>
      </c>
      <c r="D478" s="121" t="s">
        <v>211</v>
      </c>
      <c r="E478" s="10">
        <v>0.38194444444444442</v>
      </c>
      <c r="F478" s="10">
        <v>0.76736111111111116</v>
      </c>
      <c r="G478" s="11">
        <v>1</v>
      </c>
      <c r="H478" s="45">
        <v>1</v>
      </c>
      <c r="I478" s="236" t="str">
        <f t="shared" si="64"/>
        <v/>
      </c>
      <c r="J478" s="153">
        <f t="shared" si="59"/>
        <v>2.5694444444444464E-2</v>
      </c>
      <c r="K478" s="35"/>
      <c r="L478" s="35">
        <v>57</v>
      </c>
      <c r="M478" s="12">
        <v>0.25</v>
      </c>
      <c r="O478" s="143" t="str">
        <f t="shared" si="62"/>
        <v/>
      </c>
      <c r="P478" s="45"/>
      <c r="Q478" s="123">
        <f>(SUM(E$2:E$21)+SUM(E$25:E$154)+SUM(E$156:E478))/(COUNTA(E$2:E478)-4)</f>
        <v>0.38006557618626585</v>
      </c>
      <c r="R478" s="46">
        <f>(SUM(H$2:H478)*E$1+A478)/SUM(H$2:H478)</f>
        <v>0.34795784666067681</v>
      </c>
      <c r="S478" s="62"/>
      <c r="V478" s="7">
        <f>$V$1*(H478&gt;0)+5</f>
        <v>31.5</v>
      </c>
      <c r="W478" s="7">
        <f t="shared" si="52"/>
        <v>1496.5</v>
      </c>
    </row>
    <row r="479" spans="1:23" s="7" customFormat="1" x14ac:dyDescent="0.3">
      <c r="A479" s="52">
        <f t="shared" si="55"/>
        <v>0.80694444444442359</v>
      </c>
      <c r="B479" s="8" t="s">
        <v>2</v>
      </c>
      <c r="C479" s="121">
        <f t="shared" si="58"/>
        <v>43432</v>
      </c>
      <c r="D479" s="121" t="s">
        <v>212</v>
      </c>
      <c r="E479" s="10">
        <v>0.38194444444444442</v>
      </c>
      <c r="F479" s="10">
        <v>0.77430555555555547</v>
      </c>
      <c r="G479" s="11">
        <v>2</v>
      </c>
      <c r="H479" s="45">
        <v>1</v>
      </c>
      <c r="I479" s="236" t="str">
        <f t="shared" si="64"/>
        <v/>
      </c>
      <c r="J479" s="153">
        <f t="shared" si="59"/>
        <v>1.8749999999999878E-2</v>
      </c>
      <c r="K479" s="35">
        <v>56</v>
      </c>
      <c r="L479" s="35">
        <v>58</v>
      </c>
      <c r="M479" s="12">
        <v>0.22916666666666666</v>
      </c>
      <c r="O479" s="143" t="str">
        <f t="shared" si="62"/>
        <v/>
      </c>
      <c r="P479" s="45"/>
      <c r="Q479" s="123">
        <f>(SUM(E$2:E$21)+SUM(E$25:E$154)+SUM(E$156:E479))/(COUNTA(E$2:E479)-4)</f>
        <v>0.38007054673721336</v>
      </c>
      <c r="R479" s="46">
        <f>(SUM(H$2:H479)*E$1+A479)/SUM(H$2:H479)</f>
        <v>0.34800253882915166</v>
      </c>
      <c r="S479" s="62"/>
      <c r="V479" s="7">
        <f>$V$1*(H479&gt;0)+5</f>
        <v>31.5</v>
      </c>
      <c r="W479" s="7">
        <f t="shared" si="52"/>
        <v>1528</v>
      </c>
    </row>
    <row r="480" spans="1:23" s="7" customFormat="1" x14ac:dyDescent="0.3">
      <c r="A480" s="52">
        <f t="shared" si="55"/>
        <v>0.76319444444442341</v>
      </c>
      <c r="B480" s="8" t="s">
        <v>3</v>
      </c>
      <c r="C480" s="121">
        <f t="shared" si="58"/>
        <v>43433</v>
      </c>
      <c r="D480" s="121" t="s">
        <v>343</v>
      </c>
      <c r="E480" s="10">
        <v>0.3888888888888889</v>
      </c>
      <c r="F480" s="10">
        <v>0.76041666666666663</v>
      </c>
      <c r="G480" s="11">
        <v>5</v>
      </c>
      <c r="H480" s="45">
        <v>1</v>
      </c>
      <c r="I480" s="135">
        <f t="shared" si="64"/>
        <v>4.3750000000000122E-2</v>
      </c>
      <c r="J480" s="153">
        <f t="shared" si="59"/>
        <v>-4.3750000000000122E-2</v>
      </c>
      <c r="K480" s="35"/>
      <c r="L480" s="35">
        <v>52</v>
      </c>
      <c r="M480" s="12">
        <v>0.16666666666666666</v>
      </c>
      <c r="O480" s="143" t="str">
        <f t="shared" si="62"/>
        <v/>
      </c>
      <c r="P480" s="45"/>
      <c r="Q480" s="123">
        <f>(SUM(E$2:E$21)+SUM(E$25:E$154)+SUM(E$156:E480))/(COUNTA(E$2:E480)-4)</f>
        <v>0.38009381413075344</v>
      </c>
      <c r="R480" s="46">
        <f>(SUM(H$2:H480)*E$1+A480)/SUM(H$2:H480)</f>
        <v>0.34787943103961866</v>
      </c>
      <c r="S480" s="62"/>
      <c r="V480" s="7">
        <f>$V$1*(H480&gt;0)+(G480&gt;2)*20+5</f>
        <v>51.5</v>
      </c>
      <c r="W480" s="7">
        <f t="shared" si="52"/>
        <v>1579.5</v>
      </c>
    </row>
    <row r="481" spans="1:23" s="7" customFormat="1" x14ac:dyDescent="0.3">
      <c r="A481" s="53">
        <f t="shared" si="55"/>
        <v>0.7465277777777567</v>
      </c>
      <c r="B481" s="13" t="s">
        <v>4</v>
      </c>
      <c r="C481" s="117">
        <f t="shared" si="58"/>
        <v>43434</v>
      </c>
      <c r="D481" s="117" t="s">
        <v>344</v>
      </c>
      <c r="E481" s="15">
        <v>0.38194444444444442</v>
      </c>
      <c r="F481" s="15">
        <v>0.53819444444444442</v>
      </c>
      <c r="G481" s="16">
        <v>0</v>
      </c>
      <c r="H481" s="17">
        <v>0.5</v>
      </c>
      <c r="I481" s="136">
        <f>IF(J481&lt;0,-J481,"")</f>
        <v>1.6666666666666691E-2</v>
      </c>
      <c r="J481" s="154">
        <f t="shared" si="59"/>
        <v>-1.6666666666666691E-2</v>
      </c>
      <c r="K481" s="36"/>
      <c r="L481" s="36">
        <v>53</v>
      </c>
      <c r="M481" s="18">
        <v>0.22916666666666666</v>
      </c>
      <c r="N481" s="7">
        <f>SUM(H460:H481)</f>
        <v>16</v>
      </c>
      <c r="O481" s="143" t="str">
        <f t="shared" si="62"/>
        <v/>
      </c>
      <c r="P481" s="137">
        <f>A481-A476</f>
        <v>9.7222222222218546E-3</v>
      </c>
      <c r="Q481" s="123">
        <f>(SUM(E$2:E$21)+SUM(E$25:E$154)+SUM(E$156:E481))/(COUNTA(E$2:E481)-4)</f>
        <v>0.38009868421052634</v>
      </c>
      <c r="R481" s="46">
        <f>(SUM(H$2:H481)*E$1+A481)/SUM(H$2:H481)</f>
        <v>0.34783206901680791</v>
      </c>
      <c r="S481" s="41">
        <f>IF(COUNTA(M477:M481)=0,0,SUM(M477:M481)/COUNTA(M477:M481))</f>
        <v>0.2208333333333333</v>
      </c>
      <c r="T481" s="7">
        <v>48</v>
      </c>
      <c r="V481" s="7">
        <f>$V$1*(H481&gt;0)+(G481&gt;2)*20</f>
        <v>26.5</v>
      </c>
      <c r="W481" s="7">
        <f t="shared" si="52"/>
        <v>1606</v>
      </c>
    </row>
    <row r="482" spans="1:23" s="7" customFormat="1" x14ac:dyDescent="0.3">
      <c r="A482" s="51">
        <f t="shared" si="55"/>
        <v>0.75138888888886779</v>
      </c>
      <c r="B482" s="2" t="s">
        <v>0</v>
      </c>
      <c r="C482" s="120">
        <f t="shared" si="58"/>
        <v>43437</v>
      </c>
      <c r="D482" s="120" t="s">
        <v>215</v>
      </c>
      <c r="E482" s="4">
        <v>0.38541666666666669</v>
      </c>
      <c r="F482" s="4">
        <v>0.75</v>
      </c>
      <c r="G482" s="5">
        <v>0</v>
      </c>
      <c r="H482" s="2">
        <v>1</v>
      </c>
      <c r="I482" s="237" t="str">
        <f t="shared" si="64"/>
        <v/>
      </c>
      <c r="J482" s="152">
        <f t="shared" si="59"/>
        <v>4.8611111111110383E-3</v>
      </c>
      <c r="K482" s="34"/>
      <c r="L482" s="34">
        <v>67</v>
      </c>
      <c r="M482" s="6">
        <v>0.1875</v>
      </c>
      <c r="O482" s="143" t="str">
        <f t="shared" si="62"/>
        <v/>
      </c>
      <c r="P482" s="45"/>
      <c r="Q482" s="123">
        <f>(SUM(E$2:E$21)+SUM(E$25:E$154)+SUM(E$156:E482))/(COUNTA(E$2:E482)-4)</f>
        <v>0.38011264216972873</v>
      </c>
      <c r="R482" s="46">
        <f>(SUM(H$2:H482)*E$1+A482)/SUM(H$2:H482)</f>
        <v>0.34783971220887105</v>
      </c>
      <c r="S482" s="61"/>
      <c r="V482" s="7">
        <f>$V$1*(H482&gt;0)+(G482&gt;2)*20</f>
        <v>26.5</v>
      </c>
      <c r="W482" s="7">
        <f t="shared" si="52"/>
        <v>1632.5</v>
      </c>
    </row>
    <row r="483" spans="1:23" s="7" customFormat="1" x14ac:dyDescent="0.3">
      <c r="A483" s="52">
        <f t="shared" si="55"/>
        <v>0.73263888888886763</v>
      </c>
      <c r="B483" s="8" t="s">
        <v>1</v>
      </c>
      <c r="C483" s="121">
        <f t="shared" si="58"/>
        <v>43438</v>
      </c>
      <c r="D483" s="121" t="s">
        <v>216</v>
      </c>
      <c r="E483" s="10">
        <v>0.24305555555555555</v>
      </c>
      <c r="F483" s="10">
        <v>0.74305555555555547</v>
      </c>
      <c r="G483" s="11">
        <v>1</v>
      </c>
      <c r="H483" s="45">
        <v>1.5</v>
      </c>
      <c r="I483" s="135">
        <f t="shared" si="64"/>
        <v>1.8750000000000155E-2</v>
      </c>
      <c r="J483" s="153">
        <f t="shared" si="59"/>
        <v>-1.8750000000000155E-2</v>
      </c>
      <c r="K483" s="35"/>
      <c r="L483" s="35">
        <v>58</v>
      </c>
      <c r="M483" s="12">
        <v>0.20833333333333334</v>
      </c>
      <c r="O483" s="143" t="str">
        <f t="shared" si="62"/>
        <v/>
      </c>
      <c r="P483" s="45"/>
      <c r="Q483" s="123">
        <f>(SUM(E$2:E$21)+SUM(E$25:E$154)+SUM(E$156:E483))/(COUNTA(E$2:E483)-4)</f>
        <v>0.37975385398487493</v>
      </c>
      <c r="R483" s="46">
        <f>(SUM(H$2:H483)*E$1+A483)/SUM(H$2:H483)</f>
        <v>0.34778184101654847</v>
      </c>
      <c r="S483" s="62"/>
      <c r="V483" s="7">
        <f>$V$1*(H483&gt;0)+5</f>
        <v>31.5</v>
      </c>
      <c r="W483" s="7">
        <f t="shared" si="52"/>
        <v>1664</v>
      </c>
    </row>
    <row r="484" spans="1:23" s="7" customFormat="1" x14ac:dyDescent="0.3">
      <c r="A484" s="52">
        <f t="shared" si="55"/>
        <v>0.73402777777775663</v>
      </c>
      <c r="B484" s="8" t="s">
        <v>2</v>
      </c>
      <c r="C484" s="121">
        <f t="shared" si="58"/>
        <v>43439</v>
      </c>
      <c r="D484" s="121" t="s">
        <v>217</v>
      </c>
      <c r="E484" s="10">
        <v>0.38194444444444442</v>
      </c>
      <c r="F484" s="10">
        <v>0.75694444444444453</v>
      </c>
      <c r="G484" s="11">
        <v>2</v>
      </c>
      <c r="H484" s="45">
        <v>1</v>
      </c>
      <c r="I484" s="135" t="str">
        <f t="shared" si="64"/>
        <v/>
      </c>
      <c r="J484" s="153">
        <f t="shared" si="59"/>
        <v>1.3888888888889395E-3</v>
      </c>
      <c r="K484" s="35">
        <v>51</v>
      </c>
      <c r="L484" s="35">
        <v>51</v>
      </c>
      <c r="M484" s="12">
        <v>0.20833333333333334</v>
      </c>
      <c r="O484" s="143" t="str">
        <f t="shared" si="62"/>
        <v/>
      </c>
      <c r="P484" s="45"/>
      <c r="Q484" s="123">
        <f>(SUM(E$2:E$21)+SUM(E$25:E$154)+SUM(E$156:E484))/(COUNTA(E$2:E484)-4)</f>
        <v>0.37975957354221057</v>
      </c>
      <c r="R484" s="46">
        <f>(SUM(H$2:H484)*E$1+A484)/SUM(H$2:H484)</f>
        <v>0.34778035661656354</v>
      </c>
      <c r="S484" s="62"/>
      <c r="V484" s="7">
        <f>$V$1*(H484&gt;0)+5</f>
        <v>31.5</v>
      </c>
      <c r="W484" s="7">
        <f t="shared" si="52"/>
        <v>1695.5</v>
      </c>
    </row>
    <row r="485" spans="1:23" s="7" customFormat="1" x14ac:dyDescent="0.3">
      <c r="A485" s="52">
        <f t="shared" si="55"/>
        <v>0.73541666666664551</v>
      </c>
      <c r="B485" s="8" t="s">
        <v>3</v>
      </c>
      <c r="C485" s="121">
        <f t="shared" si="58"/>
        <v>43440</v>
      </c>
      <c r="D485" s="121" t="s">
        <v>345</v>
      </c>
      <c r="E485" s="10">
        <v>0.39583333333333331</v>
      </c>
      <c r="F485" s="10">
        <v>0.75694444444444453</v>
      </c>
      <c r="G485" s="11">
        <v>0</v>
      </c>
      <c r="H485" s="45">
        <v>1</v>
      </c>
      <c r="I485" s="135" t="str">
        <f t="shared" si="64"/>
        <v/>
      </c>
      <c r="J485" s="153">
        <f t="shared" si="59"/>
        <v>1.3888888888889395E-3</v>
      </c>
      <c r="K485" s="35"/>
      <c r="L485" s="35"/>
      <c r="M485" s="12">
        <v>0.25</v>
      </c>
      <c r="O485" s="143" t="str">
        <f t="shared" si="62"/>
        <v/>
      </c>
      <c r="P485" s="45"/>
      <c r="Q485" s="123">
        <f>(SUM(E$2:E$21)+SUM(E$25:E$154)+SUM(E$156:E485))/(COUNTA(E$2:E485)-4)</f>
        <v>0.37980143229166669</v>
      </c>
      <c r="R485" s="46">
        <f>(SUM(H$2:H485)*E$1+A485)/SUM(H$2:H485)</f>
        <v>0.34777888007054675</v>
      </c>
      <c r="S485" s="62"/>
      <c r="V485" s="7">
        <f>$V$1*(H485&gt;0)+5</f>
        <v>31.5</v>
      </c>
      <c r="W485" s="7">
        <f t="shared" si="52"/>
        <v>1727</v>
      </c>
    </row>
    <row r="486" spans="1:23" s="7" customFormat="1" x14ac:dyDescent="0.3">
      <c r="A486" s="53">
        <f t="shared" si="55"/>
        <v>0.71180555555553437</v>
      </c>
      <c r="B486" s="13" t="s">
        <v>4</v>
      </c>
      <c r="C486" s="117">
        <f t="shared" si="58"/>
        <v>43441</v>
      </c>
      <c r="D486" s="117" t="s">
        <v>346</v>
      </c>
      <c r="E486" s="15">
        <v>0.38194444444444442</v>
      </c>
      <c r="F486" s="15">
        <v>0.53125</v>
      </c>
      <c r="G486" s="16">
        <v>0</v>
      </c>
      <c r="H486" s="17">
        <v>0.5</v>
      </c>
      <c r="I486" s="136">
        <f>IF(J486&lt;0,-J486,"")</f>
        <v>2.361111111111111E-2</v>
      </c>
      <c r="J486" s="154">
        <f t="shared" si="59"/>
        <v>-2.361111111111111E-2</v>
      </c>
      <c r="K486" s="36"/>
      <c r="L486" s="36">
        <v>51</v>
      </c>
      <c r="M486" s="18">
        <v>0.20833333333333334</v>
      </c>
      <c r="O486" s="143">
        <f t="shared" si="62"/>
        <v>3.4722222222222321E-2</v>
      </c>
      <c r="P486" s="137">
        <f>A486-A481</f>
        <v>-3.4722222222222321E-2</v>
      </c>
      <c r="Q486" s="123">
        <f>(SUM(E$2:E$21)+SUM(E$25:E$154)+SUM(E$156:E486))/(COUNTA(E$2:E486)-4)</f>
        <v>0.37980699855699851</v>
      </c>
      <c r="R486" s="46">
        <f>(SUM(H$2:H486)*E$1+A486)/SUM(H$2:H486)</f>
        <v>0.34771392925289885</v>
      </c>
      <c r="S486" s="41">
        <f>IF(COUNTA(M482:M486)=0,0,SUM(M482:M486)/COUNTA(M482:M486))</f>
        <v>0.21249999999999999</v>
      </c>
      <c r="T486" s="7">
        <v>48</v>
      </c>
      <c r="V486" s="7">
        <f>$V$1*(H486&gt;0)+(G486&gt;2)*20</f>
        <v>26.5</v>
      </c>
      <c r="W486" s="7">
        <f t="shared" ref="W486:W541" si="65">W485+V486</f>
        <v>1753.5</v>
      </c>
    </row>
    <row r="487" spans="1:23" s="7" customFormat="1" x14ac:dyDescent="0.3">
      <c r="A487" s="51">
        <f t="shared" si="55"/>
        <v>0.70277777777775652</v>
      </c>
      <c r="B487" s="2" t="s">
        <v>0</v>
      </c>
      <c r="C487" s="120">
        <f t="shared" si="58"/>
        <v>43444</v>
      </c>
      <c r="D487" s="120" t="s">
        <v>220</v>
      </c>
      <c r="E487" s="4">
        <v>0.38541666666666669</v>
      </c>
      <c r="F487" s="4">
        <v>0.75</v>
      </c>
      <c r="G487" s="5">
        <v>2</v>
      </c>
      <c r="H487" s="2">
        <v>1</v>
      </c>
      <c r="I487" s="134">
        <f t="shared" si="64"/>
        <v>9.0277777777778567E-3</v>
      </c>
      <c r="J487" s="152">
        <f t="shared" si="59"/>
        <v>-9.0277777777778567E-3</v>
      </c>
      <c r="K487" s="34">
        <v>65</v>
      </c>
      <c r="L487" s="34"/>
      <c r="M487" s="6">
        <v>0.10416666666666667</v>
      </c>
      <c r="O487" s="143" t="str">
        <f t="shared" si="62"/>
        <v/>
      </c>
      <c r="P487" s="45"/>
      <c r="Q487" s="123">
        <f>(SUM(E$2:E$21)+SUM(E$25:E$154)+SUM(E$156:E487))/(COUNTA(E$2:E487)-4)</f>
        <v>0.37982153137593555</v>
      </c>
      <c r="R487" s="46">
        <f>(SUM(H$2:H487)*E$1+A487)/SUM(H$2:H487)</f>
        <v>0.34768518518518515</v>
      </c>
      <c r="S487" s="61"/>
      <c r="V487" s="7">
        <f>$V$1*(H487&gt;0)+(G487&gt;2)*20</f>
        <v>26.5</v>
      </c>
      <c r="W487" s="7">
        <f t="shared" si="65"/>
        <v>1780</v>
      </c>
    </row>
    <row r="488" spans="1:23" s="7" customFormat="1" x14ac:dyDescent="0.3">
      <c r="A488" s="52">
        <f t="shared" si="55"/>
        <v>0.65208333333331203</v>
      </c>
      <c r="B488" s="8" t="s">
        <v>1</v>
      </c>
      <c r="C488" s="121">
        <f t="shared" si="58"/>
        <v>43445</v>
      </c>
      <c r="D488" s="121" t="s">
        <v>221</v>
      </c>
      <c r="E488" s="10">
        <v>0.44097222222222227</v>
      </c>
      <c r="F488" s="10">
        <v>0.75</v>
      </c>
      <c r="G488" s="11">
        <v>0</v>
      </c>
      <c r="H488" s="45">
        <v>1</v>
      </c>
      <c r="I488" s="135">
        <f t="shared" si="64"/>
        <v>5.0694444444444542E-2</v>
      </c>
      <c r="J488" s="153">
        <f t="shared" si="59"/>
        <v>-5.0694444444444542E-2</v>
      </c>
      <c r="K488" s="35"/>
      <c r="L488" s="35">
        <v>61</v>
      </c>
      <c r="M488" s="12">
        <v>0.1875</v>
      </c>
      <c r="O488" s="143" t="str">
        <f t="shared" si="62"/>
        <v/>
      </c>
      <c r="P488" s="45"/>
      <c r="Q488" s="123">
        <f>(SUM(E$2:E$21)+SUM(E$25:E$154)+SUM(E$156:E488))/(COUNTA(E$2:E488)-4)</f>
        <v>0.37997954349698537</v>
      </c>
      <c r="R488" s="46">
        <f>(SUM(H$2:H488)*E$1+A488)/SUM(H$2:H488)</f>
        <v>0.34754708716600968</v>
      </c>
      <c r="S488" s="62"/>
      <c r="V488" s="7">
        <f>$V$1*(H488&gt;0)+5</f>
        <v>31.5</v>
      </c>
      <c r="W488" s="7">
        <f t="shared" si="65"/>
        <v>1811.5</v>
      </c>
    </row>
    <row r="489" spans="1:23" s="7" customFormat="1" x14ac:dyDescent="0.3">
      <c r="A489" s="52">
        <f t="shared" si="55"/>
        <v>0.66736111111108976</v>
      </c>
      <c r="B489" s="8" t="s">
        <v>2</v>
      </c>
      <c r="C489" s="121">
        <f t="shared" si="58"/>
        <v>43446</v>
      </c>
      <c r="D489" s="121" t="s">
        <v>222</v>
      </c>
      <c r="E489" s="10">
        <v>0.3888888888888889</v>
      </c>
      <c r="F489" s="10">
        <v>0.76388888888888884</v>
      </c>
      <c r="G489" s="11">
        <v>1</v>
      </c>
      <c r="H489" s="45">
        <v>1</v>
      </c>
      <c r="I489" s="236" t="str">
        <f t="shared" si="64"/>
        <v/>
      </c>
      <c r="J489" s="153">
        <f t="shared" si="59"/>
        <v>1.5277777777777668E-2</v>
      </c>
      <c r="K489" s="35">
        <v>67</v>
      </c>
      <c r="L489" s="35">
        <v>58</v>
      </c>
      <c r="M489" s="12">
        <v>0.3125</v>
      </c>
      <c r="O489" s="143" t="str">
        <f t="shared" si="62"/>
        <v/>
      </c>
      <c r="P489" s="45"/>
      <c r="Q489" s="123">
        <f>(SUM(E$2:E$21)+SUM(E$25:E$154)+SUM(E$156:E489))/(COUNTA(E$2:E489)-4)</f>
        <v>0.38000250572737687</v>
      </c>
      <c r="R489" s="46">
        <f>(SUM(H$2:H489)*E$1+A489)/SUM(H$2:H489)</f>
        <v>0.34758264161933888</v>
      </c>
      <c r="S489" s="62"/>
      <c r="V489" s="7">
        <f>$V$1*(H489&gt;0)+5</f>
        <v>31.5</v>
      </c>
      <c r="W489" s="7">
        <f t="shared" si="65"/>
        <v>1843</v>
      </c>
    </row>
    <row r="490" spans="1:23" s="7" customFormat="1" x14ac:dyDescent="0.3">
      <c r="A490" s="52">
        <f t="shared" si="55"/>
        <v>0.661805555555534</v>
      </c>
      <c r="B490" s="8" t="s">
        <v>3</v>
      </c>
      <c r="C490" s="121">
        <f t="shared" si="58"/>
        <v>43447</v>
      </c>
      <c r="D490" s="121" t="s">
        <v>347</v>
      </c>
      <c r="E490" s="10">
        <v>0.37847222222222227</v>
      </c>
      <c r="F490" s="10">
        <v>0.76041666666666663</v>
      </c>
      <c r="G490" s="11">
        <v>3</v>
      </c>
      <c r="H490" s="45">
        <v>1</v>
      </c>
      <c r="I490" s="135">
        <f t="shared" si="64"/>
        <v>5.5555555555557024E-3</v>
      </c>
      <c r="J490" s="153">
        <f t="shared" si="59"/>
        <v>-5.5555555555557024E-3</v>
      </c>
      <c r="K490" s="35">
        <v>67</v>
      </c>
      <c r="L490" s="35"/>
      <c r="M490" s="12">
        <v>0.16666666666666666</v>
      </c>
      <c r="O490" s="143" t="str">
        <f t="shared" si="62"/>
        <v/>
      </c>
      <c r="P490" s="45"/>
      <c r="Q490" s="123">
        <f>(SUM(E$2:E$21)+SUM(E$25:E$154)+SUM(E$156:E490))/(COUNTA(E$2:E490)-4)</f>
        <v>0.37999857183661812</v>
      </c>
      <c r="R490" s="46">
        <f>(SUM(H$2:H490)*E$1+A490)/SUM(H$2:H490)</f>
        <v>0.34756354393609296</v>
      </c>
      <c r="S490" s="62"/>
      <c r="V490" s="7">
        <f>$V$1*(H490&gt;0)+(G490&gt;2)*20+5</f>
        <v>51.5</v>
      </c>
      <c r="W490" s="7">
        <f t="shared" si="65"/>
        <v>1894.5</v>
      </c>
    </row>
    <row r="491" spans="1:23" s="7" customFormat="1" x14ac:dyDescent="0.3">
      <c r="A491" s="53">
        <f t="shared" si="55"/>
        <v>0.65555555555553402</v>
      </c>
      <c r="B491" s="13" t="s">
        <v>4</v>
      </c>
      <c r="C491" s="117">
        <f t="shared" si="58"/>
        <v>43448</v>
      </c>
      <c r="D491" s="117" t="s">
        <v>348</v>
      </c>
      <c r="E491" s="15">
        <v>0.37847222222222227</v>
      </c>
      <c r="F491" s="15">
        <v>0.54513888888888895</v>
      </c>
      <c r="G491" s="16">
        <v>0</v>
      </c>
      <c r="H491" s="17">
        <v>0.5</v>
      </c>
      <c r="I491" s="136">
        <f>IF(J491&lt;0,-J491,"")</f>
        <v>6.2500000000000056E-3</v>
      </c>
      <c r="J491" s="154">
        <f t="shared" si="59"/>
        <v>-6.2500000000000056E-3</v>
      </c>
      <c r="K491" s="36"/>
      <c r="L491" s="36">
        <v>61</v>
      </c>
      <c r="M491" s="18">
        <v>0.25</v>
      </c>
      <c r="O491" s="143">
        <f t="shared" si="62"/>
        <v>5.6250000000000355E-2</v>
      </c>
      <c r="P491" s="137">
        <f>A491-A486</f>
        <v>-5.6250000000000355E-2</v>
      </c>
      <c r="Q491" s="123">
        <f>(SUM(E$2:E$21)+SUM(E$25:E$154)+SUM(E$156:E491))/(COUNTA(E$2:E491)-4)</f>
        <v>0.37999465811965816</v>
      </c>
      <c r="R491" s="46">
        <f>(SUM(H$2:H491)*E$1+A491)/SUM(H$2:H491)</f>
        <v>0.34754496663765594</v>
      </c>
      <c r="S491" s="41">
        <f>IF(COUNTA(M487:M491)=0,0,SUM(M487:M491)/COUNTA(M487:M491))</f>
        <v>0.20416666666666669</v>
      </c>
      <c r="T491" s="7">
        <v>45</v>
      </c>
      <c r="V491" s="7">
        <f>$V$1*(H491&gt;0)+(G491&gt;2)*20</f>
        <v>26.5</v>
      </c>
      <c r="W491" s="7">
        <f t="shared" si="65"/>
        <v>1921</v>
      </c>
    </row>
    <row r="492" spans="1:23" s="7" customFormat="1" x14ac:dyDescent="0.3">
      <c r="A492" s="51">
        <f t="shared" si="55"/>
        <v>0.660416666666645</v>
      </c>
      <c r="B492" s="2" t="s">
        <v>0</v>
      </c>
      <c r="C492" s="120">
        <f t="shared" si="58"/>
        <v>43451</v>
      </c>
      <c r="D492" s="120" t="s">
        <v>225</v>
      </c>
      <c r="E492" s="4">
        <v>0.39583333333333331</v>
      </c>
      <c r="F492" s="4">
        <v>0.77430555555555547</v>
      </c>
      <c r="G492" s="5">
        <v>2</v>
      </c>
      <c r="H492" s="2">
        <v>1</v>
      </c>
      <c r="I492" s="134" t="str">
        <f t="shared" ref="I492:I510" si="66">IF(J492&lt;0,-J492,"")</f>
        <v/>
      </c>
      <c r="J492" s="152">
        <f t="shared" si="59"/>
        <v>4.8611111111109828E-3</v>
      </c>
      <c r="K492" s="34">
        <v>69</v>
      </c>
      <c r="L492" s="34">
        <v>61</v>
      </c>
      <c r="M492" s="6">
        <v>0.27083333333333331</v>
      </c>
      <c r="O492" s="143" t="str">
        <f t="shared" si="62"/>
        <v/>
      </c>
      <c r="P492" s="45"/>
      <c r="Q492" s="123">
        <f>(SUM(E$2:E$21)+SUM(E$25:E$154)+SUM(E$156:E492))/(COUNTA(E$2:E492)-4)</f>
        <v>0.38003516624040923</v>
      </c>
      <c r="R492" s="46">
        <f>(SUM(H$2:H492)*E$1+A492)/SUM(H$2:H492)</f>
        <v>0.34755316840277772</v>
      </c>
      <c r="S492" s="61"/>
      <c r="V492" s="7">
        <f>$V$1*(H492&gt;0)+(G492&gt;2)*20</f>
        <v>26.5</v>
      </c>
      <c r="W492" s="7">
        <f t="shared" si="65"/>
        <v>1947.5</v>
      </c>
    </row>
    <row r="493" spans="1:23" s="7" customFormat="1" x14ac:dyDescent="0.3">
      <c r="A493" s="52">
        <f t="shared" si="55"/>
        <v>0.64444444444442284</v>
      </c>
      <c r="B493" s="8" t="s">
        <v>1</v>
      </c>
      <c r="C493" s="121">
        <f t="shared" si="58"/>
        <v>43452</v>
      </c>
      <c r="D493" s="121" t="s">
        <v>226</v>
      </c>
      <c r="E493" s="10">
        <v>0.39930555555555558</v>
      </c>
      <c r="F493" s="10">
        <v>0.75694444444444453</v>
      </c>
      <c r="G493" s="11">
        <v>2</v>
      </c>
      <c r="H493" s="45">
        <v>1</v>
      </c>
      <c r="I493" s="135">
        <f t="shared" si="66"/>
        <v>1.5972222222222221E-2</v>
      </c>
      <c r="J493" s="153">
        <f t="shared" si="59"/>
        <v>-1.5972222222222221E-2</v>
      </c>
      <c r="K493" s="35">
        <v>61</v>
      </c>
      <c r="L493" s="35">
        <v>61</v>
      </c>
      <c r="M493" s="12">
        <v>0.22916666666666666</v>
      </c>
      <c r="O493" s="143" t="str">
        <f t="shared" si="62"/>
        <v/>
      </c>
      <c r="P493" s="45"/>
      <c r="Q493" s="123">
        <f>(SUM(E$2:E$21)+SUM(E$25:E$154)+SUM(E$156:E493))/(COUNTA(E$2:E493)-4)</f>
        <v>0.38008432539682546</v>
      </c>
      <c r="R493" s="46">
        <f>(SUM(H$2:H493)*E$1+A493)/SUM(H$2:H493)</f>
        <v>0.34750721500721499</v>
      </c>
      <c r="S493" s="62"/>
      <c r="V493" s="7">
        <f>$V$1*(H493&gt;0)+5</f>
        <v>31.5</v>
      </c>
      <c r="W493" s="7">
        <f t="shared" si="65"/>
        <v>1979</v>
      </c>
    </row>
    <row r="494" spans="1:23" s="7" customFormat="1" x14ac:dyDescent="0.3">
      <c r="A494" s="52">
        <f t="shared" si="55"/>
        <v>0.61458333333331172</v>
      </c>
      <c r="B494" s="8" t="s">
        <v>2</v>
      </c>
      <c r="C494" s="121">
        <f t="shared" si="58"/>
        <v>43453</v>
      </c>
      <c r="D494" s="121" t="s">
        <v>227</v>
      </c>
      <c r="E494" s="10">
        <v>0.38541666666666669</v>
      </c>
      <c r="F494" s="10">
        <v>0.75694444444444453</v>
      </c>
      <c r="G494" s="11">
        <v>4</v>
      </c>
      <c r="H494" s="45">
        <v>1</v>
      </c>
      <c r="I494" s="135">
        <f t="shared" si="66"/>
        <v>2.9861111111111061E-2</v>
      </c>
      <c r="J494" s="153">
        <f t="shared" si="59"/>
        <v>-2.9861111111111061E-2</v>
      </c>
      <c r="K494" s="35"/>
      <c r="L494" s="35">
        <v>39</v>
      </c>
      <c r="M494" s="12">
        <v>0.33333333333333331</v>
      </c>
      <c r="O494" s="143" t="str">
        <f t="shared" si="62"/>
        <v/>
      </c>
      <c r="P494" s="45"/>
      <c r="Q494" s="123">
        <f>(SUM(E$2:E$21)+SUM(E$25:E$154)+SUM(E$156:E494))/(COUNTA(E$2:E494)-4)</f>
        <v>0.38009789369522196</v>
      </c>
      <c r="R494" s="46">
        <f>(SUM(H$2:H494)*E$1+A494)/SUM(H$2:H494)</f>
        <v>0.34742551813471501</v>
      </c>
      <c r="S494" s="62"/>
      <c r="V494" s="7">
        <f>$V$1*(H494&gt;0)+(G494&gt;2)*20+5</f>
        <v>51.5</v>
      </c>
      <c r="W494" s="7">
        <f t="shared" si="65"/>
        <v>2030.5</v>
      </c>
    </row>
    <row r="495" spans="1:23" s="7" customFormat="1" x14ac:dyDescent="0.3">
      <c r="A495" s="52">
        <f t="shared" si="55"/>
        <v>0.62638888888886735</v>
      </c>
      <c r="B495" s="8" t="s">
        <v>3</v>
      </c>
      <c r="C495" s="121">
        <f t="shared" si="58"/>
        <v>43454</v>
      </c>
      <c r="D495" s="121" t="s">
        <v>349</v>
      </c>
      <c r="E495" s="10">
        <v>0.38541666666666669</v>
      </c>
      <c r="F495" s="10">
        <v>0.75694444444444453</v>
      </c>
      <c r="G495" s="11">
        <v>0</v>
      </c>
      <c r="H495" s="45">
        <v>1</v>
      </c>
      <c r="I495" s="135" t="str">
        <f t="shared" si="66"/>
        <v/>
      </c>
      <c r="J495" s="153">
        <f t="shared" si="59"/>
        <v>1.1805555555555569E-2</v>
      </c>
      <c r="K495" s="35"/>
      <c r="L495" s="35">
        <v>47</v>
      </c>
      <c r="M495" s="12">
        <v>0.16666666666666666</v>
      </c>
      <c r="O495" s="143" t="str">
        <f t="shared" si="62"/>
        <v/>
      </c>
      <c r="P495" s="45"/>
      <c r="Q495" s="123">
        <f>(SUM(E$2:E$21)+SUM(E$25:E$154)+SUM(E$156:E495))/(COUNTA(E$2:E495)-4)</f>
        <v>0.38011139311900738</v>
      </c>
      <c r="R495" s="46">
        <f>(SUM(H$2:H495)*E$1+A495)/SUM(H$2:H495)</f>
        <v>0.34745190927361469</v>
      </c>
      <c r="S495" s="62"/>
      <c r="V495" s="7">
        <f>$V$1*(H495&gt;0)+5</f>
        <v>31.5</v>
      </c>
      <c r="W495" s="7">
        <f t="shared" si="65"/>
        <v>2062</v>
      </c>
    </row>
    <row r="496" spans="1:23" s="7" customFormat="1" x14ac:dyDescent="0.3">
      <c r="A496" s="53">
        <f t="shared" si="55"/>
        <v>0.61666666666664505</v>
      </c>
      <c r="B496" s="13" t="s">
        <v>4</v>
      </c>
      <c r="C496" s="117">
        <f t="shared" si="58"/>
        <v>43455</v>
      </c>
      <c r="D496" s="117" t="s">
        <v>350</v>
      </c>
      <c r="E496" s="15">
        <v>0.38541666666666669</v>
      </c>
      <c r="F496" s="15">
        <v>0.54861111111111105</v>
      </c>
      <c r="G496" s="16">
        <v>0</v>
      </c>
      <c r="H496" s="17">
        <v>0.5</v>
      </c>
      <c r="I496" s="136">
        <f>IF(J496&lt;0,-J496,"")</f>
        <v>9.7222222222223265E-3</v>
      </c>
      <c r="J496" s="154">
        <f t="shared" si="59"/>
        <v>-9.7222222222223265E-3</v>
      </c>
      <c r="K496" s="36"/>
      <c r="L496" s="36">
        <v>43</v>
      </c>
      <c r="M496" s="18">
        <v>0.20833333333333334</v>
      </c>
      <c r="O496" s="143">
        <f t="shared" si="62"/>
        <v>3.8888888888888973E-2</v>
      </c>
      <c r="P496" s="137">
        <f>A496-A491</f>
        <v>-3.8888888888888973E-2</v>
      </c>
      <c r="Q496" s="123">
        <f>(SUM(E$2:E$21)+SUM(E$25:E$154)+SUM(E$156:E496))/(COUNTA(E$2:E496)-4)</f>
        <v>0.38012482419127991</v>
      </c>
      <c r="R496" s="46">
        <f>(SUM(H$2:H496)*E$1+A496)/SUM(H$2:H496)</f>
        <v>0.34742473118279571</v>
      </c>
      <c r="S496" s="41">
        <f>IF(COUNTA(M492:M496)=0,0,SUM(M492:M496)/COUNTA(M492:M496))</f>
        <v>0.24166666666666664</v>
      </c>
      <c r="T496" s="7">
        <v>42</v>
      </c>
      <c r="V496" s="7">
        <f>$V$1*(H496&gt;0)+(G496&gt;2)*20</f>
        <v>26.5</v>
      </c>
      <c r="W496" s="7">
        <f t="shared" si="65"/>
        <v>2088.5</v>
      </c>
    </row>
    <row r="497" spans="1:23" s="7" customFormat="1" x14ac:dyDescent="0.3">
      <c r="A497" s="51">
        <f t="shared" si="55"/>
        <v>0.61666666666664505</v>
      </c>
      <c r="B497" s="2" t="s">
        <v>0</v>
      </c>
      <c r="C497" s="120">
        <f t="shared" si="58"/>
        <v>43458</v>
      </c>
      <c r="D497" s="120" t="s">
        <v>230</v>
      </c>
      <c r="E497" s="4"/>
      <c r="F497" s="4"/>
      <c r="G497" s="5"/>
      <c r="H497" s="2"/>
      <c r="I497" s="237" t="str">
        <f t="shared" si="66"/>
        <v/>
      </c>
      <c r="J497" s="152">
        <f t="shared" si="59"/>
        <v>0</v>
      </c>
      <c r="K497" s="34"/>
      <c r="L497" s="34"/>
      <c r="M497" s="6">
        <v>0.33333333333333331</v>
      </c>
      <c r="O497" s="143" t="str">
        <f t="shared" si="62"/>
        <v/>
      </c>
      <c r="P497" s="45"/>
      <c r="Q497" s="123">
        <f>(SUM(E$2:E$21)+SUM(E$25:E$154)+SUM(E$156:E497))/(COUNTA(E$2:E497)-4)</f>
        <v>0.38012482419127991</v>
      </c>
      <c r="R497" s="46">
        <f>(SUM(H$2:H497)*E$1+A497)/SUM(H$2:H497)</f>
        <v>0.34742473118279571</v>
      </c>
      <c r="S497" s="61"/>
      <c r="V497" s="7">
        <f t="shared" ref="V497:V502" si="67">$V$1*(H497&gt;0)+(G497&gt;2)*20</f>
        <v>0</v>
      </c>
      <c r="W497" s="7">
        <f t="shared" si="65"/>
        <v>2088.5</v>
      </c>
    </row>
    <row r="498" spans="1:23" s="7" customFormat="1" x14ac:dyDescent="0.3">
      <c r="A498" s="52">
        <f t="shared" si="55"/>
        <v>0.61666666666664505</v>
      </c>
      <c r="B498" s="8" t="s">
        <v>1</v>
      </c>
      <c r="C498" s="74">
        <f t="shared" si="58"/>
        <v>43459</v>
      </c>
      <c r="D498" s="74" t="s">
        <v>231</v>
      </c>
      <c r="E498" s="10"/>
      <c r="F498" s="10"/>
      <c r="G498" s="11"/>
      <c r="H498" s="45"/>
      <c r="I498" s="236" t="str">
        <f t="shared" si="66"/>
        <v/>
      </c>
      <c r="J498" s="153">
        <f t="shared" si="59"/>
        <v>0</v>
      </c>
      <c r="K498" s="35"/>
      <c r="L498" s="35"/>
      <c r="M498" s="12">
        <v>0.33333333333333331</v>
      </c>
      <c r="O498" s="143" t="str">
        <f t="shared" si="62"/>
        <v/>
      </c>
      <c r="P498" s="45"/>
      <c r="Q498" s="123">
        <f>(SUM(E$2:E$21)+SUM(E$25:E$154)+SUM(E$156:E498))/(COUNTA(E$2:E498)-4)</f>
        <v>0.38012482419127991</v>
      </c>
      <c r="R498" s="46">
        <f>(SUM(H$2:H498)*E$1+A498)/SUM(H$2:H498)</f>
        <v>0.34742473118279571</v>
      </c>
      <c r="S498" s="62"/>
      <c r="V498" s="7">
        <f t="shared" si="67"/>
        <v>0</v>
      </c>
      <c r="W498" s="7">
        <f t="shared" si="65"/>
        <v>2088.5</v>
      </c>
    </row>
    <row r="499" spans="1:23" s="7" customFormat="1" x14ac:dyDescent="0.3">
      <c r="A499" s="52">
        <f t="shared" si="55"/>
        <v>0.61666666666664505</v>
      </c>
      <c r="B499" s="8" t="s">
        <v>2</v>
      </c>
      <c r="C499" s="121">
        <f t="shared" si="58"/>
        <v>43460</v>
      </c>
      <c r="D499" s="121" t="s">
        <v>232</v>
      </c>
      <c r="E499" s="10"/>
      <c r="F499" s="10"/>
      <c r="G499" s="11"/>
      <c r="H499" s="45"/>
      <c r="I499" s="236" t="str">
        <f t="shared" si="66"/>
        <v/>
      </c>
      <c r="J499" s="153">
        <f t="shared" si="59"/>
        <v>0</v>
      </c>
      <c r="K499" s="35"/>
      <c r="L499" s="35"/>
      <c r="M499" s="12">
        <v>0.29166666666666669</v>
      </c>
      <c r="O499" s="143" t="str">
        <f t="shared" si="62"/>
        <v/>
      </c>
      <c r="P499" s="45"/>
      <c r="Q499" s="123">
        <f>(SUM(E$2:E$21)+SUM(E$25:E$154)+SUM(E$156:E499))/(COUNTA(E$2:E499)-4)</f>
        <v>0.38012482419127991</v>
      </c>
      <c r="R499" s="46">
        <f>(SUM(H$2:H499)*E$1+A499)/SUM(H$2:H499)</f>
        <v>0.34742473118279571</v>
      </c>
      <c r="S499" s="62"/>
      <c r="V499" s="7">
        <f t="shared" si="67"/>
        <v>0</v>
      </c>
      <c r="W499" s="7">
        <f t="shared" si="65"/>
        <v>2088.5</v>
      </c>
    </row>
    <row r="500" spans="1:23" s="7" customFormat="1" x14ac:dyDescent="0.3">
      <c r="A500" s="52">
        <f t="shared" si="55"/>
        <v>0.61666666666664505</v>
      </c>
      <c r="B500" s="8" t="s">
        <v>3</v>
      </c>
      <c r="C500" s="121">
        <f t="shared" si="58"/>
        <v>43461</v>
      </c>
      <c r="D500" s="121" t="s">
        <v>351</v>
      </c>
      <c r="E500" s="10"/>
      <c r="F500" s="10"/>
      <c r="G500" s="11"/>
      <c r="H500" s="45"/>
      <c r="I500" s="236" t="str">
        <f t="shared" si="66"/>
        <v/>
      </c>
      <c r="J500" s="153">
        <f t="shared" si="59"/>
        <v>0</v>
      </c>
      <c r="K500" s="35"/>
      <c r="L500" s="35">
        <v>54</v>
      </c>
      <c r="M500" s="12">
        <v>0.25</v>
      </c>
      <c r="O500" s="143" t="str">
        <f t="shared" si="62"/>
        <v/>
      </c>
      <c r="P500" s="45"/>
      <c r="Q500" s="123">
        <f>(SUM(E$2:E$21)+SUM(E$25:E$154)+SUM(E$156:E500))/(COUNTA(E$2:E500)-4)</f>
        <v>0.38012482419127991</v>
      </c>
      <c r="R500" s="46">
        <f>(SUM(H$2:H500)*E$1+A500)/SUM(H$2:H500)</f>
        <v>0.34742473118279571</v>
      </c>
      <c r="S500" s="62"/>
      <c r="V500" s="7">
        <f t="shared" si="67"/>
        <v>0</v>
      </c>
      <c r="W500" s="7">
        <f t="shared" si="65"/>
        <v>2088.5</v>
      </c>
    </row>
    <row r="501" spans="1:23" s="7" customFormat="1" x14ac:dyDescent="0.3">
      <c r="A501" s="53">
        <f t="shared" si="55"/>
        <v>0.61666666666664505</v>
      </c>
      <c r="B501" s="13" t="s">
        <v>4</v>
      </c>
      <c r="C501" s="117">
        <f t="shared" si="58"/>
        <v>43462</v>
      </c>
      <c r="D501" s="117" t="s">
        <v>352</v>
      </c>
      <c r="E501" s="15"/>
      <c r="F501" s="15"/>
      <c r="G501" s="16"/>
      <c r="H501" s="17"/>
      <c r="I501" s="256" t="str">
        <f>IF(J501&lt;0,-J501,"")</f>
        <v/>
      </c>
      <c r="J501" s="154">
        <f t="shared" si="59"/>
        <v>0</v>
      </c>
      <c r="K501" s="36"/>
      <c r="L501" s="36"/>
      <c r="M501" s="18">
        <v>0.25</v>
      </c>
      <c r="O501" s="143" t="str">
        <f t="shared" si="62"/>
        <v/>
      </c>
      <c r="P501" s="137">
        <f>A501-A496</f>
        <v>0</v>
      </c>
      <c r="Q501" s="123">
        <f>(SUM(E$2:E$21)+SUM(E$25:E$154)+SUM(E$156:E501))/(COUNTA(E$2:E501)-4)</f>
        <v>0.38012482419127991</v>
      </c>
      <c r="R501" s="46">
        <f>(SUM(H$2:H501)*E$1+A501)/SUM(H$2:H501)</f>
        <v>0.34742473118279571</v>
      </c>
      <c r="S501" s="41">
        <f>IF(COUNTA(M497:M501)=0,0,SUM(M497:M501)/COUNTA(M497:M501))</f>
        <v>0.29166666666666663</v>
      </c>
      <c r="T501" s="7">
        <f>T496+30</f>
        <v>72</v>
      </c>
      <c r="V501" s="7">
        <f t="shared" si="67"/>
        <v>0</v>
      </c>
      <c r="W501" s="7">
        <f t="shared" si="65"/>
        <v>2088.5</v>
      </c>
    </row>
    <row r="502" spans="1:23" s="7" customFormat="1" x14ac:dyDescent="0.3">
      <c r="A502" s="51">
        <f t="shared" si="55"/>
        <v>0.61666666666664505</v>
      </c>
      <c r="B502" s="2" t="s">
        <v>0</v>
      </c>
      <c r="C502" s="120">
        <f t="shared" si="58"/>
        <v>43465</v>
      </c>
      <c r="D502" s="120" t="s">
        <v>235</v>
      </c>
      <c r="E502" s="4"/>
      <c r="F502" s="4"/>
      <c r="G502" s="5"/>
      <c r="H502" s="2"/>
      <c r="I502" s="237" t="str">
        <f t="shared" si="66"/>
        <v/>
      </c>
      <c r="J502" s="152">
        <f t="shared" si="59"/>
        <v>0</v>
      </c>
      <c r="K502" s="34"/>
      <c r="L502" s="34"/>
      <c r="M502" s="6">
        <v>0.29166666666666669</v>
      </c>
      <c r="N502" s="7">
        <f>SUM(H482:H502)</f>
        <v>14</v>
      </c>
      <c r="O502" s="143" t="str">
        <f t="shared" si="62"/>
        <v/>
      </c>
      <c r="P502" s="45"/>
      <c r="Q502" s="123">
        <f>(SUM(E$2:E$21)+SUM(E$25:E$154)+SUM(E$156:E502))/(COUNTA(E$2:E502)-4)</f>
        <v>0.38012482419127991</v>
      </c>
      <c r="R502" s="46">
        <f>(SUM(H$2:H502)*E$1+A502)/SUM(H$2:H502)</f>
        <v>0.34742473118279571</v>
      </c>
      <c r="S502" s="61"/>
      <c r="V502" s="7">
        <f t="shared" si="67"/>
        <v>0</v>
      </c>
      <c r="W502" s="7">
        <f t="shared" si="65"/>
        <v>2088.5</v>
      </c>
    </row>
    <row r="503" spans="1:23" s="7" customFormat="1" x14ac:dyDescent="0.3">
      <c r="A503" s="52">
        <f t="shared" si="55"/>
        <v>0.61666666666664505</v>
      </c>
      <c r="B503" s="8" t="s">
        <v>1</v>
      </c>
      <c r="C503" s="74">
        <f t="shared" si="58"/>
        <v>43466</v>
      </c>
      <c r="D503" s="74" t="s">
        <v>236</v>
      </c>
      <c r="E503" s="10"/>
      <c r="F503" s="10"/>
      <c r="G503" s="11"/>
      <c r="H503" s="45"/>
      <c r="I503" s="236" t="str">
        <f t="shared" si="66"/>
        <v/>
      </c>
      <c r="J503" s="153">
        <f t="shared" si="59"/>
        <v>0</v>
      </c>
      <c r="K503" s="35"/>
      <c r="L503" s="35">
        <v>79</v>
      </c>
      <c r="M503" s="12">
        <v>0.20833333333333334</v>
      </c>
      <c r="O503" s="143" t="str">
        <f t="shared" si="62"/>
        <v/>
      </c>
      <c r="P503" s="45"/>
      <c r="Q503" s="123">
        <f>(SUM(E$2:E$21)+SUM(E$25:E$154)+SUM(E$156:E503))/(COUNTA(E$2:E503)-4)</f>
        <v>0.38012482419127991</v>
      </c>
      <c r="R503" s="46">
        <f>(SUM(H$2:H503)*E$1+A503)/SUM(H$2:H503)</f>
        <v>0.34742473118279571</v>
      </c>
      <c r="S503" s="62"/>
      <c r="V503" s="7">
        <f>$V$1*(H503&gt;0)+5</f>
        <v>5</v>
      </c>
      <c r="W503" s="7">
        <f t="shared" si="65"/>
        <v>2093.5</v>
      </c>
    </row>
    <row r="504" spans="1:23" s="7" customFormat="1" x14ac:dyDescent="0.3">
      <c r="A504" s="52">
        <f t="shared" si="55"/>
        <v>0.62847222222220056</v>
      </c>
      <c r="B504" s="8" t="s">
        <v>2</v>
      </c>
      <c r="C504" s="121">
        <f t="shared" si="58"/>
        <v>43467</v>
      </c>
      <c r="D504" s="121" t="s">
        <v>237</v>
      </c>
      <c r="E504" s="10">
        <v>0.3611111111111111</v>
      </c>
      <c r="F504" s="10">
        <v>0.77430555555555547</v>
      </c>
      <c r="G504" s="11">
        <v>4</v>
      </c>
      <c r="H504" s="45">
        <v>1</v>
      </c>
      <c r="I504" s="135" t="str">
        <f t="shared" si="66"/>
        <v/>
      </c>
      <c r="J504" s="153">
        <f t="shared" si="59"/>
        <v>1.1805555555555458E-2</v>
      </c>
      <c r="K504" s="35"/>
      <c r="L504" s="35">
        <v>69</v>
      </c>
      <c r="M504" s="12">
        <v>0.20833333333333334</v>
      </c>
      <c r="O504" s="143" t="str">
        <f t="shared" si="62"/>
        <v/>
      </c>
      <c r="P504" s="45"/>
      <c r="Q504" s="123">
        <f>(SUM(E$2:E$21)+SUM(E$25:E$154)+SUM(E$156:E504))/(COUNTA(E$2:E504)-4)</f>
        <v>0.3800768097643098</v>
      </c>
      <c r="R504" s="46">
        <f>(SUM(H$2:H504)*E$1+A504)/SUM(H$2:H504)</f>
        <v>0.34745102245102244</v>
      </c>
      <c r="S504" s="62"/>
      <c r="U504"/>
      <c r="V504" s="7">
        <f>$V$1*(H504&gt;0)+12+5</f>
        <v>43.5</v>
      </c>
      <c r="W504" s="7">
        <f t="shared" si="65"/>
        <v>2137</v>
      </c>
    </row>
    <row r="505" spans="1:23" s="7" customFormat="1" x14ac:dyDescent="0.3">
      <c r="A505" s="52">
        <f t="shared" si="55"/>
        <v>0.63333333333331165</v>
      </c>
      <c r="B505" s="8" t="s">
        <v>3</v>
      </c>
      <c r="C505" s="121">
        <f t="shared" si="58"/>
        <v>43468</v>
      </c>
      <c r="D505" s="121" t="s">
        <v>353</v>
      </c>
      <c r="E505" s="10">
        <v>0.375</v>
      </c>
      <c r="F505" s="10">
        <v>0.76736111111111116</v>
      </c>
      <c r="G505" s="11">
        <v>3</v>
      </c>
      <c r="H505" s="45">
        <v>1</v>
      </c>
      <c r="I505" s="135" t="str">
        <f t="shared" si="66"/>
        <v/>
      </c>
      <c r="J505" s="153">
        <f t="shared" si="59"/>
        <v>4.8611111111110938E-3</v>
      </c>
      <c r="K505" s="35"/>
      <c r="L505" s="35">
        <v>70</v>
      </c>
      <c r="M505" s="12">
        <v>0.14583333333333334</v>
      </c>
      <c r="O505" s="143" t="str">
        <f t="shared" si="62"/>
        <v/>
      </c>
      <c r="P505" s="45"/>
      <c r="Q505" s="123">
        <f>(SUM(E$2:E$21)+SUM(E$25:E$154)+SUM(E$156:E505))/(COUNTA(E$2:E505)-4)</f>
        <v>0.38006402183039467</v>
      </c>
      <c r="R505" s="46">
        <f>(SUM(H$2:H505)*E$1+A505)/SUM(H$2:H505)</f>
        <v>0.34745934959349595</v>
      </c>
      <c r="S505" s="62"/>
      <c r="V505" s="7">
        <f>$V$1*(H505&gt;0)+(G505&gt;2)*20+5</f>
        <v>51.5</v>
      </c>
      <c r="W505" s="7">
        <f t="shared" si="65"/>
        <v>2188.5</v>
      </c>
    </row>
    <row r="506" spans="1:23" s="7" customFormat="1" x14ac:dyDescent="0.3">
      <c r="A506" s="53">
        <f t="shared" si="55"/>
        <v>0.55833333333331159</v>
      </c>
      <c r="B506" s="13" t="s">
        <v>4</v>
      </c>
      <c r="C506" s="117">
        <f t="shared" si="58"/>
        <v>43469</v>
      </c>
      <c r="D506" s="117" t="s">
        <v>354</v>
      </c>
      <c r="E506" s="15">
        <v>0.37847222222222227</v>
      </c>
      <c r="F506" s="15">
        <v>0.66319444444444442</v>
      </c>
      <c r="G506" s="16">
        <v>0</v>
      </c>
      <c r="H506" s="17">
        <v>1</v>
      </c>
      <c r="I506" s="136">
        <f>IF(J506&lt;0,-J506,"")</f>
        <v>7.5000000000000122E-2</v>
      </c>
      <c r="J506" s="154">
        <f t="shared" si="59"/>
        <v>-7.5000000000000122E-2</v>
      </c>
      <c r="K506" s="36"/>
      <c r="L506" s="36"/>
      <c r="M506" s="18">
        <v>0.20833333333333334</v>
      </c>
      <c r="O506" s="143">
        <f t="shared" si="62"/>
        <v>5.8333333333333459E-2</v>
      </c>
      <c r="P506" s="137">
        <f>A506-A501</f>
        <v>-5.8333333333333459E-2</v>
      </c>
      <c r="Q506" s="123">
        <f>(SUM(E$2:E$21)+SUM(E$25:E$154)+SUM(E$156:E506))/(COUNTA(E$2:E506)-4)</f>
        <v>0.38006002233389174</v>
      </c>
      <c r="R506" s="46">
        <f>(SUM(H$2:H506)*E$1+A506)/SUM(H$2:H506)</f>
        <v>0.34726312419974387</v>
      </c>
      <c r="S506" s="41">
        <f>IF(COUNTA(M502:M506)=0,0,SUM(M502:M506)/COUNTA(M502:M506))</f>
        <v>0.21249999999999999</v>
      </c>
      <c r="T506" s="7">
        <f>T501-10</f>
        <v>62</v>
      </c>
      <c r="V506" s="7">
        <f>$V$1*(H506&gt;0)+(G506&gt;2)*20</f>
        <v>26.5</v>
      </c>
      <c r="W506" s="7">
        <f t="shared" si="65"/>
        <v>2215</v>
      </c>
    </row>
    <row r="507" spans="1:23" s="7" customFormat="1" x14ac:dyDescent="0.3">
      <c r="A507" s="51">
        <f t="shared" si="55"/>
        <v>0.56319444444442257</v>
      </c>
      <c r="B507" s="2" t="s">
        <v>0</v>
      </c>
      <c r="C507" s="120">
        <f t="shared" si="58"/>
        <v>43472</v>
      </c>
      <c r="D507" s="120" t="s">
        <v>240</v>
      </c>
      <c r="E507" s="4">
        <v>0.39583333333333331</v>
      </c>
      <c r="F507" s="4">
        <v>0.76041666666666663</v>
      </c>
      <c r="G507" s="5">
        <v>1</v>
      </c>
      <c r="H507" s="2">
        <v>1</v>
      </c>
      <c r="I507" s="134" t="str">
        <f t="shared" si="66"/>
        <v/>
      </c>
      <c r="J507" s="152">
        <f t="shared" si="59"/>
        <v>4.8611111111110383E-3</v>
      </c>
      <c r="K507" s="34">
        <v>84</v>
      </c>
      <c r="L507" s="34">
        <v>69</v>
      </c>
      <c r="M507" s="6">
        <v>0.20833333333333334</v>
      </c>
      <c r="O507" s="143" t="str">
        <f t="shared" si="62"/>
        <v/>
      </c>
      <c r="P507" s="45"/>
      <c r="Q507" s="123">
        <f>(SUM(E$2:E$21)+SUM(E$25:E$154)+SUM(E$156:E507))/(COUNTA(E$2:E507)-4)</f>
        <v>0.38009955444165977</v>
      </c>
      <c r="R507" s="46">
        <f>(SUM(H$2:H507)*E$1+A507)/SUM(H$2:H507)</f>
        <v>0.34727188874698456</v>
      </c>
      <c r="S507" s="61"/>
      <c r="V507" s="7">
        <f>$V$1*(H507&gt;0)+(G507&gt;2)*20</f>
        <v>26.5</v>
      </c>
      <c r="W507" s="7">
        <f t="shared" si="65"/>
        <v>2241.5</v>
      </c>
    </row>
    <row r="508" spans="1:23" s="7" customFormat="1" x14ac:dyDescent="0.3">
      <c r="A508" s="52">
        <f t="shared" si="55"/>
        <v>0.56458333333331134</v>
      </c>
      <c r="B508" s="8" t="s">
        <v>1</v>
      </c>
      <c r="C508" s="121">
        <f t="shared" si="58"/>
        <v>43473</v>
      </c>
      <c r="D508" s="121" t="s">
        <v>241</v>
      </c>
      <c r="E508" s="10">
        <v>0.39930555555555558</v>
      </c>
      <c r="F508" s="10">
        <v>0.76041666666666663</v>
      </c>
      <c r="G508" s="11">
        <v>1</v>
      </c>
      <c r="H508" s="45">
        <v>1</v>
      </c>
      <c r="I508" s="135" t="str">
        <f t="shared" si="66"/>
        <v/>
      </c>
      <c r="J508" s="153">
        <f t="shared" si="59"/>
        <v>1.3888888888887729E-3</v>
      </c>
      <c r="K508" s="35"/>
      <c r="L508" s="35">
        <v>65</v>
      </c>
      <c r="M508" s="12">
        <v>0.20833333333333334</v>
      </c>
      <c r="O508" s="143" t="str">
        <f t="shared" si="62"/>
        <v/>
      </c>
      <c r="P508" s="45"/>
      <c r="Q508" s="123">
        <f>(SUM(E$2:E$21)+SUM(E$25:E$154)+SUM(E$156:E508))/(COUNTA(E$2:E508)-4)</f>
        <v>0.3801475694444445</v>
      </c>
      <c r="R508" s="46">
        <f>(SUM(H$2:H508)*E$1+A508)/SUM(H$2:H508)</f>
        <v>0.34727176220806788</v>
      </c>
      <c r="S508" s="62"/>
      <c r="V508" s="7">
        <f>$V$1*(H508&gt;0)+5</f>
        <v>31.5</v>
      </c>
      <c r="W508" s="7">
        <f t="shared" si="65"/>
        <v>2273</v>
      </c>
    </row>
    <row r="509" spans="1:23" s="7" customFormat="1" x14ac:dyDescent="0.3">
      <c r="A509" s="52">
        <f t="shared" si="55"/>
        <v>0.52083333333331128</v>
      </c>
      <c r="B509" s="8" t="s">
        <v>2</v>
      </c>
      <c r="C509" s="121">
        <f t="shared" si="58"/>
        <v>43474</v>
      </c>
      <c r="D509" s="121" t="s">
        <v>242</v>
      </c>
      <c r="E509" s="10">
        <v>0.38541666666666669</v>
      </c>
      <c r="F509" s="10">
        <v>0.75694444444444453</v>
      </c>
      <c r="G509" s="11">
        <v>5</v>
      </c>
      <c r="H509" s="45">
        <v>1</v>
      </c>
      <c r="I509" s="135">
        <f t="shared" si="66"/>
        <v>4.3750000000000011E-2</v>
      </c>
      <c r="J509" s="153">
        <f t="shared" si="59"/>
        <v>-4.3750000000000011E-2</v>
      </c>
      <c r="K509" s="35">
        <v>62</v>
      </c>
      <c r="L509" s="35"/>
      <c r="M509" s="12">
        <v>0.29166666666666669</v>
      </c>
      <c r="O509" s="143" t="str">
        <f t="shared" si="62"/>
        <v/>
      </c>
      <c r="P509" s="45"/>
      <c r="Q509" s="123">
        <f>(SUM(E$2:E$21)+SUM(E$25:E$154)+SUM(E$156:E509))/(COUNTA(E$2:E509)-4)</f>
        <v>0.3801607093377668</v>
      </c>
      <c r="R509" s="46">
        <f>(SUM(H$2:H509)*E$1+A509)/SUM(H$2:H509)</f>
        <v>0.34715692503176615</v>
      </c>
      <c r="S509" s="62"/>
      <c r="V509" s="7">
        <f>$V$1*(H509&gt;0)+(G509&gt;2)*20+5</f>
        <v>51.5</v>
      </c>
      <c r="W509" s="7">
        <f t="shared" si="65"/>
        <v>2324.5</v>
      </c>
    </row>
    <row r="510" spans="1:23" s="7" customFormat="1" x14ac:dyDescent="0.3">
      <c r="A510" s="52">
        <f t="shared" si="55"/>
        <v>0.53958333333331132</v>
      </c>
      <c r="B510" s="8" t="s">
        <v>3</v>
      </c>
      <c r="C510" s="121">
        <f t="shared" si="58"/>
        <v>43475</v>
      </c>
      <c r="D510" s="121" t="s">
        <v>355</v>
      </c>
      <c r="E510" s="10">
        <v>0.3888888888888889</v>
      </c>
      <c r="F510" s="10">
        <v>0.76736111111111116</v>
      </c>
      <c r="G510" s="11">
        <v>0</v>
      </c>
      <c r="H510" s="45">
        <v>1</v>
      </c>
      <c r="I510" s="135" t="str">
        <f t="shared" si="66"/>
        <v/>
      </c>
      <c r="J510" s="153">
        <f t="shared" si="59"/>
        <v>1.8749999999999989E-2</v>
      </c>
      <c r="K510" s="35"/>
      <c r="L510" s="35"/>
      <c r="M510" s="12">
        <v>0.10416666666666667</v>
      </c>
      <c r="O510" s="143" t="str">
        <f t="shared" si="62"/>
        <v/>
      </c>
      <c r="P510" s="45"/>
      <c r="Q510" s="123">
        <f>(SUM(E$2:E$21)+SUM(E$25:E$154)+SUM(E$156:E510))/(COUNTA(E$2:E510)-4)</f>
        <v>0.38018242122719742</v>
      </c>
      <c r="R510" s="46">
        <f>(SUM(H$2:H510)*E$1+A510)/SUM(H$2:H510)</f>
        <v>0.34720109843683983</v>
      </c>
      <c r="S510" s="62"/>
      <c r="V510" s="7">
        <f>$V$1*(H510&gt;0)+5</f>
        <v>31.5</v>
      </c>
      <c r="W510" s="7">
        <f t="shared" si="65"/>
        <v>2356</v>
      </c>
    </row>
    <row r="511" spans="1:23" s="7" customFormat="1" x14ac:dyDescent="0.3">
      <c r="A511" s="53">
        <f t="shared" ref="A511:A574" si="68">A510+J511</f>
        <v>0.45763888888886683</v>
      </c>
      <c r="B511" s="13" t="s">
        <v>4</v>
      </c>
      <c r="C511" s="117">
        <f t="shared" si="58"/>
        <v>43476</v>
      </c>
      <c r="D511" s="117" t="s">
        <v>356</v>
      </c>
      <c r="E511" s="15">
        <v>0.38194444444444442</v>
      </c>
      <c r="F511" s="15">
        <v>0.65972222222222221</v>
      </c>
      <c r="G511" s="16">
        <v>1</v>
      </c>
      <c r="H511" s="17">
        <v>1</v>
      </c>
      <c r="I511" s="136">
        <f>IF(J511&lt;0,-J511,"")</f>
        <v>8.1944444444444486E-2</v>
      </c>
      <c r="J511" s="154">
        <f t="shared" si="59"/>
        <v>-8.1944444444444486E-2</v>
      </c>
      <c r="K511" s="36"/>
      <c r="L511" s="36"/>
      <c r="M511" s="18">
        <v>0.29166666666666669</v>
      </c>
      <c r="O511" s="143">
        <f t="shared" si="62"/>
        <v>0.10069444444444475</v>
      </c>
      <c r="P511" s="137">
        <f>A511-A506</f>
        <v>-0.10069444444444475</v>
      </c>
      <c r="Q511" s="123">
        <f>(SUM(E$2:E$21)+SUM(E$25:E$154)+SUM(E$156:E511))/(COUNTA(E$2:E511)-4)</f>
        <v>0.38018679349324513</v>
      </c>
      <c r="R511" s="46">
        <f>(SUM(H$2:H511)*E$1+A511)/SUM(H$2:H511)</f>
        <v>0.34699044809664287</v>
      </c>
      <c r="S511" s="41">
        <f>IF(COUNTA(M507:M511)=0,0,SUM(M507:M511)/COUNTA(M507:M511))</f>
        <v>0.22083333333333335</v>
      </c>
      <c r="T511" s="7">
        <f>T506-5</f>
        <v>57</v>
      </c>
      <c r="V511" s="7">
        <f>$V$1*(H511&gt;0)+(G511&gt;2)*20</f>
        <v>26.5</v>
      </c>
      <c r="W511" s="7">
        <f t="shared" si="65"/>
        <v>2382.5</v>
      </c>
    </row>
    <row r="512" spans="1:23" s="7" customFormat="1" x14ac:dyDescent="0.3">
      <c r="A512" s="51">
        <f t="shared" si="68"/>
        <v>0.4694444444444224</v>
      </c>
      <c r="B512" s="2" t="s">
        <v>0</v>
      </c>
      <c r="C512" s="120">
        <f t="shared" si="58"/>
        <v>43479</v>
      </c>
      <c r="D512" s="120" t="s">
        <v>245</v>
      </c>
      <c r="E512" s="4">
        <v>0.38541666666666669</v>
      </c>
      <c r="F512" s="4">
        <v>0.75694444444444453</v>
      </c>
      <c r="G512" s="5">
        <v>1</v>
      </c>
      <c r="H512" s="2">
        <v>1</v>
      </c>
      <c r="I512" s="237" t="str">
        <f t="shared" ref="I512:I530" si="69">IF(J512&lt;0,-J512,"")</f>
        <v/>
      </c>
      <c r="J512" s="152">
        <f t="shared" si="59"/>
        <v>1.1805555555555569E-2</v>
      </c>
      <c r="K512" s="34">
        <v>72</v>
      </c>
      <c r="L512" s="34">
        <v>67</v>
      </c>
      <c r="M512" s="6">
        <v>0.29166666666666669</v>
      </c>
      <c r="O512" s="143" t="str">
        <f t="shared" si="62"/>
        <v/>
      </c>
      <c r="P512" s="45"/>
      <c r="Q512" s="123">
        <f>(SUM(E$2:E$21)+SUM(E$25:E$154)+SUM(E$156:E512))/(COUNTA(E$2:E512)-4)</f>
        <v>0.38019973872387247</v>
      </c>
      <c r="R512" s="46">
        <f>(SUM(H$2:H512)*E$1+A512)/SUM(H$2:H512)</f>
        <v>0.34701730418943538</v>
      </c>
      <c r="S512" s="61"/>
      <c r="V512" s="7">
        <f>$V$1*(H512&gt;0)+(G512&gt;2)*20</f>
        <v>26.5</v>
      </c>
      <c r="W512" s="7">
        <f t="shared" si="65"/>
        <v>2409</v>
      </c>
    </row>
    <row r="513" spans="1:23" s="7" customFormat="1" x14ac:dyDescent="0.3">
      <c r="A513" s="52">
        <f t="shared" si="68"/>
        <v>0.49513888888886681</v>
      </c>
      <c r="B513" s="8" t="s">
        <v>1</v>
      </c>
      <c r="C513" s="121">
        <f t="shared" si="58"/>
        <v>43480</v>
      </c>
      <c r="D513" s="121" t="s">
        <v>246</v>
      </c>
      <c r="E513" s="10">
        <v>0.38541666666666669</v>
      </c>
      <c r="F513" s="10">
        <v>0.77083333333333337</v>
      </c>
      <c r="G513" s="11">
        <v>1</v>
      </c>
      <c r="H513" s="45">
        <v>1</v>
      </c>
      <c r="I513" s="236" t="str">
        <f t="shared" si="69"/>
        <v/>
      </c>
      <c r="J513" s="153">
        <f t="shared" si="59"/>
        <v>2.5694444444444409E-2</v>
      </c>
      <c r="K513" s="35">
        <v>72</v>
      </c>
      <c r="L513" s="35">
        <v>72</v>
      </c>
      <c r="M513" s="12">
        <v>0.13541666666666666</v>
      </c>
      <c r="O513" s="143" t="str">
        <f t="shared" si="62"/>
        <v/>
      </c>
      <c r="P513" s="45"/>
      <c r="Q513" s="123">
        <f>(SUM(E$2:E$21)+SUM(E$25:E$154)+SUM(E$156:E513))/(COUNTA(E$2:E513)-4)</f>
        <v>0.38021262002743494</v>
      </c>
      <c r="R513" s="46">
        <f>(SUM(H$2:H513)*E$1+A513)/SUM(H$2:H513)</f>
        <v>0.34707896575821107</v>
      </c>
      <c r="S513" s="62"/>
      <c r="V513" s="7">
        <f>$V$1*(H513&gt;0)+5</f>
        <v>31.5</v>
      </c>
      <c r="W513" s="7">
        <f t="shared" si="65"/>
        <v>2440.5</v>
      </c>
    </row>
    <row r="514" spans="1:23" s="7" customFormat="1" x14ac:dyDescent="0.3">
      <c r="A514" s="52">
        <f t="shared" si="68"/>
        <v>0.47222222222220001</v>
      </c>
      <c r="B514" s="8" t="s">
        <v>2</v>
      </c>
      <c r="C514" s="121">
        <f t="shared" si="58"/>
        <v>43481</v>
      </c>
      <c r="D514" s="121" t="s">
        <v>247</v>
      </c>
      <c r="E514" s="10">
        <v>0.40972222222222227</v>
      </c>
      <c r="F514" s="10">
        <v>0.76041666666666663</v>
      </c>
      <c r="G514" s="11">
        <v>2</v>
      </c>
      <c r="H514" s="45">
        <v>1</v>
      </c>
      <c r="I514" s="135">
        <f t="shared" si="69"/>
        <v>2.2916666666666807E-2</v>
      </c>
      <c r="J514" s="153">
        <f t="shared" si="59"/>
        <v>-2.2916666666666807E-2</v>
      </c>
      <c r="K514" s="35">
        <v>72</v>
      </c>
      <c r="L514" s="35">
        <v>67</v>
      </c>
      <c r="M514" s="12">
        <v>0.20833333333333334</v>
      </c>
      <c r="O514" s="143" t="str">
        <f t="shared" si="62"/>
        <v/>
      </c>
      <c r="P514" s="45"/>
      <c r="Q514" s="123">
        <f>(SUM(E$2:E$21)+SUM(E$25:E$154)+SUM(E$156:E514))/(COUNTA(E$2:E514)-4)</f>
        <v>0.38028530377668318</v>
      </c>
      <c r="R514" s="46">
        <f>(SUM(H$2:H514)*E$1+A514)/SUM(H$2:H514)</f>
        <v>0.34701833263627491</v>
      </c>
      <c r="S514" s="62"/>
      <c r="V514" s="7">
        <f>$V$1*(H514&gt;0)+5</f>
        <v>31.5</v>
      </c>
      <c r="W514" s="7">
        <f t="shared" si="65"/>
        <v>2472</v>
      </c>
    </row>
    <row r="515" spans="1:23" s="7" customFormat="1" x14ac:dyDescent="0.3">
      <c r="A515" s="52">
        <f t="shared" si="68"/>
        <v>0.48055555555553325</v>
      </c>
      <c r="B515" s="8" t="s">
        <v>3</v>
      </c>
      <c r="C515" s="121">
        <f t="shared" si="58"/>
        <v>43482</v>
      </c>
      <c r="D515" s="121" t="s">
        <v>357</v>
      </c>
      <c r="E515" s="10">
        <v>0.3923611111111111</v>
      </c>
      <c r="F515" s="10">
        <v>0.76041666666666663</v>
      </c>
      <c r="G515" s="11">
        <v>1</v>
      </c>
      <c r="H515" s="45">
        <v>1</v>
      </c>
      <c r="I515" s="135" t="str">
        <f t="shared" si="69"/>
        <v/>
      </c>
      <c r="J515" s="153">
        <f t="shared" si="59"/>
        <v>8.3333333333332482E-3</v>
      </c>
      <c r="K515" s="35"/>
      <c r="L515" s="35"/>
      <c r="M515" s="12">
        <v>0.22916666666666666</v>
      </c>
      <c r="O515" s="143" t="str">
        <f t="shared" si="62"/>
        <v/>
      </c>
      <c r="P515" s="45"/>
      <c r="Q515" s="123">
        <f>(SUM(E$2:E$21)+SUM(E$25:E$154)+SUM(E$156:E515))/(COUNTA(E$2:E515)-4)</f>
        <v>0.38031497406497417</v>
      </c>
      <c r="R515" s="46">
        <f>(SUM(H$2:H515)*E$1+A515)/SUM(H$2:H515)</f>
        <v>0.34703622583785287</v>
      </c>
      <c r="S515" s="62"/>
      <c r="V515" s="7">
        <f>$V$1*(H515&gt;0)+5</f>
        <v>31.5</v>
      </c>
      <c r="W515" s="7">
        <f t="shared" si="65"/>
        <v>2503.5</v>
      </c>
    </row>
    <row r="516" spans="1:23" s="7" customFormat="1" x14ac:dyDescent="0.3">
      <c r="A516" s="53">
        <f t="shared" si="68"/>
        <v>0.3951388888888665</v>
      </c>
      <c r="B516" s="13" t="s">
        <v>4</v>
      </c>
      <c r="C516" s="117">
        <f t="shared" si="58"/>
        <v>43483</v>
      </c>
      <c r="D516" s="117" t="s">
        <v>358</v>
      </c>
      <c r="E516" s="15">
        <v>0.3888888888888889</v>
      </c>
      <c r="F516" s="15">
        <v>0.66319444444444442</v>
      </c>
      <c r="G516" s="16">
        <v>1</v>
      </c>
      <c r="H516" s="17">
        <v>1</v>
      </c>
      <c r="I516" s="136">
        <f>IF(J516&lt;0,-J516,"")</f>
        <v>8.5416666666666752E-2</v>
      </c>
      <c r="J516" s="154">
        <f t="shared" si="59"/>
        <v>-8.5416666666666752E-2</v>
      </c>
      <c r="K516" s="36"/>
      <c r="L516" s="36">
        <v>67</v>
      </c>
      <c r="M516" s="18">
        <v>0.22916666666666666</v>
      </c>
      <c r="O516" s="143">
        <f t="shared" si="62"/>
        <v>6.2500000000000333E-2</v>
      </c>
      <c r="P516" s="137">
        <f>A516-A511</f>
        <v>-6.2500000000000333E-2</v>
      </c>
      <c r="Q516" s="123">
        <f>(SUM(E$2:E$21)+SUM(E$25:E$154)+SUM(E$156:E516))/(COUNTA(E$2:E516)-4)</f>
        <v>0.38033598856209161</v>
      </c>
      <c r="R516" s="46">
        <f>(SUM(H$2:H516)*E$1+A516)/SUM(H$2:H516)</f>
        <v>0.34681994728811211</v>
      </c>
      <c r="S516" s="41">
        <f>IF(COUNTA(M512:M516)=0,0,SUM(M512:M516)/COUNTA(M512:M516))</f>
        <v>0.21875</v>
      </c>
      <c r="T516" s="7">
        <f>T511-4</f>
        <v>53</v>
      </c>
      <c r="V516" s="7">
        <f>$V$1*(H516&gt;0)+(G516&gt;2)*20</f>
        <v>26.5</v>
      </c>
      <c r="W516" s="7">
        <f t="shared" si="65"/>
        <v>2530</v>
      </c>
    </row>
    <row r="517" spans="1:23" s="7" customFormat="1" x14ac:dyDescent="0.3">
      <c r="A517" s="51">
        <f t="shared" si="68"/>
        <v>0.43124999999997748</v>
      </c>
      <c r="B517" s="2" t="s">
        <v>0</v>
      </c>
      <c r="C517" s="120">
        <f t="shared" si="58"/>
        <v>43486</v>
      </c>
      <c r="D517" s="120" t="s">
        <v>250</v>
      </c>
      <c r="E517" s="4">
        <v>0.38541666666666669</v>
      </c>
      <c r="F517" s="4">
        <v>0.79513888888888884</v>
      </c>
      <c r="G517" s="5">
        <v>2</v>
      </c>
      <c r="H517" s="2">
        <v>1</v>
      </c>
      <c r="I517" s="134" t="str">
        <f t="shared" si="69"/>
        <v/>
      </c>
      <c r="J517" s="152">
        <f t="shared" si="59"/>
        <v>3.6111111111110983E-2</v>
      </c>
      <c r="K517" s="34">
        <v>72</v>
      </c>
      <c r="L517" s="34">
        <v>68</v>
      </c>
      <c r="M517" s="6">
        <v>0.29166666666666669</v>
      </c>
      <c r="O517" s="143" t="str">
        <f t="shared" si="62"/>
        <v/>
      </c>
      <c r="P517" s="45"/>
      <c r="Q517" s="123">
        <f>(SUM(E$2:E$21)+SUM(E$25:E$154)+SUM(E$156:E517))/(COUNTA(E$2:E517)-4)</f>
        <v>0.38034841075794634</v>
      </c>
      <c r="R517" s="46">
        <f>(SUM(H$2:H517)*E$1+A517)/SUM(H$2:H517)</f>
        <v>0.3469074304690743</v>
      </c>
      <c r="S517" s="61"/>
      <c r="V517" s="7">
        <f>$V$1*(H517&gt;0)+(G517&gt;2)*20</f>
        <v>26.5</v>
      </c>
      <c r="W517" s="7">
        <f t="shared" si="65"/>
        <v>2556.5</v>
      </c>
    </row>
    <row r="518" spans="1:23" s="7" customFormat="1" x14ac:dyDescent="0.3">
      <c r="A518" s="52">
        <f t="shared" si="68"/>
        <v>0.45347222222219963</v>
      </c>
      <c r="B518" s="8" t="s">
        <v>1</v>
      </c>
      <c r="C518" s="121">
        <f t="shared" si="58"/>
        <v>43487</v>
      </c>
      <c r="D518" s="121" t="s">
        <v>251</v>
      </c>
      <c r="E518" s="10">
        <v>0.38194444444444442</v>
      </c>
      <c r="F518" s="10">
        <v>0.76388888888888884</v>
      </c>
      <c r="G518" s="11">
        <v>0</v>
      </c>
      <c r="H518" s="45">
        <v>1</v>
      </c>
      <c r="I518" s="236" t="str">
        <f t="shared" si="69"/>
        <v/>
      </c>
      <c r="J518" s="153">
        <f t="shared" si="59"/>
        <v>2.2222222222222143E-2</v>
      </c>
      <c r="K518" s="35">
        <v>72</v>
      </c>
      <c r="L518" s="35">
        <v>67</v>
      </c>
      <c r="M518" s="12">
        <v>0.22916666666666666</v>
      </c>
      <c r="O518" s="143" t="str">
        <f t="shared" si="62"/>
        <v/>
      </c>
      <c r="P518" s="45"/>
      <c r="Q518" s="123">
        <f>(SUM(E$2:E$21)+SUM(E$25:E$154)+SUM(E$156:E518))/(COUNTA(E$2:E518)-4)</f>
        <v>0.38035230352303534</v>
      </c>
      <c r="R518" s="46">
        <f>(SUM(H$2:H518)*E$1+A518)/SUM(H$2:H518)</f>
        <v>0.34695997239475496</v>
      </c>
      <c r="S518" s="62"/>
      <c r="V518" s="7">
        <f>$V$1*(H518&gt;0)+5</f>
        <v>31.5</v>
      </c>
      <c r="W518" s="7">
        <f t="shared" si="65"/>
        <v>2588</v>
      </c>
    </row>
    <row r="519" spans="1:23" s="7" customFormat="1" x14ac:dyDescent="0.3">
      <c r="A519" s="52">
        <f t="shared" si="68"/>
        <v>0.44097222222219956</v>
      </c>
      <c r="B519" s="8" t="s">
        <v>2</v>
      </c>
      <c r="C519" s="121">
        <f t="shared" si="58"/>
        <v>43488</v>
      </c>
      <c r="D519" s="121" t="s">
        <v>252</v>
      </c>
      <c r="E519" s="10">
        <v>0.38194444444444442</v>
      </c>
      <c r="F519" s="10">
        <v>0.72916666666666663</v>
      </c>
      <c r="G519" s="11">
        <v>1</v>
      </c>
      <c r="H519" s="45">
        <v>1</v>
      </c>
      <c r="I519" s="135">
        <f t="shared" si="69"/>
        <v>1.2500000000000067E-2</v>
      </c>
      <c r="J519" s="153">
        <f t="shared" si="59"/>
        <v>-1.2500000000000067E-2</v>
      </c>
      <c r="K519" s="35">
        <v>63</v>
      </c>
      <c r="L519" s="35"/>
      <c r="M519" s="12">
        <v>0.3125</v>
      </c>
      <c r="O519" s="143" t="str">
        <f t="shared" si="62"/>
        <v/>
      </c>
      <c r="P519" s="45"/>
      <c r="Q519" s="123">
        <f>(SUM(E$2:E$21)+SUM(E$25:E$154)+SUM(E$156:E519))/(COUNTA(E$2:E519)-4)</f>
        <v>0.38035617734522859</v>
      </c>
      <c r="R519" s="46">
        <f>(SUM(H$2:H519)*E$1+A519)/SUM(H$2:H519)</f>
        <v>0.34692620129423102</v>
      </c>
      <c r="S519" s="62"/>
      <c r="V519" s="7">
        <f>$V$1*(H519&gt;0)+5</f>
        <v>31.5</v>
      </c>
      <c r="W519" s="7">
        <f t="shared" si="65"/>
        <v>2619.5</v>
      </c>
    </row>
    <row r="520" spans="1:23" s="7" customFormat="1" x14ac:dyDescent="0.3">
      <c r="A520" s="52">
        <f t="shared" si="68"/>
        <v>0.44097222222219956</v>
      </c>
      <c r="B520" s="8" t="s">
        <v>3</v>
      </c>
      <c r="C520" s="121">
        <f t="shared" ref="C520:C583" si="70">C515+7</f>
        <v>43489</v>
      </c>
      <c r="D520" s="121" t="s">
        <v>359</v>
      </c>
      <c r="E520" s="10"/>
      <c r="F520" s="10"/>
      <c r="G520" s="11"/>
      <c r="H520" s="45">
        <v>0</v>
      </c>
      <c r="I520" s="236" t="str">
        <f t="shared" si="69"/>
        <v/>
      </c>
      <c r="J520" s="153">
        <f t="shared" ref="J520:J583" si="71">IF(H520=1,F520-E520-MAX(G520,1)*$F$1-$E$1,F520-E520-$E$1*H520)</f>
        <v>0</v>
      </c>
      <c r="K520" s="35"/>
      <c r="L520" s="35"/>
      <c r="M520" s="12"/>
      <c r="O520" s="143" t="str">
        <f t="shared" si="62"/>
        <v/>
      </c>
      <c r="P520" s="45"/>
      <c r="Q520" s="123">
        <f>(SUM(E$2:E$21)+SUM(E$25:E$154)+SUM(E$156:E520))/(COUNTA(E$2:E520)-4)</f>
        <v>0.38035617734522859</v>
      </c>
      <c r="R520" s="46">
        <f>(SUM(H$2:H520)*E$1+A520)/SUM(H$2:H520)</f>
        <v>0.34692620129423102</v>
      </c>
      <c r="S520" s="62"/>
      <c r="V520" s="7">
        <f>$V$1*(H520&gt;0)+5</f>
        <v>5</v>
      </c>
      <c r="W520" s="7">
        <f t="shared" si="65"/>
        <v>2624.5</v>
      </c>
    </row>
    <row r="521" spans="1:23" s="7" customFormat="1" x14ac:dyDescent="0.3">
      <c r="A521" s="53">
        <f t="shared" si="68"/>
        <v>0.44097222222219956</v>
      </c>
      <c r="B521" s="13" t="s">
        <v>4</v>
      </c>
      <c r="C521" s="117">
        <f t="shared" si="70"/>
        <v>43490</v>
      </c>
      <c r="D521" s="117" t="s">
        <v>360</v>
      </c>
      <c r="E521" s="15"/>
      <c r="F521" s="15"/>
      <c r="G521" s="16"/>
      <c r="H521" s="17">
        <v>0</v>
      </c>
      <c r="I521" s="256" t="str">
        <f>IF(J521&lt;0,-J521,"")</f>
        <v/>
      </c>
      <c r="J521" s="154">
        <f t="shared" si="71"/>
        <v>0</v>
      </c>
      <c r="K521" s="36"/>
      <c r="L521" s="36">
        <v>47</v>
      </c>
      <c r="M521" s="18"/>
      <c r="O521" s="143" t="str">
        <f t="shared" si="62"/>
        <v/>
      </c>
      <c r="P521" s="137">
        <f>A521-A516</f>
        <v>4.5833333333333059E-2</v>
      </c>
      <c r="Q521" s="123">
        <f>(SUM(E$2:E$21)+SUM(E$25:E$154)+SUM(E$156:E521))/(COUNTA(E$2:E521)-4)</f>
        <v>0.38035617734522859</v>
      </c>
      <c r="R521" s="46">
        <f>(SUM(H$2:H521)*E$1+A521)/SUM(H$2:H521)</f>
        <v>0.34692620129423102</v>
      </c>
      <c r="S521" s="41">
        <f>IF(COUNTA(M517:M521)=0,0,SUM(M517:M521)/COUNTA(M517:M521))</f>
        <v>0.27777777777777779</v>
      </c>
      <c r="T521" s="7">
        <f>T516-3</f>
        <v>50</v>
      </c>
      <c r="V521" s="7">
        <f>$V$1*(H521&gt;0)+(G521&gt;2)*20</f>
        <v>0</v>
      </c>
      <c r="W521" s="7">
        <f t="shared" si="65"/>
        <v>2624.5</v>
      </c>
    </row>
    <row r="522" spans="1:23" s="7" customFormat="1" x14ac:dyDescent="0.3">
      <c r="A522" s="51">
        <f t="shared" si="68"/>
        <v>0.40416666666664397</v>
      </c>
      <c r="B522" s="2" t="s">
        <v>0</v>
      </c>
      <c r="C522" s="120">
        <f t="shared" si="70"/>
        <v>43493</v>
      </c>
      <c r="D522" s="120" t="s">
        <v>255</v>
      </c>
      <c r="E522" s="4">
        <v>0.3923611111111111</v>
      </c>
      <c r="F522" s="4">
        <v>0.71527777777777779</v>
      </c>
      <c r="G522" s="5">
        <v>0</v>
      </c>
      <c r="H522" s="2">
        <v>1</v>
      </c>
      <c r="I522" s="134">
        <f t="shared" si="69"/>
        <v>3.6805555555555591E-2</v>
      </c>
      <c r="J522" s="152">
        <f t="shared" si="71"/>
        <v>-3.6805555555555591E-2</v>
      </c>
      <c r="K522" s="34">
        <v>56</v>
      </c>
      <c r="L522" s="34"/>
      <c r="M522" s="6">
        <v>0.125</v>
      </c>
      <c r="O522" s="143" t="str">
        <f t="shared" si="62"/>
        <v/>
      </c>
      <c r="P522" s="45"/>
      <c r="Q522" s="123">
        <f>(SUM(E$2:E$21)+SUM(E$25:E$154)+SUM(E$156:E522))/(COUNTA(E$2:E522)-4)</f>
        <v>0.38038531553398069</v>
      </c>
      <c r="R522" s="46">
        <f>(SUM(H$2:H522)*E$1+A522)/SUM(H$2:H522)</f>
        <v>0.34683250927070453</v>
      </c>
      <c r="S522" s="61"/>
      <c r="V522" s="7">
        <f>$V$1*(H522&gt;0)+(G522&gt;2)*20+5</f>
        <v>31.5</v>
      </c>
      <c r="W522" s="7">
        <f t="shared" si="65"/>
        <v>2656</v>
      </c>
    </row>
    <row r="523" spans="1:23" s="7" customFormat="1" x14ac:dyDescent="0.3">
      <c r="A523" s="52">
        <f t="shared" si="68"/>
        <v>0.41249999999997727</v>
      </c>
      <c r="B523" s="8" t="s">
        <v>1</v>
      </c>
      <c r="C523" s="121">
        <f t="shared" si="70"/>
        <v>43494</v>
      </c>
      <c r="D523" s="121" t="s">
        <v>256</v>
      </c>
      <c r="E523" s="10">
        <v>0.38194444444444442</v>
      </c>
      <c r="F523" s="10">
        <v>0.75</v>
      </c>
      <c r="G523" s="11">
        <v>1</v>
      </c>
      <c r="H523" s="45">
        <v>1</v>
      </c>
      <c r="I523" s="236" t="str">
        <f t="shared" si="69"/>
        <v/>
      </c>
      <c r="J523" s="153">
        <f t="shared" si="71"/>
        <v>8.3333333333333037E-3</v>
      </c>
      <c r="K523" s="35"/>
      <c r="L523" s="35">
        <v>55</v>
      </c>
      <c r="M523" s="12">
        <v>0.33333333333333331</v>
      </c>
      <c r="O523" s="143" t="str">
        <f t="shared" si="62"/>
        <v/>
      </c>
      <c r="P523" s="45"/>
      <c r="Q523" s="123">
        <f>(SUM(E$2:E$21)+SUM(E$25:E$154)+SUM(E$156:E523))/(COUNTA(E$2:E523)-4)</f>
        <v>0.38038909066451448</v>
      </c>
      <c r="R523" s="46">
        <f>(SUM(H$2:H523)*E$1+A523)/SUM(H$2:H523)</f>
        <v>0.34685059597205092</v>
      </c>
      <c r="S523" s="62"/>
      <c r="V523" s="7">
        <f>$V$1*(H523&gt;0)</f>
        <v>26.5</v>
      </c>
      <c r="W523" s="7">
        <f t="shared" si="65"/>
        <v>2682.5</v>
      </c>
    </row>
    <row r="524" spans="1:23" s="7" customFormat="1" x14ac:dyDescent="0.3">
      <c r="A524" s="52">
        <f t="shared" si="68"/>
        <v>0.47638888888886605</v>
      </c>
      <c r="B524" s="8" t="s">
        <v>2</v>
      </c>
      <c r="C524" s="121">
        <f t="shared" si="70"/>
        <v>43495</v>
      </c>
      <c r="D524" s="121" t="s">
        <v>257</v>
      </c>
      <c r="E524" s="10">
        <v>0.38194444444444442</v>
      </c>
      <c r="F524" s="10">
        <v>0.80555555555555547</v>
      </c>
      <c r="G524" s="11">
        <v>1</v>
      </c>
      <c r="H524" s="45">
        <v>1</v>
      </c>
      <c r="I524" s="236" t="str">
        <f t="shared" si="69"/>
        <v/>
      </c>
      <c r="J524" s="153">
        <f t="shared" si="71"/>
        <v>6.3888888888888773E-2</v>
      </c>
      <c r="K524" s="35"/>
      <c r="L524" s="35">
        <v>65</v>
      </c>
      <c r="M524" s="12">
        <v>0.3125</v>
      </c>
      <c r="O524" s="143" t="str">
        <f t="shared" si="62"/>
        <v/>
      </c>
      <c r="P524" s="45"/>
      <c r="Q524" s="123">
        <f>(SUM(E$2:E$21)+SUM(E$25:E$154)+SUM(E$156:E524))/(COUNTA(E$2:E524)-4)</f>
        <v>0.38039284755770275</v>
      </c>
      <c r="R524" s="46">
        <f>(SUM(H$2:H524)*E$1+A524)/SUM(H$2:H524)</f>
        <v>0.34700526171928381</v>
      </c>
      <c r="S524" s="62"/>
      <c r="V524" s="7">
        <f>0</f>
        <v>0</v>
      </c>
      <c r="W524" s="7">
        <f t="shared" si="65"/>
        <v>2682.5</v>
      </c>
    </row>
    <row r="525" spans="1:23" s="7" customFormat="1" x14ac:dyDescent="0.3">
      <c r="A525" s="52">
        <f t="shared" si="68"/>
        <v>0.49166666666664388</v>
      </c>
      <c r="B525" s="8" t="s">
        <v>3</v>
      </c>
      <c r="C525" s="121">
        <f t="shared" si="70"/>
        <v>43496</v>
      </c>
      <c r="D525" s="121" t="s">
        <v>361</v>
      </c>
      <c r="E525" s="10">
        <v>0.38194444444444442</v>
      </c>
      <c r="F525" s="10">
        <v>0.75694444444444453</v>
      </c>
      <c r="G525" s="11">
        <v>1</v>
      </c>
      <c r="H525" s="45">
        <v>1</v>
      </c>
      <c r="I525" s="236" t="str">
        <f t="shared" si="69"/>
        <v/>
      </c>
      <c r="J525" s="153">
        <f t="shared" si="71"/>
        <v>1.5277777777777835E-2</v>
      </c>
      <c r="K525" s="35">
        <v>55</v>
      </c>
      <c r="L525" s="35">
        <v>49</v>
      </c>
      <c r="M525" s="12">
        <v>0.33333333333333331</v>
      </c>
      <c r="N525" s="7">
        <f>SUM(H503:H525)</f>
        <v>20</v>
      </c>
      <c r="O525" s="143" t="str">
        <f t="shared" si="62"/>
        <v/>
      </c>
      <c r="P525" s="45"/>
      <c r="Q525" s="123">
        <f>(SUM(E$2:E$21)+SUM(E$25:E$154)+SUM(E$156:E525))/(COUNTA(E$2:E525)-4)</f>
        <v>0.38039658634538159</v>
      </c>
      <c r="R525" s="46">
        <f>(SUM(H$2:H525)*E$1+A525)/SUM(H$2:H525)</f>
        <v>0.34703987730061348</v>
      </c>
      <c r="S525" s="62"/>
      <c r="V525" s="7">
        <f>$V$1*(H525&gt;0)+5</f>
        <v>31.5</v>
      </c>
      <c r="W525" s="7">
        <f t="shared" si="65"/>
        <v>2714</v>
      </c>
    </row>
    <row r="526" spans="1:23" s="7" customFormat="1" x14ac:dyDescent="0.3">
      <c r="A526" s="53">
        <f t="shared" si="68"/>
        <v>0.39583333333331056</v>
      </c>
      <c r="B526" s="13" t="s">
        <v>4</v>
      </c>
      <c r="C526" s="117">
        <f t="shared" si="70"/>
        <v>43497</v>
      </c>
      <c r="D526" s="117" t="s">
        <v>362</v>
      </c>
      <c r="E526" s="15">
        <v>0.38194444444444442</v>
      </c>
      <c r="F526" s="15">
        <v>0.64583333333333337</v>
      </c>
      <c r="G526" s="16">
        <v>1</v>
      </c>
      <c r="H526" s="17">
        <v>1</v>
      </c>
      <c r="I526" s="136">
        <f>IF(J526&lt;0,-J526,"")</f>
        <v>9.5833333333333326E-2</v>
      </c>
      <c r="J526" s="154">
        <f t="shared" si="71"/>
        <v>-9.5833333333333326E-2</v>
      </c>
      <c r="K526" s="36"/>
      <c r="L526" s="36"/>
      <c r="M526" s="18">
        <v>0.1875</v>
      </c>
      <c r="O526" s="143">
        <f t="shared" si="62"/>
        <v>4.5138888888889006E-2</v>
      </c>
      <c r="P526" s="137">
        <f>A526-A521</f>
        <v>-4.5138888888889006E-2</v>
      </c>
      <c r="Q526" s="123">
        <f>(SUM(E$2:E$21)+SUM(E$25:E$154)+SUM(E$156:E526))/(COUNTA(E$2:E526)-4)</f>
        <v>0.38040030715811979</v>
      </c>
      <c r="R526" s="46">
        <f>(SUM(H$2:H526)*E$1+A526)/SUM(H$2:H526)</f>
        <v>0.34680232558139534</v>
      </c>
      <c r="S526" s="41">
        <f>IF(COUNTA(M522:M526)=0,0,SUM(M522:M526)/COUNTA(M522:M526))</f>
        <v>0.2583333333333333</v>
      </c>
      <c r="T526" s="7">
        <f>T521-3</f>
        <v>47</v>
      </c>
      <c r="V526" s="7">
        <f>$V$1*(H526&gt;0)+(G526&gt;2)*20+5</f>
        <v>31.5</v>
      </c>
      <c r="W526" s="7">
        <f t="shared" si="65"/>
        <v>2745.5</v>
      </c>
    </row>
    <row r="527" spans="1:23" s="7" customFormat="1" x14ac:dyDescent="0.3">
      <c r="A527" s="51">
        <f t="shared" si="68"/>
        <v>0.35694444444442169</v>
      </c>
      <c r="B527" s="2" t="s">
        <v>0</v>
      </c>
      <c r="C527" s="120">
        <f t="shared" si="70"/>
        <v>43500</v>
      </c>
      <c r="D527" s="120" t="s">
        <v>260</v>
      </c>
      <c r="E527" s="4">
        <v>0.3888888888888889</v>
      </c>
      <c r="F527" s="4">
        <v>1.0416666666666667</v>
      </c>
      <c r="G527" s="5">
        <v>2</v>
      </c>
      <c r="H527" s="2">
        <v>2</v>
      </c>
      <c r="I527" s="134">
        <f t="shared" si="69"/>
        <v>3.8888888888888862E-2</v>
      </c>
      <c r="J527" s="152">
        <f t="shared" si="71"/>
        <v>-3.8888888888888862E-2</v>
      </c>
      <c r="K527" s="34"/>
      <c r="L527" s="34"/>
      <c r="M527" s="6">
        <v>0.29166666666666669</v>
      </c>
      <c r="O527" s="143" t="str">
        <f t="shared" ref="O527:O590" si="72">IF(P527&lt;0,-P527,"")</f>
        <v/>
      </c>
      <c r="P527" s="45"/>
      <c r="Q527" s="123">
        <f>(SUM(E$2:E$21)+SUM(E$25:E$154)+SUM(E$156:E527))/(COUNTA(E$2:E527)-4)</f>
        <v>0.38042066346922471</v>
      </c>
      <c r="R527" s="46">
        <f>(SUM(H$2:H527)*E$1+A527)/SUM(H$2:H527)</f>
        <v>0.34670286912978754</v>
      </c>
      <c r="S527" s="61"/>
      <c r="U527" s="7">
        <v>15</v>
      </c>
      <c r="V527" s="7">
        <f>$V$1*(H527&gt;0)+(G527&gt;2)*20</f>
        <v>26.5</v>
      </c>
      <c r="W527" s="7">
        <f t="shared" si="65"/>
        <v>2772</v>
      </c>
    </row>
    <row r="528" spans="1:23" x14ac:dyDescent="0.3">
      <c r="A528" s="54">
        <f t="shared" si="68"/>
        <v>0.37569444444442168</v>
      </c>
      <c r="B528" s="28" t="s">
        <v>1</v>
      </c>
      <c r="C528" s="88">
        <f t="shared" si="70"/>
        <v>43501</v>
      </c>
      <c r="D528" s="88" t="s">
        <v>261</v>
      </c>
      <c r="E528" s="30">
        <v>0.37847222222222227</v>
      </c>
      <c r="F528" s="30">
        <v>0.75694444444444453</v>
      </c>
      <c r="G528" s="31">
        <v>1</v>
      </c>
      <c r="H528" s="32">
        <v>1</v>
      </c>
      <c r="I528" s="135" t="str">
        <f t="shared" si="69"/>
        <v/>
      </c>
      <c r="J528" s="155">
        <f t="shared" si="71"/>
        <v>1.8749999999999989E-2</v>
      </c>
      <c r="K528" s="39"/>
      <c r="L528" s="39"/>
      <c r="M528" s="156"/>
      <c r="N528" s="79"/>
      <c r="O528" s="159" t="str">
        <f t="shared" si="72"/>
        <v/>
      </c>
      <c r="Q528" s="157">
        <f>(SUM(E$2:E$21)+SUM(E$25:E$154)+SUM(E$156:E528))/(COUNTA(E$2:E528)-4)</f>
        <v>0.3804160021265286</v>
      </c>
      <c r="R528" s="158">
        <f>(SUM(H$2:H528)*E$1+A528)/SUM(H$2:H528)</f>
        <v>0.34674632104765768</v>
      </c>
      <c r="S528" s="64"/>
      <c r="U528">
        <v>14</v>
      </c>
      <c r="V528" s="7">
        <f>$V$1*(H528&gt;0)+5</f>
        <v>31.5</v>
      </c>
      <c r="W528" s="7">
        <f t="shared" si="65"/>
        <v>2803.5</v>
      </c>
    </row>
    <row r="529" spans="1:23" x14ac:dyDescent="0.3">
      <c r="A529" s="54">
        <f t="shared" si="68"/>
        <v>0.36666666666664388</v>
      </c>
      <c r="B529" s="28" t="s">
        <v>2</v>
      </c>
      <c r="C529" s="88">
        <f t="shared" si="70"/>
        <v>43502</v>
      </c>
      <c r="D529" s="88" t="s">
        <v>363</v>
      </c>
      <c r="E529" s="30">
        <v>0.37847222222222227</v>
      </c>
      <c r="F529" s="30">
        <v>0.75694444444444453</v>
      </c>
      <c r="G529" s="31">
        <v>3</v>
      </c>
      <c r="H529" s="32">
        <v>1</v>
      </c>
      <c r="I529" s="135">
        <f t="shared" si="69"/>
        <v>9.0277777777778012E-3</v>
      </c>
      <c r="J529" s="155">
        <f t="shared" si="71"/>
        <v>-9.0277777777778012E-3</v>
      </c>
      <c r="K529" s="39"/>
      <c r="L529" s="39"/>
      <c r="M529" s="156"/>
      <c r="N529" s="79"/>
      <c r="O529" s="159" t="str">
        <f t="shared" si="72"/>
        <v/>
      </c>
      <c r="Q529" s="157">
        <f>(SUM(E$2:E$21)+SUM(E$25:E$154)+SUM(E$156:E529))/(COUNTA(E$2:E529)-4)</f>
        <v>0.38041136303367823</v>
      </c>
      <c r="R529" s="158">
        <f>(SUM(H$2:H529)*E$1+A529)/SUM(H$2:H529)</f>
        <v>0.34672222222222226</v>
      </c>
      <c r="S529" s="64"/>
      <c r="U529">
        <v>13</v>
      </c>
      <c r="V529" s="7">
        <f>$V$1*(H529&gt;0)+(G529&gt;2)*20+5</f>
        <v>51.5</v>
      </c>
      <c r="W529" s="7">
        <f t="shared" si="65"/>
        <v>2855</v>
      </c>
    </row>
    <row r="530" spans="1:23" x14ac:dyDescent="0.3">
      <c r="A530" s="54">
        <f t="shared" si="68"/>
        <v>0.38541666666664387</v>
      </c>
      <c r="B530" s="28" t="s">
        <v>3</v>
      </c>
      <c r="C530" s="88">
        <f t="shared" si="70"/>
        <v>43503</v>
      </c>
      <c r="D530" s="88" t="s">
        <v>364</v>
      </c>
      <c r="E530" s="30">
        <v>0.37847222222222227</v>
      </c>
      <c r="F530" s="30">
        <v>0.75694444444444453</v>
      </c>
      <c r="G530" s="31">
        <v>1</v>
      </c>
      <c r="H530" s="32">
        <v>1</v>
      </c>
      <c r="I530" s="135" t="str">
        <f t="shared" si="69"/>
        <v/>
      </c>
      <c r="J530" s="155">
        <f t="shared" si="71"/>
        <v>1.8749999999999989E-2</v>
      </c>
      <c r="K530" s="39"/>
      <c r="L530" s="39"/>
      <c r="M530" s="156"/>
      <c r="N530" s="79"/>
      <c r="O530" s="159" t="str">
        <f t="shared" si="72"/>
        <v/>
      </c>
      <c r="Q530" s="157">
        <f>(SUM(E$2:E$21)+SUM(E$25:E$154)+SUM(E$156:E530))/(COUNTA(E$2:E530)-4)</f>
        <v>0.38040674603174618</v>
      </c>
      <c r="R530" s="158">
        <f>(SUM(H$2:H530)*E$1+A530)/SUM(H$2:H530)</f>
        <v>0.3467654171704958</v>
      </c>
      <c r="S530" s="64"/>
      <c r="U530">
        <v>12</v>
      </c>
      <c r="V530" s="7">
        <f>$V$1*(H530&gt;0)+5</f>
        <v>31.5</v>
      </c>
      <c r="W530" s="7">
        <f t="shared" si="65"/>
        <v>2886.5</v>
      </c>
    </row>
    <row r="531" spans="1:23" x14ac:dyDescent="0.3">
      <c r="A531" s="56">
        <f t="shared" si="68"/>
        <v>0.2930555555555327</v>
      </c>
      <c r="B531" s="19" t="s">
        <v>4</v>
      </c>
      <c r="C531" s="206">
        <f t="shared" si="70"/>
        <v>43504</v>
      </c>
      <c r="D531" s="89" t="s">
        <v>365</v>
      </c>
      <c r="E531" s="21">
        <v>0.37847222222222227</v>
      </c>
      <c r="F531" s="21">
        <v>0.64583333333333337</v>
      </c>
      <c r="G531" s="22">
        <v>0</v>
      </c>
      <c r="H531" s="23">
        <v>1</v>
      </c>
      <c r="I531" s="136">
        <f>IF(J531&lt;0,-J531,"")</f>
        <v>9.2361111111111172E-2</v>
      </c>
      <c r="J531" s="160">
        <f t="shared" si="71"/>
        <v>-9.2361111111111172E-2</v>
      </c>
      <c r="K531" s="37"/>
      <c r="L531" s="37"/>
      <c r="M531" s="161"/>
      <c r="N531" s="79"/>
      <c r="O531" s="159">
        <f t="shared" si="72"/>
        <v>0.10277777777777786</v>
      </c>
      <c r="P531" s="162">
        <f>A531-A526</f>
        <v>-0.10277777777777786</v>
      </c>
      <c r="Q531" s="157">
        <f>(SUM(E$2:E$21)+SUM(E$25:E$154)+SUM(E$156:E531))/(COUNTA(E$2:E531)-4)</f>
        <v>0.38040215096331503</v>
      </c>
      <c r="R531" s="158">
        <f>(SUM(H$2:H531)*E$1+A531)/SUM(H$2:H531)</f>
        <v>0.34654034311754456</v>
      </c>
      <c r="S531" s="57">
        <f>IF(COUNTA(M527:M531)=0,0,SUM(M527:M531)/COUNTA(M527:M531))</f>
        <v>0.29166666666666669</v>
      </c>
      <c r="T531">
        <f>T526-3</f>
        <v>44</v>
      </c>
      <c r="U531">
        <v>11</v>
      </c>
      <c r="V531" s="7">
        <f>$V$1*(H531&gt;0)+(G531&gt;2)*20</f>
        <v>26.5</v>
      </c>
      <c r="W531" s="7">
        <f t="shared" si="65"/>
        <v>2913</v>
      </c>
    </row>
    <row r="532" spans="1:23" x14ac:dyDescent="0.3">
      <c r="A532" s="55">
        <f t="shared" si="68"/>
        <v>0.29791666666664379</v>
      </c>
      <c r="B532" s="24" t="s">
        <v>0</v>
      </c>
      <c r="C532" s="207">
        <f t="shared" si="70"/>
        <v>43507</v>
      </c>
      <c r="D532" s="90" t="s">
        <v>366</v>
      </c>
      <c r="E532" s="26">
        <v>0.37847222222222227</v>
      </c>
      <c r="F532" s="26">
        <v>0.75694444444444453</v>
      </c>
      <c r="G532" s="27">
        <v>2</v>
      </c>
      <c r="H532" s="24">
        <v>1</v>
      </c>
      <c r="I532" s="134" t="str">
        <f t="shared" ref="I532:I550" si="73">IF(J532&lt;0,-J532,"")</f>
        <v/>
      </c>
      <c r="J532" s="163">
        <f t="shared" si="71"/>
        <v>4.8611111111110938E-3</v>
      </c>
      <c r="K532" s="38"/>
      <c r="L532" s="38"/>
      <c r="M532" s="164"/>
      <c r="N532" s="79"/>
      <c r="O532" s="159" t="str">
        <f t="shared" si="72"/>
        <v/>
      </c>
      <c r="Q532" s="157">
        <f>(SUM(E$2:E$21)+SUM(E$25:E$154)+SUM(E$156:E532))/(COUNTA(E$2:E532)-4)</f>
        <v>0.38039757767245935</v>
      </c>
      <c r="R532" s="158">
        <f>(SUM(H$2:H532)*E$1+A532)/SUM(H$2:H532)</f>
        <v>0.34655034095467313</v>
      </c>
      <c r="S532" s="63"/>
      <c r="U532">
        <v>10</v>
      </c>
      <c r="V532" s="7">
        <f>$V$1*(H532&gt;0)+(G532&gt;2)*20</f>
        <v>26.5</v>
      </c>
      <c r="W532" s="7">
        <f t="shared" si="65"/>
        <v>2939.5</v>
      </c>
    </row>
    <row r="533" spans="1:23" x14ac:dyDescent="0.3">
      <c r="A533" s="54">
        <f t="shared" si="68"/>
        <v>0.31666666666664378</v>
      </c>
      <c r="B533" s="28" t="s">
        <v>1</v>
      </c>
      <c r="C533" s="205">
        <f t="shared" si="70"/>
        <v>43508</v>
      </c>
      <c r="D533" s="88" t="s">
        <v>367</v>
      </c>
      <c r="E533" s="30">
        <v>0.37847222222222227</v>
      </c>
      <c r="F533" s="30">
        <v>0.75694444444444453</v>
      </c>
      <c r="G533" s="31">
        <v>1</v>
      </c>
      <c r="H533" s="32">
        <v>1</v>
      </c>
      <c r="I533" s="135" t="str">
        <f t="shared" si="73"/>
        <v/>
      </c>
      <c r="J533" s="155">
        <f t="shared" si="71"/>
        <v>1.8749999999999989E-2</v>
      </c>
      <c r="K533" s="39"/>
      <c r="L533" s="39"/>
      <c r="M533" s="156"/>
      <c r="N533" s="79"/>
      <c r="O533" s="159" t="str">
        <f t="shared" si="72"/>
        <v/>
      </c>
      <c r="Q533" s="157">
        <f>(SUM(E$2:E$21)+SUM(E$25:E$154)+SUM(E$156:E533))/(COUNTA(E$2:E533)-4)</f>
        <v>0.38039302600472835</v>
      </c>
      <c r="R533" s="158">
        <f>(SUM(H$2:H533)*E$1+A533)/SUM(H$2:H533)</f>
        <v>0.34659363745498195</v>
      </c>
      <c r="S533" s="64"/>
      <c r="U533">
        <v>9</v>
      </c>
      <c r="V533" s="7">
        <f>$V$1*(H533&gt;0)+5</f>
        <v>31.5</v>
      </c>
      <c r="W533" s="7">
        <f t="shared" si="65"/>
        <v>2971</v>
      </c>
    </row>
    <row r="534" spans="1:23" x14ac:dyDescent="0.3">
      <c r="A534" s="54">
        <f t="shared" si="68"/>
        <v>0.32152777777775488</v>
      </c>
      <c r="B534" s="28" t="s">
        <v>2</v>
      </c>
      <c r="C534" s="205">
        <f t="shared" si="70"/>
        <v>43509</v>
      </c>
      <c r="D534" s="88" t="s">
        <v>368</v>
      </c>
      <c r="E534" s="30">
        <v>0.37847222222222227</v>
      </c>
      <c r="F534" s="30">
        <v>0.75694444444444453</v>
      </c>
      <c r="G534" s="31">
        <v>2</v>
      </c>
      <c r="H534" s="32">
        <v>1</v>
      </c>
      <c r="I534" s="135" t="str">
        <f t="shared" si="73"/>
        <v/>
      </c>
      <c r="J534" s="155">
        <f t="shared" si="71"/>
        <v>4.8611111111110938E-3</v>
      </c>
      <c r="K534" s="39"/>
      <c r="L534" s="39"/>
      <c r="M534" s="156"/>
      <c r="N534" s="79"/>
      <c r="O534" s="159" t="str">
        <f t="shared" si="72"/>
        <v/>
      </c>
      <c r="Q534" s="157">
        <f>(SUM(E$2:E$21)+SUM(E$25:E$154)+SUM(E$156:E534))/(COUNTA(E$2:E534)-4)</f>
        <v>0.38038849580712808</v>
      </c>
      <c r="R534" s="158">
        <f>(SUM(H$2:H534)*E$1+A534)/SUM(H$2:H534)</f>
        <v>0.34660345974717233</v>
      </c>
      <c r="S534" s="64"/>
      <c r="U534">
        <v>8</v>
      </c>
      <c r="V534" s="7">
        <f>$V$1*(H534&gt;0)+5</f>
        <v>31.5</v>
      </c>
      <c r="W534" s="7">
        <f t="shared" si="65"/>
        <v>3002.5</v>
      </c>
    </row>
    <row r="535" spans="1:23" x14ac:dyDescent="0.3">
      <c r="A535" s="54">
        <f t="shared" si="68"/>
        <v>0.29861111111108823</v>
      </c>
      <c r="B535" s="28" t="s">
        <v>3</v>
      </c>
      <c r="C535" s="205">
        <f t="shared" si="70"/>
        <v>43510</v>
      </c>
      <c r="D535" s="88" t="s">
        <v>369</v>
      </c>
      <c r="E535" s="30">
        <v>0.37847222222222227</v>
      </c>
      <c r="F535" s="30">
        <v>0.75694444444444453</v>
      </c>
      <c r="G535" s="31">
        <v>4</v>
      </c>
      <c r="H535" s="32">
        <v>1</v>
      </c>
      <c r="I535" s="135">
        <f t="shared" si="73"/>
        <v>2.2916666666666641E-2</v>
      </c>
      <c r="J535" s="155">
        <f t="shared" si="71"/>
        <v>-2.2916666666666641E-2</v>
      </c>
      <c r="K535" s="39"/>
      <c r="L535" s="39"/>
      <c r="M535" s="156"/>
      <c r="N535" s="79"/>
      <c r="O535" s="159" t="str">
        <f t="shared" si="72"/>
        <v/>
      </c>
      <c r="Q535" s="157">
        <f>(SUM(E$2:E$21)+SUM(E$25:E$154)+SUM(E$156:E535))/(COUNTA(E$2:E535)-4)</f>
        <v>0.38038398692810482</v>
      </c>
      <c r="R535" s="158">
        <f>(SUM(H$2:H535)*E$1+A535)/SUM(H$2:H535)</f>
        <v>0.34654686048055222</v>
      </c>
      <c r="S535" s="64"/>
      <c r="U535">
        <v>7</v>
      </c>
      <c r="V535" s="7">
        <f>$V$1*(H535&gt;0)+(G535&gt;2)*20+5</f>
        <v>51.5</v>
      </c>
      <c r="W535" s="7">
        <f t="shared" si="65"/>
        <v>3054</v>
      </c>
    </row>
    <row r="536" spans="1:23" x14ac:dyDescent="0.3">
      <c r="A536" s="56">
        <f t="shared" si="68"/>
        <v>0.20624999999997706</v>
      </c>
      <c r="B536" s="19" t="s">
        <v>4</v>
      </c>
      <c r="C536" s="206">
        <f t="shared" si="70"/>
        <v>43511</v>
      </c>
      <c r="D536" s="89" t="s">
        <v>370</v>
      </c>
      <c r="E536" s="21">
        <v>0.37847222222222227</v>
      </c>
      <c r="F536" s="21">
        <v>0.64583333333333337</v>
      </c>
      <c r="G536" s="22">
        <v>0</v>
      </c>
      <c r="H536" s="23">
        <v>1</v>
      </c>
      <c r="I536" s="136">
        <f>IF(J536&lt;0,-J536,"")</f>
        <v>9.2361111111111172E-2</v>
      </c>
      <c r="J536" s="160">
        <f t="shared" si="71"/>
        <v>-9.2361111111111172E-2</v>
      </c>
      <c r="K536" s="37"/>
      <c r="L536" s="37"/>
      <c r="M536" s="161"/>
      <c r="N536" s="79"/>
      <c r="O536" s="159">
        <f t="shared" si="72"/>
        <v>8.6805555555555636E-2</v>
      </c>
      <c r="P536" s="162">
        <f>A536-A531</f>
        <v>-8.6805555555555636E-2</v>
      </c>
      <c r="Q536" s="157">
        <f>(SUM(E$2:E$21)+SUM(E$25:E$154)+SUM(E$156:E536))/(COUNTA(E$2:E536)-4)</f>
        <v>0.38037949921752762</v>
      </c>
      <c r="R536" s="158">
        <f>(SUM(H$2:H536)*E$1+A536)/SUM(H$2:H536)</f>
        <v>0.34632499006754069</v>
      </c>
      <c r="S536" s="57">
        <f>IF(COUNTA(M532:M536)=0,0,SUM(M532:M536)/COUNTA(M532:M536))</f>
        <v>0</v>
      </c>
      <c r="T536">
        <f>T531-3</f>
        <v>41</v>
      </c>
      <c r="U536">
        <v>6</v>
      </c>
      <c r="V536" s="7">
        <f>$V$1*(H536&gt;0)+(G536&gt;2)*20</f>
        <v>26.5</v>
      </c>
      <c r="W536" s="7">
        <f t="shared" si="65"/>
        <v>3080.5</v>
      </c>
    </row>
    <row r="537" spans="1:23" x14ac:dyDescent="0.3">
      <c r="A537" s="55">
        <f t="shared" si="68"/>
        <v>0.21111111111108816</v>
      </c>
      <c r="B537" s="24" t="s">
        <v>0</v>
      </c>
      <c r="C537" s="203">
        <f t="shared" si="70"/>
        <v>43514</v>
      </c>
      <c r="D537" s="90" t="s">
        <v>371</v>
      </c>
      <c r="E537" s="26">
        <v>0.37847222222222227</v>
      </c>
      <c r="F537" s="26">
        <v>0.75694444444444453</v>
      </c>
      <c r="G537" s="27">
        <v>2</v>
      </c>
      <c r="H537" s="24">
        <v>1</v>
      </c>
      <c r="I537" s="134" t="str">
        <f t="shared" si="73"/>
        <v/>
      </c>
      <c r="J537" s="163">
        <f t="shared" si="71"/>
        <v>4.8611111111110938E-3</v>
      </c>
      <c r="K537" s="38"/>
      <c r="L537" s="38"/>
      <c r="M537" s="164"/>
      <c r="N537" s="79"/>
      <c r="O537" s="159" t="str">
        <f t="shared" si="72"/>
        <v/>
      </c>
      <c r="Q537" s="157">
        <f>(SUM(E$2:E$21)+SUM(E$25:E$154)+SUM(E$156:E537))/(COUNTA(E$2:E537)-4)</f>
        <v>0.38037503252667215</v>
      </c>
      <c r="R537" s="158">
        <f>(SUM(H$2:H537)*E$1+A537)/SUM(H$2:H537)</f>
        <v>0.34633538115999468</v>
      </c>
      <c r="S537" s="63"/>
      <c r="U537">
        <v>5</v>
      </c>
      <c r="V537" s="7">
        <f>$V$1*(H537&gt;0)+(G537&gt;2)*20</f>
        <v>26.5</v>
      </c>
      <c r="W537" s="7">
        <f t="shared" si="65"/>
        <v>3107</v>
      </c>
    </row>
    <row r="538" spans="1:23" x14ac:dyDescent="0.3">
      <c r="A538" s="54">
        <f t="shared" si="68"/>
        <v>0.22986111111108815</v>
      </c>
      <c r="B538" s="28" t="s">
        <v>1</v>
      </c>
      <c r="C538" s="204">
        <f t="shared" si="70"/>
        <v>43515</v>
      </c>
      <c r="D538" s="88" t="s">
        <v>372</v>
      </c>
      <c r="E538" s="30">
        <v>0.37847222222222227</v>
      </c>
      <c r="F538" s="30">
        <v>0.75694444444444453</v>
      </c>
      <c r="G538" s="31">
        <v>1</v>
      </c>
      <c r="H538" s="32">
        <v>1</v>
      </c>
      <c r="I538" s="135" t="str">
        <f t="shared" si="73"/>
        <v/>
      </c>
      <c r="J538" s="155">
        <f t="shared" si="71"/>
        <v>1.8749999999999989E-2</v>
      </c>
      <c r="K538" s="39"/>
      <c r="L538" s="39"/>
      <c r="M538" s="156"/>
      <c r="N538" s="79"/>
      <c r="O538" s="159" t="str">
        <f t="shared" si="72"/>
        <v/>
      </c>
      <c r="Q538" s="157">
        <f>(SUM(E$2:E$21)+SUM(E$25:E$154)+SUM(E$156:E538))/(COUNTA(E$2:E538)-4)</f>
        <v>0.38037058670820378</v>
      </c>
      <c r="R538" s="158">
        <f>(SUM(H$2:H538)*E$1+A538)/SUM(H$2:H538)</f>
        <v>0.34637867404771316</v>
      </c>
      <c r="S538" s="64"/>
      <c r="U538">
        <v>4</v>
      </c>
      <c r="V538" s="7">
        <f>$V$1*(H538&gt;0)+5</f>
        <v>31.5</v>
      </c>
      <c r="W538" s="7">
        <f t="shared" si="65"/>
        <v>3138.5</v>
      </c>
    </row>
    <row r="539" spans="1:23" x14ac:dyDescent="0.3">
      <c r="A539" s="54">
        <f t="shared" si="68"/>
        <v>0.22083333333331034</v>
      </c>
      <c r="B539" s="28" t="s">
        <v>2</v>
      </c>
      <c r="C539" s="204">
        <f t="shared" si="70"/>
        <v>43516</v>
      </c>
      <c r="D539" s="88" t="s">
        <v>373</v>
      </c>
      <c r="E539" s="30">
        <v>0.37847222222222227</v>
      </c>
      <c r="F539" s="30">
        <v>0.75694444444444453</v>
      </c>
      <c r="G539" s="31">
        <v>3</v>
      </c>
      <c r="H539" s="32">
        <v>1</v>
      </c>
      <c r="I539" s="135">
        <f t="shared" si="73"/>
        <v>9.0277777777778012E-3</v>
      </c>
      <c r="J539" s="155">
        <f t="shared" si="71"/>
        <v>-9.0277777777778012E-3</v>
      </c>
      <c r="K539" s="39"/>
      <c r="L539" s="39"/>
      <c r="M539" s="156"/>
      <c r="N539" s="79"/>
      <c r="O539" s="159" t="str">
        <f t="shared" si="72"/>
        <v/>
      </c>
      <c r="Q539" s="157">
        <f>(SUM(E$2:E$21)+SUM(E$25:E$154)+SUM(E$156:E539))/(COUNTA(E$2:E539)-4)</f>
        <v>0.38036616161616188</v>
      </c>
      <c r="R539" s="158">
        <f>(SUM(H$2:H539)*E$1+A539)/SUM(H$2:H539)</f>
        <v>0.34635601577909264</v>
      </c>
      <c r="S539" s="64"/>
      <c r="U539">
        <v>3</v>
      </c>
      <c r="V539" s="7">
        <f>$V$1*(H539&gt;0)+(G539&gt;2)*20+5</f>
        <v>51.5</v>
      </c>
      <c r="W539" s="7">
        <f t="shared" si="65"/>
        <v>3190</v>
      </c>
    </row>
    <row r="540" spans="1:23" x14ac:dyDescent="0.3">
      <c r="A540" s="54">
        <f t="shared" si="68"/>
        <v>0.23958333333331033</v>
      </c>
      <c r="B540" s="28" t="s">
        <v>3</v>
      </c>
      <c r="C540" s="204">
        <f t="shared" si="70"/>
        <v>43517</v>
      </c>
      <c r="D540" s="88" t="s">
        <v>374</v>
      </c>
      <c r="E540" s="30">
        <v>0.37847222222222227</v>
      </c>
      <c r="F540" s="30">
        <v>0.75694444444444453</v>
      </c>
      <c r="G540" s="31">
        <v>1</v>
      </c>
      <c r="H540" s="32">
        <v>1</v>
      </c>
      <c r="I540" s="135" t="str">
        <f t="shared" si="73"/>
        <v/>
      </c>
      <c r="J540" s="155">
        <f t="shared" si="71"/>
        <v>1.8749999999999989E-2</v>
      </c>
      <c r="K540" s="39"/>
      <c r="L540" s="39"/>
      <c r="M540" s="156"/>
      <c r="N540" s="79"/>
      <c r="O540" s="159" t="str">
        <f t="shared" si="72"/>
        <v/>
      </c>
      <c r="Q540" s="157">
        <f>(SUM(E$2:E$21)+SUM(E$25:E$154)+SUM(E$156:E540))/(COUNTA(E$2:E540)-4)</f>
        <v>0.38036175710594344</v>
      </c>
      <c r="R540" s="158">
        <f>(SUM(H$2:H540)*E$1+A540)/SUM(H$2:H540)</f>
        <v>0.34639905548996458</v>
      </c>
      <c r="S540" s="64"/>
      <c r="U540">
        <v>2</v>
      </c>
      <c r="V540" s="7">
        <f>$V$1*(H540&gt;0)+5</f>
        <v>31.5</v>
      </c>
      <c r="W540" s="7">
        <f t="shared" si="65"/>
        <v>3221.5</v>
      </c>
    </row>
    <row r="541" spans="1:23" x14ac:dyDescent="0.3">
      <c r="A541" s="56">
        <f t="shared" si="68"/>
        <v>0.14722222222219916</v>
      </c>
      <c r="B541" s="19" t="s">
        <v>4</v>
      </c>
      <c r="C541" s="202">
        <f t="shared" si="70"/>
        <v>43518</v>
      </c>
      <c r="D541" s="89" t="s">
        <v>375</v>
      </c>
      <c r="E541" s="21">
        <v>0.37847222222222227</v>
      </c>
      <c r="F541" s="21">
        <v>0.64583333333333337</v>
      </c>
      <c r="G541" s="22">
        <v>0</v>
      </c>
      <c r="H541" s="23">
        <v>1</v>
      </c>
      <c r="I541" s="136">
        <f>IF(J541&lt;0,-J541,"")</f>
        <v>9.2361111111111172E-2</v>
      </c>
      <c r="J541" s="160">
        <f t="shared" si="71"/>
        <v>-9.2361111111111172E-2</v>
      </c>
      <c r="K541" s="37"/>
      <c r="L541" s="37"/>
      <c r="M541" s="161"/>
      <c r="N541" s="79"/>
      <c r="O541" s="159">
        <f t="shared" si="72"/>
        <v>5.9027777777777901E-2</v>
      </c>
      <c r="P541" s="162">
        <f>A541-A536</f>
        <v>-5.9027777777777901E-2</v>
      </c>
      <c r="Q541" s="157">
        <f>(SUM(E$2:E$21)+SUM(E$25:E$154)+SUM(E$156:E541))/(COUNTA(E$2:E541)-4)</f>
        <v>0.38035737303428752</v>
      </c>
      <c r="R541" s="158">
        <f>(SUM(H$2:H541)*E$1+A541)/SUM(H$2:H541)</f>
        <v>0.34618014657767315</v>
      </c>
      <c r="S541" s="57">
        <f>IF(COUNTA(M537:M541)=0,0,SUM(M537:M541)/COUNTA(M537:M541))</f>
        <v>0</v>
      </c>
      <c r="T541">
        <f>T536-3</f>
        <v>38</v>
      </c>
      <c r="U541">
        <v>1</v>
      </c>
      <c r="V541" s="7">
        <f>$V$1*(H541&gt;0)+(G541&gt;2)*20</f>
        <v>26.5</v>
      </c>
      <c r="W541" s="7">
        <f t="shared" si="65"/>
        <v>3248</v>
      </c>
    </row>
    <row r="542" spans="1:23" x14ac:dyDescent="0.3">
      <c r="A542" s="219">
        <f t="shared" si="68"/>
        <v>0.52569444444442137</v>
      </c>
      <c r="B542" s="24" t="s">
        <v>0</v>
      </c>
      <c r="C542" s="203">
        <f t="shared" si="70"/>
        <v>43521</v>
      </c>
      <c r="D542" s="90" t="s">
        <v>376</v>
      </c>
      <c r="E542" s="26">
        <v>0.37847222222222227</v>
      </c>
      <c r="F542" s="26">
        <v>0.75694444444444453</v>
      </c>
      <c r="G542" s="27">
        <v>2</v>
      </c>
      <c r="H542" s="24">
        <v>0</v>
      </c>
      <c r="I542" s="134" t="str">
        <f t="shared" si="73"/>
        <v/>
      </c>
      <c r="J542" s="163">
        <f t="shared" si="71"/>
        <v>0.37847222222222227</v>
      </c>
      <c r="K542" s="38"/>
      <c r="L542" s="38"/>
      <c r="M542" s="164"/>
      <c r="N542" s="79"/>
      <c r="O542" s="159" t="str">
        <f t="shared" si="72"/>
        <v/>
      </c>
      <c r="Q542" s="157">
        <f>(SUM(E$2:E$21)+SUM(E$25:E$154)+SUM(E$156:E542))/(COUNTA(E$2:E542)-4)</f>
        <v>0.38035300925925958</v>
      </c>
      <c r="R542" s="158">
        <f>(SUM(H$2:H542)*E$1+A542)/SUM(H$2:H542)</f>
        <v>0.34707171836147099</v>
      </c>
      <c r="S542" s="63"/>
    </row>
    <row r="543" spans="1:23" x14ac:dyDescent="0.3">
      <c r="A543" s="220">
        <f t="shared" si="68"/>
        <v>0.90416666666664369</v>
      </c>
      <c r="B543" s="28" t="s">
        <v>1</v>
      </c>
      <c r="C543" s="88">
        <f t="shared" si="70"/>
        <v>43522</v>
      </c>
      <c r="D543" s="88" t="s">
        <v>377</v>
      </c>
      <c r="E543" s="30">
        <v>0.37847222222222227</v>
      </c>
      <c r="F543" s="30">
        <v>0.75694444444444453</v>
      </c>
      <c r="G543" s="31">
        <v>1</v>
      </c>
      <c r="H543" s="32">
        <v>0</v>
      </c>
      <c r="I543" s="135" t="str">
        <f t="shared" si="73"/>
        <v/>
      </c>
      <c r="J543" s="155">
        <f t="shared" si="71"/>
        <v>0.37847222222222227</v>
      </c>
      <c r="K543" s="39"/>
      <c r="L543" s="39"/>
      <c r="M543" s="156"/>
      <c r="N543" s="79"/>
      <c r="O543" s="159" t="str">
        <f t="shared" si="72"/>
        <v/>
      </c>
      <c r="Q543" s="157">
        <f>(SUM(E$2:E$21)+SUM(E$25:E$154)+SUM(E$156:E543))/(COUNTA(E$2:E543)-4)</f>
        <v>0.38034866564023639</v>
      </c>
      <c r="R543" s="158">
        <f>(SUM(H$2:H543)*E$1+A543)/SUM(H$2:H543)</f>
        <v>0.34796329014526894</v>
      </c>
      <c r="S543" s="64"/>
    </row>
    <row r="544" spans="1:23" x14ac:dyDescent="0.3">
      <c r="A544" s="220">
        <f t="shared" si="68"/>
        <v>1.282638888888866</v>
      </c>
      <c r="B544" s="28" t="s">
        <v>2</v>
      </c>
      <c r="C544" s="88">
        <f t="shared" si="70"/>
        <v>43523</v>
      </c>
      <c r="D544" s="88" t="s">
        <v>378</v>
      </c>
      <c r="E544" s="30">
        <v>0.37847222222222227</v>
      </c>
      <c r="F544" s="30">
        <v>0.75694444444444453</v>
      </c>
      <c r="G544" s="31">
        <v>3</v>
      </c>
      <c r="H544" s="32">
        <v>0</v>
      </c>
      <c r="I544" s="135" t="str">
        <f t="shared" si="73"/>
        <v/>
      </c>
      <c r="J544" s="155">
        <f t="shared" si="71"/>
        <v>0.37847222222222227</v>
      </c>
      <c r="K544" s="39"/>
      <c r="L544" s="39"/>
      <c r="M544" s="156"/>
      <c r="N544" s="79"/>
      <c r="O544" s="159" t="str">
        <f t="shared" si="72"/>
        <v/>
      </c>
      <c r="Q544" s="157">
        <f>(SUM(E$2:E$21)+SUM(E$25:E$154)+SUM(E$156:E544))/(COUNTA(E$2:E544)-4)</f>
        <v>0.3803443420378908</v>
      </c>
      <c r="R544" s="158">
        <f>(SUM(H$2:H544)*E$1+A544)/SUM(H$2:H544)</f>
        <v>0.3488548619290669</v>
      </c>
      <c r="S544" s="64"/>
    </row>
    <row r="545" spans="1:20" x14ac:dyDescent="0.3">
      <c r="A545" s="220">
        <f t="shared" si="68"/>
        <v>1.6611111111110883</v>
      </c>
      <c r="B545" s="28" t="s">
        <v>3</v>
      </c>
      <c r="C545" s="88">
        <f t="shared" si="70"/>
        <v>43524</v>
      </c>
      <c r="D545" s="88" t="s">
        <v>379</v>
      </c>
      <c r="E545" s="30">
        <v>0.37847222222222227</v>
      </c>
      <c r="F545" s="30">
        <v>0.75694444444444453</v>
      </c>
      <c r="G545" s="31">
        <v>1</v>
      </c>
      <c r="H545" s="32">
        <v>0</v>
      </c>
      <c r="I545" s="135" t="str">
        <f t="shared" si="73"/>
        <v/>
      </c>
      <c r="J545" s="155">
        <f t="shared" si="71"/>
        <v>0.37847222222222227</v>
      </c>
      <c r="K545" s="39"/>
      <c r="L545" s="39"/>
      <c r="M545" s="156"/>
      <c r="N545" s="79">
        <f>SUM(H526:H545)</f>
        <v>17</v>
      </c>
      <c r="O545" s="159" t="str">
        <f t="shared" si="72"/>
        <v/>
      </c>
      <c r="Q545" s="157">
        <f>(SUM(E$2:E$21)+SUM(E$25:E$154)+SUM(E$156:E545))/(COUNTA(E$2:E545)-4)</f>
        <v>0.38034003831417662</v>
      </c>
      <c r="R545" s="158">
        <f>(SUM(H$2:H545)*E$1+A545)/SUM(H$2:H545)</f>
        <v>0.34974643371286485</v>
      </c>
      <c r="S545" s="64"/>
    </row>
    <row r="546" spans="1:20" x14ac:dyDescent="0.3">
      <c r="A546" s="221">
        <f t="shared" si="68"/>
        <v>1.6312499999999772</v>
      </c>
      <c r="B546" s="19" t="s">
        <v>4</v>
      </c>
      <c r="C546" s="89">
        <f t="shared" si="70"/>
        <v>43525</v>
      </c>
      <c r="D546" s="89" t="s">
        <v>380</v>
      </c>
      <c r="E546" s="21">
        <v>0.37847222222222227</v>
      </c>
      <c r="F546" s="21">
        <v>0.70833333333333337</v>
      </c>
      <c r="G546" s="22">
        <v>0</v>
      </c>
      <c r="H546" s="23">
        <v>1</v>
      </c>
      <c r="I546" s="136">
        <f>IF(J546&lt;0,-J546,"")</f>
        <v>2.9861111111111172E-2</v>
      </c>
      <c r="J546" s="160">
        <f t="shared" si="71"/>
        <v>-2.9861111111111172E-2</v>
      </c>
      <c r="K546" s="37"/>
      <c r="L546" s="37"/>
      <c r="M546" s="161"/>
      <c r="N546" s="79"/>
      <c r="O546" s="159" t="str">
        <f t="shared" si="72"/>
        <v/>
      </c>
      <c r="P546" s="162">
        <f>A546-A541</f>
        <v>1.4840277777777779</v>
      </c>
      <c r="Q546" s="157">
        <f>(SUM(E$2:E$21)+SUM(E$25:E$154)+SUM(E$156:E546))/(COUNTA(E$2:E546)-4)</f>
        <v>0.38033575433231437</v>
      </c>
      <c r="R546" s="158">
        <f>(SUM(H$2:H546)*E$1+A546)/SUM(H$2:H546)</f>
        <v>0.34966705836271056</v>
      </c>
      <c r="S546" s="57">
        <f>IF(COUNTA(M542:M546)=0,0,SUM(M542:M546)/COUNTA(M542:M546))</f>
        <v>0</v>
      </c>
      <c r="T546">
        <f>T541-3</f>
        <v>35</v>
      </c>
    </row>
    <row r="547" spans="1:20" x14ac:dyDescent="0.3">
      <c r="A547" s="219">
        <f t="shared" si="68"/>
        <v>1.6361111111110884</v>
      </c>
      <c r="B547" s="24" t="s">
        <v>0</v>
      </c>
      <c r="C547" s="90">
        <f t="shared" si="70"/>
        <v>43528</v>
      </c>
      <c r="D547" s="90" t="s">
        <v>381</v>
      </c>
      <c r="E547" s="26">
        <v>0.37847222222222227</v>
      </c>
      <c r="F547" s="26">
        <v>0.75694444444444453</v>
      </c>
      <c r="G547" s="27">
        <v>2</v>
      </c>
      <c r="H547" s="24">
        <v>1</v>
      </c>
      <c r="I547" s="134" t="str">
        <f t="shared" si="73"/>
        <v/>
      </c>
      <c r="J547" s="163">
        <f t="shared" si="71"/>
        <v>4.8611111111110938E-3</v>
      </c>
      <c r="K547" s="38"/>
      <c r="L547" s="38"/>
      <c r="M547" s="164"/>
      <c r="N547" s="79"/>
      <c r="O547" s="159" t="str">
        <f t="shared" si="72"/>
        <v/>
      </c>
      <c r="Q547" s="157">
        <f>(SUM(E$2:E$21)+SUM(E$25:E$154)+SUM(E$156:E547))/(COUNTA(E$2:E547)-4)</f>
        <v>0.3803314899567764</v>
      </c>
      <c r="R547" s="158">
        <f>(SUM(H$2:H547)*E$1+A547)/SUM(H$2:H547)</f>
        <v>0.34966946723980724</v>
      </c>
      <c r="S547" s="63"/>
    </row>
    <row r="548" spans="1:20" x14ac:dyDescent="0.3">
      <c r="A548" s="220">
        <f t="shared" si="68"/>
        <v>1.6548611111110885</v>
      </c>
      <c r="B548" s="28" t="s">
        <v>1</v>
      </c>
      <c r="C548" s="88">
        <f t="shared" si="70"/>
        <v>43529</v>
      </c>
      <c r="D548" s="88" t="s">
        <v>382</v>
      </c>
      <c r="E548" s="30">
        <v>0.37847222222222227</v>
      </c>
      <c r="F548" s="30">
        <v>0.75694444444444453</v>
      </c>
      <c r="G548" s="31">
        <v>1</v>
      </c>
      <c r="H548" s="32">
        <v>1</v>
      </c>
      <c r="I548" s="135" t="str">
        <f t="shared" si="73"/>
        <v/>
      </c>
      <c r="J548" s="155">
        <f t="shared" si="71"/>
        <v>1.8749999999999989E-2</v>
      </c>
      <c r="K548" s="39"/>
      <c r="L548" s="39"/>
      <c r="M548" s="156"/>
      <c r="N548" s="79"/>
      <c r="O548" s="159" t="str">
        <f t="shared" si="72"/>
        <v/>
      </c>
      <c r="Q548" s="157">
        <f>(SUM(E$2:E$21)+SUM(E$25:E$154)+SUM(E$156:E548))/(COUNTA(E$2:E548)-4)</f>
        <v>0.38032724505327287</v>
      </c>
      <c r="R548" s="158">
        <f>(SUM(H$2:H548)*E$1+A548)/SUM(H$2:H548)</f>
        <v>0.34970435347628326</v>
      </c>
      <c r="S548" s="64"/>
    </row>
    <row r="549" spans="1:20" x14ac:dyDescent="0.3">
      <c r="A549" s="220">
        <f t="shared" si="68"/>
        <v>1.6597222222221997</v>
      </c>
      <c r="B549" s="28" t="s">
        <v>2</v>
      </c>
      <c r="C549" s="88">
        <f t="shared" si="70"/>
        <v>43530</v>
      </c>
      <c r="D549" s="88" t="s">
        <v>383</v>
      </c>
      <c r="E549" s="30">
        <v>0.37847222222222227</v>
      </c>
      <c r="F549" s="30">
        <v>0.75694444444444453</v>
      </c>
      <c r="G549" s="31">
        <v>2</v>
      </c>
      <c r="H549" s="32">
        <v>1</v>
      </c>
      <c r="I549" s="135" t="str">
        <f t="shared" si="73"/>
        <v/>
      </c>
      <c r="J549" s="155">
        <f t="shared" si="71"/>
        <v>4.8611111111110938E-3</v>
      </c>
      <c r="K549" s="39"/>
      <c r="L549" s="39"/>
      <c r="M549" s="156"/>
      <c r="N549" s="79"/>
      <c r="O549" s="159" t="str">
        <f t="shared" si="72"/>
        <v/>
      </c>
      <c r="Q549" s="157">
        <f>(SUM(E$2:E$21)+SUM(E$25:E$154)+SUM(E$156:E549))/(COUNTA(E$2:E549)-4)</f>
        <v>0.38032301948873748</v>
      </c>
      <c r="R549" s="158">
        <f>(SUM(H$2:H549)*E$1+A549)/SUM(H$2:H549)</f>
        <v>0.34970666407364193</v>
      </c>
      <c r="S549" s="64"/>
    </row>
    <row r="550" spans="1:20" x14ac:dyDescent="0.3">
      <c r="A550" s="220">
        <f t="shared" si="68"/>
        <v>1.636805555555533</v>
      </c>
      <c r="B550" s="28" t="s">
        <v>3</v>
      </c>
      <c r="C550" s="88">
        <f t="shared" si="70"/>
        <v>43531</v>
      </c>
      <c r="D550" s="88" t="s">
        <v>384</v>
      </c>
      <c r="E550" s="30">
        <v>0.37847222222222227</v>
      </c>
      <c r="F550" s="30">
        <v>0.75694444444444453</v>
      </c>
      <c r="G550" s="31">
        <v>4</v>
      </c>
      <c r="H550" s="32">
        <v>1</v>
      </c>
      <c r="I550" s="135">
        <f t="shared" si="73"/>
        <v>2.2916666666666641E-2</v>
      </c>
      <c r="J550" s="155">
        <f t="shared" si="71"/>
        <v>-2.2916666666666641E-2</v>
      </c>
      <c r="K550" s="39"/>
      <c r="L550" s="39"/>
      <c r="M550" s="156"/>
      <c r="N550" s="79"/>
      <c r="O550" s="159" t="str">
        <f t="shared" si="72"/>
        <v/>
      </c>
      <c r="Q550" s="157">
        <f>(SUM(E$2:E$21)+SUM(E$25:E$154)+SUM(E$156:E550))/(COUNTA(E$2:E550)-4)</f>
        <v>0.38031881313131355</v>
      </c>
      <c r="R550" s="158">
        <f>(SUM(H$2:H550)*E$1+A550)/SUM(H$2:H550)</f>
        <v>0.34964428922519725</v>
      </c>
      <c r="S550" s="64"/>
    </row>
    <row r="551" spans="1:20" x14ac:dyDescent="0.3">
      <c r="A551" s="221">
        <f t="shared" si="68"/>
        <v>1.6138888888888663</v>
      </c>
      <c r="B551" s="19" t="s">
        <v>4</v>
      </c>
      <c r="C551" s="89">
        <f t="shared" si="70"/>
        <v>43532</v>
      </c>
      <c r="D551" s="89" t="s">
        <v>385</v>
      </c>
      <c r="E551" s="21">
        <v>0.37847222222222227</v>
      </c>
      <c r="F551" s="21">
        <v>0.71527777777777779</v>
      </c>
      <c r="G551" s="22">
        <v>0</v>
      </c>
      <c r="H551" s="23">
        <v>1</v>
      </c>
      <c r="I551" s="136">
        <f>IF(J551&lt;0,-J551,"")</f>
        <v>2.2916666666666752E-2</v>
      </c>
      <c r="J551" s="160">
        <f t="shared" si="71"/>
        <v>-2.2916666666666752E-2</v>
      </c>
      <c r="K551" s="37"/>
      <c r="L551" s="37"/>
      <c r="M551" s="161"/>
      <c r="N551" s="79"/>
      <c r="O551" s="159">
        <f t="shared" si="72"/>
        <v>1.7361111111110938E-2</v>
      </c>
      <c r="P551" s="162">
        <f>A551-A546</f>
        <v>-1.7361111111110938E-2</v>
      </c>
      <c r="Q551" s="157">
        <f>(SUM(E$2:E$21)+SUM(E$25:E$154)+SUM(E$156:E551))/(COUNTA(E$2:E551)-4)</f>
        <v>0.38031462585034059</v>
      </c>
      <c r="R551" s="158">
        <f>(SUM(H$2:H551)*E$1+A551)/SUM(H$2:H551)</f>
        <v>0.34958220415537494</v>
      </c>
      <c r="S551" s="57">
        <f>IF(COUNTA(M547:M551)=0,0,SUM(M547:M551)/COUNTA(M547:M551))</f>
        <v>0</v>
      </c>
      <c r="T551">
        <f>T546-3</f>
        <v>32</v>
      </c>
    </row>
    <row r="552" spans="1:20" x14ac:dyDescent="0.3">
      <c r="A552" s="219">
        <f t="shared" si="68"/>
        <v>1.6187499999999773</v>
      </c>
      <c r="B552" s="24" t="s">
        <v>0</v>
      </c>
      <c r="C552" s="90">
        <f t="shared" si="70"/>
        <v>43535</v>
      </c>
      <c r="D552" s="90" t="s">
        <v>386</v>
      </c>
      <c r="E552" s="26">
        <v>0.37847222222222227</v>
      </c>
      <c r="F552" s="26">
        <v>0.75694444444444453</v>
      </c>
      <c r="G552" s="27">
        <v>2</v>
      </c>
      <c r="H552" s="24">
        <v>1</v>
      </c>
      <c r="I552" s="134" t="str">
        <f t="shared" ref="I552:I570" si="74">IF(J552&lt;0,-J552,"")</f>
        <v/>
      </c>
      <c r="J552" s="163">
        <f t="shared" si="71"/>
        <v>4.8611111111110938E-3</v>
      </c>
      <c r="K552" s="38"/>
      <c r="L552" s="38"/>
      <c r="M552" s="164"/>
      <c r="N552" s="79"/>
      <c r="O552" s="159" t="str">
        <f t="shared" si="72"/>
        <v/>
      </c>
      <c r="Q552" s="157">
        <f>(SUM(E$2:E$21)+SUM(E$25:E$154)+SUM(E$156:E552))/(COUNTA(E$2:E552)-4)</f>
        <v>0.38031045751634035</v>
      </c>
      <c r="R552" s="158">
        <f>(SUM(H$2:H552)*E$1+A552)/SUM(H$2:H552)</f>
        <v>0.3495847817690228</v>
      </c>
      <c r="S552" s="63"/>
    </row>
    <row r="553" spans="1:20" x14ac:dyDescent="0.3">
      <c r="A553" s="220">
        <f t="shared" si="68"/>
        <v>1.6374999999999773</v>
      </c>
      <c r="B553" s="28" t="s">
        <v>1</v>
      </c>
      <c r="C553" s="88">
        <f t="shared" si="70"/>
        <v>43536</v>
      </c>
      <c r="D553" s="88" t="s">
        <v>387</v>
      </c>
      <c r="E553" s="30">
        <v>0.37847222222222227</v>
      </c>
      <c r="F553" s="30">
        <v>0.75694444444444453</v>
      </c>
      <c r="G553" s="31">
        <v>1</v>
      </c>
      <c r="H553" s="32">
        <v>1</v>
      </c>
      <c r="I553" s="135" t="str">
        <f t="shared" si="74"/>
        <v/>
      </c>
      <c r="J553" s="155">
        <f t="shared" si="71"/>
        <v>1.8749999999999989E-2</v>
      </c>
      <c r="K553" s="39"/>
      <c r="L553" s="39"/>
      <c r="M553" s="156"/>
      <c r="N553" s="79"/>
      <c r="O553" s="159" t="str">
        <f t="shared" si="72"/>
        <v/>
      </c>
      <c r="Q553" s="157">
        <f>(SUM(E$2:E$21)+SUM(E$25:E$154)+SUM(E$156:E553))/(COUNTA(E$2:E553)-4)</f>
        <v>0.38030630800100373</v>
      </c>
      <c r="R553" s="158">
        <f>(SUM(H$2:H553)*E$1+A553)/SUM(H$2:H553)</f>
        <v>0.34961946050096343</v>
      </c>
      <c r="S553" s="64"/>
    </row>
    <row r="554" spans="1:20" x14ac:dyDescent="0.3">
      <c r="A554" s="220">
        <f t="shared" si="68"/>
        <v>1.6284722222221995</v>
      </c>
      <c r="B554" s="28" t="s">
        <v>2</v>
      </c>
      <c r="C554" s="88">
        <f t="shared" si="70"/>
        <v>43537</v>
      </c>
      <c r="D554" s="88" t="s">
        <v>388</v>
      </c>
      <c r="E554" s="30">
        <v>0.37847222222222227</v>
      </c>
      <c r="F554" s="30">
        <v>0.75694444444444453</v>
      </c>
      <c r="G554" s="31">
        <v>3</v>
      </c>
      <c r="H554" s="32">
        <v>1</v>
      </c>
      <c r="I554" s="135">
        <f t="shared" si="74"/>
        <v>9.0277777777778012E-3</v>
      </c>
      <c r="J554" s="155">
        <f t="shared" si="71"/>
        <v>-9.0277777777778012E-3</v>
      </c>
      <c r="K554" s="39"/>
      <c r="L554" s="39"/>
      <c r="M554" s="156"/>
      <c r="N554" s="79"/>
      <c r="O554" s="159" t="str">
        <f t="shared" si="72"/>
        <v/>
      </c>
      <c r="Q554" s="157">
        <f>(SUM(E$2:E$21)+SUM(E$25:E$154)+SUM(E$156:E554))/(COUNTA(E$2:E554)-4)</f>
        <v>0.38030217717717768</v>
      </c>
      <c r="R554" s="158">
        <f>(SUM(H$2:H554)*E$1+A554)/SUM(H$2:H554)</f>
        <v>0.34958990132000511</v>
      </c>
      <c r="S554" s="64"/>
    </row>
    <row r="555" spans="1:20" x14ac:dyDescent="0.3">
      <c r="A555" s="220">
        <f t="shared" si="68"/>
        <v>1.6472222222221995</v>
      </c>
      <c r="B555" s="28" t="s">
        <v>3</v>
      </c>
      <c r="C555" s="88">
        <f t="shared" si="70"/>
        <v>43538</v>
      </c>
      <c r="D555" s="88" t="s">
        <v>389</v>
      </c>
      <c r="E555" s="30">
        <v>0.37847222222222227</v>
      </c>
      <c r="F555" s="30">
        <v>0.75694444444444453</v>
      </c>
      <c r="G555" s="31">
        <v>1</v>
      </c>
      <c r="H555" s="32">
        <v>1</v>
      </c>
      <c r="I555" s="135" t="str">
        <f t="shared" si="74"/>
        <v/>
      </c>
      <c r="J555" s="155">
        <f t="shared" si="71"/>
        <v>1.8749999999999989E-2</v>
      </c>
      <c r="K555" s="39"/>
      <c r="L555" s="39"/>
      <c r="M555" s="156"/>
      <c r="N555" s="79"/>
      <c r="O555" s="159" t="str">
        <f t="shared" si="72"/>
        <v/>
      </c>
      <c r="Q555" s="157">
        <f>(SUM(E$2:E$21)+SUM(E$25:E$154)+SUM(E$156:E555))/(COUNTA(E$2:E555)-4)</f>
        <v>0.38029806491885193</v>
      </c>
      <c r="R555" s="158">
        <f>(SUM(H$2:H555)*E$1+A555)/SUM(H$2:H555)</f>
        <v>0.349624408643396</v>
      </c>
      <c r="S555" s="64"/>
    </row>
    <row r="556" spans="1:20" x14ac:dyDescent="0.3">
      <c r="A556" s="221">
        <f t="shared" si="68"/>
        <v>1.6381944444444216</v>
      </c>
      <c r="B556" s="19" t="s">
        <v>4</v>
      </c>
      <c r="C556" s="89">
        <f t="shared" si="70"/>
        <v>43539</v>
      </c>
      <c r="D556" s="89" t="s">
        <v>390</v>
      </c>
      <c r="E556" s="21">
        <v>0.37847222222222227</v>
      </c>
      <c r="F556" s="21">
        <v>0.72916666666666663</v>
      </c>
      <c r="G556" s="22">
        <v>0</v>
      </c>
      <c r="H556" s="23">
        <v>1</v>
      </c>
      <c r="I556" s="136">
        <f>IF(J556&lt;0,-J556,"")</f>
        <v>9.0277777777779122E-3</v>
      </c>
      <c r="J556" s="160">
        <f t="shared" si="71"/>
        <v>-9.0277777777779122E-3</v>
      </c>
      <c r="K556" s="37"/>
      <c r="L556" s="37"/>
      <c r="M556" s="161"/>
      <c r="N556" s="79"/>
      <c r="O556" s="159" t="str">
        <f t="shared" si="72"/>
        <v/>
      </c>
      <c r="P556" s="162">
        <f>A556-A551</f>
        <v>2.4305555555555358E-2</v>
      </c>
      <c r="Q556" s="157">
        <f>(SUM(E$2:E$21)+SUM(E$25:E$154)+SUM(E$156:E556))/(COUNTA(E$2:E556)-4)</f>
        <v>0.38029397110114649</v>
      </c>
      <c r="R556" s="158">
        <f>(SUM(H$2:H556)*E$1+A556)/SUM(H$2:H556)</f>
        <v>0.34959497384870519</v>
      </c>
      <c r="S556" s="57">
        <f>IF(COUNTA(M552:M556)=0,0,SUM(M552:M556)/COUNTA(M552:M556))</f>
        <v>0</v>
      </c>
      <c r="T556">
        <f>T551-3</f>
        <v>29</v>
      </c>
    </row>
    <row r="557" spans="1:20" x14ac:dyDescent="0.3">
      <c r="A557" s="219">
        <f t="shared" si="68"/>
        <v>1.6395833333333105</v>
      </c>
      <c r="B557" s="24" t="s">
        <v>0</v>
      </c>
      <c r="C557" s="90">
        <f t="shared" si="70"/>
        <v>43542</v>
      </c>
      <c r="D557" s="90" t="s">
        <v>391</v>
      </c>
      <c r="E557" s="26">
        <v>0.38194444444444442</v>
      </c>
      <c r="F557" s="26">
        <v>0.75694444444444453</v>
      </c>
      <c r="G557" s="27">
        <v>2</v>
      </c>
      <c r="H557" s="24">
        <v>1</v>
      </c>
      <c r="I557" s="134" t="str">
        <f t="shared" si="74"/>
        <v/>
      </c>
      <c r="J557" s="163">
        <f t="shared" si="71"/>
        <v>1.3888888888889395E-3</v>
      </c>
      <c r="K557" s="38"/>
      <c r="L557" s="38"/>
      <c r="M557" s="164"/>
      <c r="N557" s="79"/>
      <c r="O557" s="159" t="str">
        <f t="shared" si="72"/>
        <v/>
      </c>
      <c r="Q557" s="157">
        <f>(SUM(E$2:E$21)+SUM(E$25:E$154)+SUM(E$156:E557))/(COUNTA(E$2:E557)-4)</f>
        <v>0.38029766343524779</v>
      </c>
      <c r="R557" s="158">
        <f>(SUM(H$2:H557)*E$1+A557)/SUM(H$2:H557)</f>
        <v>0.34958953799159986</v>
      </c>
      <c r="S557" s="63"/>
    </row>
    <row r="558" spans="1:20" x14ac:dyDescent="0.3">
      <c r="A558" s="220">
        <f t="shared" si="68"/>
        <v>1.6548611111110882</v>
      </c>
      <c r="B558" s="28" t="s">
        <v>1</v>
      </c>
      <c r="C558" s="88">
        <f t="shared" si="70"/>
        <v>43543</v>
      </c>
      <c r="D558" s="88" t="s">
        <v>392</v>
      </c>
      <c r="E558" s="30">
        <v>0.38194444444444442</v>
      </c>
      <c r="F558" s="30">
        <v>0.75694444444444453</v>
      </c>
      <c r="G558" s="31">
        <v>1</v>
      </c>
      <c r="H558" s="32">
        <v>1</v>
      </c>
      <c r="I558" s="135" t="str">
        <f t="shared" si="74"/>
        <v/>
      </c>
      <c r="J558" s="155">
        <f t="shared" si="71"/>
        <v>1.5277777777777835E-2</v>
      </c>
      <c r="K558" s="39"/>
      <c r="L558" s="39"/>
      <c r="M558" s="156"/>
      <c r="N558" s="79"/>
      <c r="O558" s="159" t="str">
        <f t="shared" si="72"/>
        <v/>
      </c>
      <c r="Q558" s="157">
        <f>(SUM(E$2:E$21)+SUM(E$25:E$154)+SUM(E$156:E558))/(COUNTA(E$2:E558)-4)</f>
        <v>0.3803013392857148</v>
      </c>
      <c r="R558" s="158">
        <f>(SUM(H$2:H558)*E$1+A558)/SUM(H$2:H558)</f>
        <v>0.34961587301587294</v>
      </c>
      <c r="S558" s="64"/>
    </row>
    <row r="559" spans="1:20" x14ac:dyDescent="0.3">
      <c r="A559" s="220">
        <f t="shared" si="68"/>
        <v>1.6562499999999771</v>
      </c>
      <c r="B559" s="28" t="s">
        <v>2</v>
      </c>
      <c r="C559" s="88">
        <f t="shared" si="70"/>
        <v>43544</v>
      </c>
      <c r="D559" s="88" t="s">
        <v>393</v>
      </c>
      <c r="E559" s="30">
        <v>0.38194444444444442</v>
      </c>
      <c r="F559" s="30">
        <v>0.75694444444444453</v>
      </c>
      <c r="G559" s="31">
        <v>2</v>
      </c>
      <c r="H559" s="32">
        <v>1</v>
      </c>
      <c r="I559" s="135" t="str">
        <f t="shared" si="74"/>
        <v/>
      </c>
      <c r="J559" s="155">
        <f t="shared" si="71"/>
        <v>1.3888888888889395E-3</v>
      </c>
      <c r="K559" s="39"/>
      <c r="L559" s="39"/>
      <c r="M559" s="156"/>
      <c r="N559" s="79"/>
      <c r="O559" s="159" t="str">
        <f t="shared" si="72"/>
        <v/>
      </c>
      <c r="Q559" s="157">
        <f>(SUM(E$2:E$21)+SUM(E$25:E$154)+SUM(E$156:E559))/(COUNTA(E$2:E559)-4)</f>
        <v>0.38030499876268298</v>
      </c>
      <c r="R559" s="158">
        <f>(SUM(H$2:H559)*E$1+A559)/SUM(H$2:H559)</f>
        <v>0.34961041429114398</v>
      </c>
      <c r="S559" s="64"/>
    </row>
    <row r="560" spans="1:20" x14ac:dyDescent="0.3">
      <c r="A560" s="220">
        <f t="shared" si="68"/>
        <v>1.6562499999999771</v>
      </c>
      <c r="B560" s="28" t="s">
        <v>3</v>
      </c>
      <c r="C560" s="48">
        <f t="shared" si="70"/>
        <v>43545</v>
      </c>
      <c r="D560" s="48" t="s">
        <v>394</v>
      </c>
      <c r="E560" s="30"/>
      <c r="F560" s="30"/>
      <c r="G560" s="31"/>
      <c r="H560" s="32"/>
      <c r="I560" s="135" t="str">
        <f t="shared" si="74"/>
        <v/>
      </c>
      <c r="J560" s="155">
        <f t="shared" si="71"/>
        <v>0</v>
      </c>
      <c r="K560" s="39"/>
      <c r="L560" s="39"/>
      <c r="M560" s="156"/>
      <c r="N560" s="79"/>
      <c r="O560" s="159" t="str">
        <f t="shared" si="72"/>
        <v/>
      </c>
      <c r="Q560" s="157">
        <f>(SUM(E$2:E$21)+SUM(E$25:E$154)+SUM(E$156:E560))/(COUNTA(E$2:E560)-4)</f>
        <v>0.38030499876268298</v>
      </c>
      <c r="R560" s="158">
        <f>(SUM(H$2:H560)*E$1+A560)/SUM(H$2:H560)</f>
        <v>0.34961041429114398</v>
      </c>
      <c r="S560" s="64"/>
    </row>
    <row r="561" spans="1:20" x14ac:dyDescent="0.3">
      <c r="A561" s="221">
        <f t="shared" si="68"/>
        <v>1.6541666666666437</v>
      </c>
      <c r="B561" s="19" t="s">
        <v>4</v>
      </c>
      <c r="C561" s="89">
        <f t="shared" si="70"/>
        <v>43546</v>
      </c>
      <c r="D561" s="89" t="s">
        <v>395</v>
      </c>
      <c r="E561" s="21">
        <v>0.38194444444444442</v>
      </c>
      <c r="F561" s="21">
        <v>0.73958333333333337</v>
      </c>
      <c r="G561" s="22">
        <v>0</v>
      </c>
      <c r="H561" s="23">
        <v>1</v>
      </c>
      <c r="I561" s="136">
        <f>IF(J561&lt;0,-J561,"")</f>
        <v>2.0833333333333259E-3</v>
      </c>
      <c r="J561" s="160">
        <f t="shared" si="71"/>
        <v>-2.0833333333333259E-3</v>
      </c>
      <c r="K561" s="37"/>
      <c r="L561" s="37"/>
      <c r="M561" s="161"/>
      <c r="N561" s="79"/>
      <c r="O561" s="159" t="str">
        <f t="shared" si="72"/>
        <v/>
      </c>
      <c r="P561" s="162">
        <f>A561-A556</f>
        <v>1.5972222222222054E-2</v>
      </c>
      <c r="Q561" s="157">
        <f>(SUM(E$2:E$21)+SUM(E$25:E$154)+SUM(E$156:E561))/(COUNTA(E$2:E561)-4)</f>
        <v>0.38030864197530911</v>
      </c>
      <c r="R561" s="158">
        <f>(SUM(H$2:H561)*E$1+A561)/SUM(H$2:H561)</f>
        <v>0.34959708001516876</v>
      </c>
      <c r="S561" s="57">
        <f>IF(COUNTA(M557:M561)=0,0,SUM(M557:M561)/COUNTA(M557:M561))</f>
        <v>0</v>
      </c>
      <c r="T561">
        <f>T556-1</f>
        <v>28</v>
      </c>
    </row>
    <row r="562" spans="1:20" x14ac:dyDescent="0.3">
      <c r="A562" s="219">
        <f t="shared" si="68"/>
        <v>1.6555555555555326</v>
      </c>
      <c r="B562" s="24" t="s">
        <v>0</v>
      </c>
      <c r="C562" s="90">
        <f t="shared" si="70"/>
        <v>43549</v>
      </c>
      <c r="D562" s="90" t="s">
        <v>396</v>
      </c>
      <c r="E562" s="26">
        <v>0.38194444444444442</v>
      </c>
      <c r="F562" s="26">
        <v>0.75694444444444453</v>
      </c>
      <c r="G562" s="27">
        <v>2</v>
      </c>
      <c r="H562" s="24">
        <v>1</v>
      </c>
      <c r="I562" s="134" t="str">
        <f t="shared" si="74"/>
        <v/>
      </c>
      <c r="J562" s="163">
        <f t="shared" si="71"/>
        <v>1.3888888888889395E-3</v>
      </c>
      <c r="K562" s="38"/>
      <c r="L562" s="38"/>
      <c r="M562" s="164"/>
      <c r="N562" s="79"/>
      <c r="O562" s="159" t="str">
        <f t="shared" si="72"/>
        <v/>
      </c>
      <c r="Q562" s="157">
        <f>(SUM(E$2:E$21)+SUM(E$25:E$154)+SUM(E$156:E562))/(COUNTA(E$2:E562)-4)</f>
        <v>0.38031226903178172</v>
      </c>
      <c r="R562" s="158">
        <f>(SUM(H$2:H562)*E$1+A562)/SUM(H$2:H562)</f>
        <v>0.34959168873754576</v>
      </c>
      <c r="S562" s="63"/>
    </row>
    <row r="563" spans="1:20" x14ac:dyDescent="0.3">
      <c r="A563" s="220">
        <f t="shared" si="68"/>
        <v>1.6708333333333103</v>
      </c>
      <c r="B563" s="28" t="s">
        <v>1</v>
      </c>
      <c r="C563" s="88">
        <f t="shared" si="70"/>
        <v>43550</v>
      </c>
      <c r="D563" s="88" t="s">
        <v>397</v>
      </c>
      <c r="E563" s="30">
        <v>0.38194444444444442</v>
      </c>
      <c r="F563" s="30">
        <v>0.75694444444444453</v>
      </c>
      <c r="G563" s="31">
        <v>1</v>
      </c>
      <c r="H563" s="32">
        <v>1</v>
      </c>
      <c r="I563" s="135" t="str">
        <f t="shared" si="74"/>
        <v/>
      </c>
      <c r="J563" s="155">
        <f t="shared" si="71"/>
        <v>1.5277777777777835E-2</v>
      </c>
      <c r="K563" s="39"/>
      <c r="L563" s="39"/>
      <c r="M563" s="156"/>
      <c r="N563" s="79"/>
      <c r="O563" s="159" t="str">
        <f t="shared" si="72"/>
        <v/>
      </c>
      <c r="Q563" s="157">
        <f>(SUM(E$2:E$21)+SUM(E$25:E$154)+SUM(E$156:E563))/(COUNTA(E$2:E563)-4)</f>
        <v>0.38031588003933192</v>
      </c>
      <c r="R563" s="158">
        <f>(SUM(H$2:H563)*E$1+A563)/SUM(H$2:H563)</f>
        <v>0.34961778029445079</v>
      </c>
      <c r="S563" s="64"/>
    </row>
    <row r="564" spans="1:20" x14ac:dyDescent="0.3">
      <c r="A564" s="220">
        <f t="shared" si="68"/>
        <v>1.6583333333333103</v>
      </c>
      <c r="B564" s="28" t="s">
        <v>2</v>
      </c>
      <c r="C564" s="88">
        <f t="shared" si="70"/>
        <v>43551</v>
      </c>
      <c r="D564" s="88" t="s">
        <v>398</v>
      </c>
      <c r="E564" s="30">
        <v>0.38194444444444442</v>
      </c>
      <c r="F564" s="30">
        <v>0.75694444444444453</v>
      </c>
      <c r="G564" s="31">
        <v>3</v>
      </c>
      <c r="H564" s="32">
        <v>1</v>
      </c>
      <c r="I564" s="135">
        <f t="shared" si="74"/>
        <v>1.2499999999999956E-2</v>
      </c>
      <c r="J564" s="155">
        <f t="shared" si="71"/>
        <v>-1.2499999999999956E-2</v>
      </c>
      <c r="K564" s="39"/>
      <c r="L564" s="39"/>
      <c r="M564" s="156"/>
      <c r="N564" s="79"/>
      <c r="O564" s="159" t="str">
        <f t="shared" si="72"/>
        <v/>
      </c>
      <c r="Q564" s="157">
        <f>(SUM(E$2:E$21)+SUM(E$25:E$154)+SUM(E$156:E564))/(COUNTA(E$2:E564)-4)</f>
        <v>0.38031947510424391</v>
      </c>
      <c r="R564" s="158">
        <f>(SUM(H$2:H564)*E$1+A564)/SUM(H$2:H564)</f>
        <v>0.3495809792843691</v>
      </c>
      <c r="S564" s="64"/>
    </row>
    <row r="565" spans="1:20" x14ac:dyDescent="0.3">
      <c r="A565" s="220">
        <f t="shared" si="68"/>
        <v>1.6736111111110881</v>
      </c>
      <c r="B565" s="28" t="s">
        <v>3</v>
      </c>
      <c r="C565" s="88">
        <f t="shared" si="70"/>
        <v>43552</v>
      </c>
      <c r="D565" s="88" t="s">
        <v>399</v>
      </c>
      <c r="E565" s="30">
        <v>0.38194444444444442</v>
      </c>
      <c r="F565" s="30">
        <v>0.75694444444444453</v>
      </c>
      <c r="G565" s="31">
        <v>1</v>
      </c>
      <c r="H565" s="32">
        <v>1</v>
      </c>
      <c r="I565" s="135" t="str">
        <f t="shared" si="74"/>
        <v/>
      </c>
      <c r="J565" s="155">
        <f t="shared" si="71"/>
        <v>1.5277777777777835E-2</v>
      </c>
      <c r="K565" s="39"/>
      <c r="L565" s="39"/>
      <c r="M565" s="156"/>
      <c r="N565" s="79"/>
      <c r="O565" s="159" t="str">
        <f t="shared" si="72"/>
        <v/>
      </c>
      <c r="Q565" s="157">
        <f>(SUM(E$2:E$21)+SUM(E$25:E$154)+SUM(E$156:E565))/(COUNTA(E$2:E565)-4)</f>
        <v>0.38032305433186553</v>
      </c>
      <c r="R565" s="158">
        <f>(SUM(H$2:H565)*E$1+A565)/SUM(H$2:H565)</f>
        <v>0.3496069773268195</v>
      </c>
      <c r="S565" s="64"/>
    </row>
    <row r="566" spans="1:20" x14ac:dyDescent="0.3">
      <c r="A566" s="221">
        <f t="shared" si="68"/>
        <v>1.6715277777777549</v>
      </c>
      <c r="B566" s="19" t="s">
        <v>4</v>
      </c>
      <c r="C566" s="89">
        <f t="shared" si="70"/>
        <v>43553</v>
      </c>
      <c r="D566" s="89" t="s">
        <v>400</v>
      </c>
      <c r="E566" s="21">
        <v>0.38194444444444442</v>
      </c>
      <c r="F566" s="21">
        <v>0.73958333333333337</v>
      </c>
      <c r="G566" s="22">
        <v>0</v>
      </c>
      <c r="H566" s="23">
        <v>1</v>
      </c>
      <c r="I566" s="136">
        <f>IF(J566&lt;0,-J566,"")</f>
        <v>2.0833333333333259E-3</v>
      </c>
      <c r="J566" s="160">
        <f t="shared" si="71"/>
        <v>-2.0833333333333259E-3</v>
      </c>
      <c r="K566" s="37"/>
      <c r="L566" s="37"/>
      <c r="M566" s="161"/>
      <c r="N566" s="79">
        <f>SUM(H547:H566)</f>
        <v>19</v>
      </c>
      <c r="O566" s="159" t="str">
        <f t="shared" si="72"/>
        <v/>
      </c>
      <c r="P566" s="162">
        <f>A566-A561</f>
        <v>1.736111111111116E-2</v>
      </c>
      <c r="Q566" s="157">
        <f>(SUM(E$2:E$21)+SUM(E$25:E$154)+SUM(E$156:E566))/(COUNTA(E$2:E566)-4)</f>
        <v>0.38032661782661847</v>
      </c>
      <c r="R566" s="158">
        <f>(SUM(H$2:H566)*E$1+A566)/SUM(H$2:H566)</f>
        <v>0.34959380077490315</v>
      </c>
      <c r="S566" s="57">
        <f>IF(COUNTA(M562:M566)=0,0,SUM(M562:M566)/COUNTA(M562:M566))</f>
        <v>0</v>
      </c>
      <c r="T566">
        <f>T561-3</f>
        <v>25</v>
      </c>
    </row>
    <row r="567" spans="1:20" x14ac:dyDescent="0.3">
      <c r="A567" s="219">
        <f t="shared" si="68"/>
        <v>1.6729166666666437</v>
      </c>
      <c r="B567" s="24" t="s">
        <v>0</v>
      </c>
      <c r="C567" s="90">
        <f t="shared" si="70"/>
        <v>43556</v>
      </c>
      <c r="D567" s="90" t="s">
        <v>401</v>
      </c>
      <c r="E567" s="26">
        <v>0.38194444444444442</v>
      </c>
      <c r="F567" s="26">
        <v>0.75694444444444453</v>
      </c>
      <c r="G567" s="27">
        <v>2</v>
      </c>
      <c r="H567" s="24">
        <v>1</v>
      </c>
      <c r="I567" s="134" t="str">
        <f t="shared" si="74"/>
        <v/>
      </c>
      <c r="J567" s="163">
        <f t="shared" si="71"/>
        <v>1.3888888888889395E-3</v>
      </c>
      <c r="K567" s="38"/>
      <c r="L567" s="38"/>
      <c r="M567" s="164"/>
      <c r="N567" s="79"/>
      <c r="O567" s="159" t="str">
        <f t="shared" si="72"/>
        <v/>
      </c>
      <c r="Q567" s="157">
        <f>(SUM(E$2:E$21)+SUM(E$25:E$154)+SUM(E$156:E567))/(COUNTA(E$2:E567)-4)</f>
        <v>0.38033016569200845</v>
      </c>
      <c r="R567" s="158">
        <f>(SUM(H$2:H567)*E$1+A567)/SUM(H$2:H567)</f>
        <v>0.34958847736625515</v>
      </c>
      <c r="S567" s="63"/>
    </row>
    <row r="568" spans="1:20" x14ac:dyDescent="0.3">
      <c r="A568" s="220">
        <f t="shared" si="68"/>
        <v>1.6881944444444215</v>
      </c>
      <c r="B568" s="28" t="s">
        <v>1</v>
      </c>
      <c r="C568" s="88">
        <f t="shared" si="70"/>
        <v>43557</v>
      </c>
      <c r="D568" s="88" t="s">
        <v>402</v>
      </c>
      <c r="E568" s="30">
        <v>0.38194444444444442</v>
      </c>
      <c r="F568" s="30">
        <v>0.75694444444444453</v>
      </c>
      <c r="G568" s="31">
        <v>1</v>
      </c>
      <c r="H568" s="32">
        <v>1</v>
      </c>
      <c r="I568" s="135" t="str">
        <f t="shared" si="74"/>
        <v/>
      </c>
      <c r="J568" s="155">
        <f t="shared" si="71"/>
        <v>1.5277777777777835E-2</v>
      </c>
      <c r="K568" s="39"/>
      <c r="L568" s="39"/>
      <c r="M568" s="156"/>
      <c r="N568" s="79"/>
      <c r="O568" s="159" t="str">
        <f t="shared" si="72"/>
        <v/>
      </c>
      <c r="Q568" s="157">
        <f>(SUM(E$2:E$21)+SUM(E$25:E$154)+SUM(E$156:E568))/(COUNTA(E$2:E568)-4)</f>
        <v>0.38033369803063527</v>
      </c>
      <c r="R568" s="158">
        <f>(SUM(H$2:H568)*E$1+A568)/SUM(H$2:H568)</f>
        <v>0.34961428393679234</v>
      </c>
      <c r="S568" s="64"/>
    </row>
    <row r="569" spans="1:20" x14ac:dyDescent="0.3">
      <c r="A569" s="220">
        <f t="shared" si="68"/>
        <v>1.6895833333333103</v>
      </c>
      <c r="B569" s="28" t="s">
        <v>2</v>
      </c>
      <c r="C569" s="88">
        <f t="shared" si="70"/>
        <v>43558</v>
      </c>
      <c r="D569" s="88" t="s">
        <v>403</v>
      </c>
      <c r="E569" s="30">
        <v>0.38194444444444442</v>
      </c>
      <c r="F569" s="30">
        <v>0.75694444444444453</v>
      </c>
      <c r="G569" s="31">
        <v>2</v>
      </c>
      <c r="H569" s="32">
        <v>1</v>
      </c>
      <c r="I569" s="135" t="str">
        <f t="shared" si="74"/>
        <v/>
      </c>
      <c r="J569" s="155">
        <f t="shared" si="71"/>
        <v>1.3888888888889395E-3</v>
      </c>
      <c r="K569" s="39"/>
      <c r="L569" s="39"/>
      <c r="M569" s="156"/>
      <c r="N569" s="79"/>
      <c r="O569" s="159" t="str">
        <f t="shared" si="72"/>
        <v/>
      </c>
      <c r="Q569" s="157">
        <f>(SUM(E$2:E$21)+SUM(E$25:E$154)+SUM(E$156:E569))/(COUNTA(E$2:E569)-4)</f>
        <v>0.38033721494420253</v>
      </c>
      <c r="R569" s="158">
        <f>(SUM(H$2:H569)*E$1+A569)/SUM(H$2:H569)</f>
        <v>0.34960893854748598</v>
      </c>
      <c r="S569" s="64"/>
    </row>
    <row r="570" spans="1:20" x14ac:dyDescent="0.3">
      <c r="A570" s="220">
        <f t="shared" si="68"/>
        <v>1.6631944444444215</v>
      </c>
      <c r="B570" s="28" t="s">
        <v>3</v>
      </c>
      <c r="C570" s="88">
        <f t="shared" si="70"/>
        <v>43559</v>
      </c>
      <c r="D570" s="88" t="s">
        <v>404</v>
      </c>
      <c r="E570" s="30">
        <v>0.38194444444444442</v>
      </c>
      <c r="F570" s="30">
        <v>0.75694444444444453</v>
      </c>
      <c r="G570" s="31">
        <v>4</v>
      </c>
      <c r="H570" s="32">
        <v>1</v>
      </c>
      <c r="I570" s="135">
        <f t="shared" si="74"/>
        <v>2.6388888888888851E-2</v>
      </c>
      <c r="J570" s="155">
        <f t="shared" si="71"/>
        <v>-2.6388888888888851E-2</v>
      </c>
      <c r="K570" s="39"/>
      <c r="L570" s="39"/>
      <c r="M570" s="156"/>
      <c r="N570" s="79"/>
      <c r="O570" s="159" t="str">
        <f t="shared" si="72"/>
        <v/>
      </c>
      <c r="Q570" s="157">
        <f>(SUM(E$2:E$21)+SUM(E$25:E$154)+SUM(E$156:E570))/(COUNTA(E$2:E570)-4)</f>
        <v>0.38034071653352775</v>
      </c>
      <c r="R570" s="158">
        <f>(SUM(H$2:H570)*E$1+A570)/SUM(H$2:H570)</f>
        <v>0.34954168215037779</v>
      </c>
      <c r="S570" s="64"/>
    </row>
    <row r="571" spans="1:20" x14ac:dyDescent="0.3">
      <c r="A571" s="221">
        <f t="shared" si="68"/>
        <v>1.6611111111110883</v>
      </c>
      <c r="B571" s="19" t="s">
        <v>4</v>
      </c>
      <c r="C571" s="89">
        <f t="shared" si="70"/>
        <v>43560</v>
      </c>
      <c r="D571" s="89" t="s">
        <v>405</v>
      </c>
      <c r="E571" s="21">
        <v>0.38194444444444442</v>
      </c>
      <c r="F571" s="21">
        <v>0.73958333333333337</v>
      </c>
      <c r="G571" s="22">
        <v>0</v>
      </c>
      <c r="H571" s="23">
        <v>1</v>
      </c>
      <c r="I571" s="136">
        <f>IF(J571&lt;0,-J571,"")</f>
        <v>2.0833333333333259E-3</v>
      </c>
      <c r="J571" s="160">
        <f t="shared" si="71"/>
        <v>-2.0833333333333259E-3</v>
      </c>
      <c r="K571" s="37"/>
      <c r="L571" s="37"/>
      <c r="M571" s="161"/>
      <c r="N571" s="79"/>
      <c r="O571" s="159">
        <f t="shared" si="72"/>
        <v>1.0416666666666519E-2</v>
      </c>
      <c r="P571" s="162">
        <f>A571-A566</f>
        <v>-1.0416666666666519E-2</v>
      </c>
      <c r="Q571" s="157">
        <f>(SUM(E$2:E$21)+SUM(E$25:E$154)+SUM(E$156:E571))/(COUNTA(E$2:E571)-4)</f>
        <v>0.38034420289855148</v>
      </c>
      <c r="R571" s="158">
        <f>(SUM(H$2:H571)*E$1+A571)/SUM(H$2:H571)</f>
        <v>0.34952879742924237</v>
      </c>
      <c r="S571" s="57">
        <f>IF(COUNTA(M567:M571)=0,0,SUM(M567:M571)/COUNTA(M567:M571))</f>
        <v>0</v>
      </c>
    </row>
    <row r="572" spans="1:20" x14ac:dyDescent="0.3">
      <c r="A572" s="219">
        <f t="shared" si="68"/>
        <v>1.6624999999999772</v>
      </c>
      <c r="B572" s="24" t="s">
        <v>0</v>
      </c>
      <c r="C572" s="90">
        <f t="shared" si="70"/>
        <v>43563</v>
      </c>
      <c r="D572" s="90" t="s">
        <v>16</v>
      </c>
      <c r="E572" s="26">
        <v>0.38194444444444442</v>
      </c>
      <c r="F572" s="26">
        <v>0.75694444444444453</v>
      </c>
      <c r="G572" s="27">
        <v>2</v>
      </c>
      <c r="H572" s="24">
        <v>1</v>
      </c>
      <c r="I572" s="134" t="str">
        <f t="shared" ref="I572:I590" si="75">IF(J572&lt;0,-J572,"")</f>
        <v/>
      </c>
      <c r="J572" s="163">
        <f t="shared" si="71"/>
        <v>1.3888888888889395E-3</v>
      </c>
      <c r="K572" s="38"/>
      <c r="L572" s="38"/>
      <c r="M572" s="164"/>
      <c r="N572" s="79"/>
      <c r="O572" s="159" t="str">
        <f t="shared" si="72"/>
        <v/>
      </c>
      <c r="Q572" s="157">
        <f>(SUM(E$2:E$21)+SUM(E$25:E$154)+SUM(E$156:E572))/(COUNTA(E$2:E572)-4)</f>
        <v>0.38034767413834736</v>
      </c>
      <c r="R572" s="158">
        <f>(SUM(H$2:H572)*E$1+A572)/SUM(H$2:H572)</f>
        <v>0.34952367739548645</v>
      </c>
      <c r="S572" s="63"/>
    </row>
    <row r="573" spans="1:20" x14ac:dyDescent="0.3">
      <c r="A573" s="220">
        <f t="shared" si="68"/>
        <v>1.6777777777777549</v>
      </c>
      <c r="B573" s="28" t="s">
        <v>1</v>
      </c>
      <c r="C573" s="88">
        <f t="shared" si="70"/>
        <v>43564</v>
      </c>
      <c r="D573" s="88" t="s">
        <v>17</v>
      </c>
      <c r="E573" s="30">
        <v>0.38194444444444442</v>
      </c>
      <c r="F573" s="30">
        <v>0.75694444444444453</v>
      </c>
      <c r="G573" s="31">
        <v>1</v>
      </c>
      <c r="H573" s="32">
        <v>1</v>
      </c>
      <c r="I573" s="135" t="str">
        <f t="shared" si="75"/>
        <v/>
      </c>
      <c r="J573" s="155">
        <f t="shared" si="71"/>
        <v>1.5277777777777835E-2</v>
      </c>
      <c r="K573" s="39"/>
      <c r="L573" s="39"/>
      <c r="M573" s="156"/>
      <c r="N573" s="79"/>
      <c r="O573" s="159" t="str">
        <f t="shared" si="72"/>
        <v/>
      </c>
      <c r="Q573" s="157">
        <f>(SUM(E$2:E$21)+SUM(E$25:E$154)+SUM(E$156:E573))/(COUNTA(E$2:E573)-4)</f>
        <v>0.38035113035113116</v>
      </c>
      <c r="R573" s="158">
        <f>(SUM(H$2:H573)*E$1+A573)/SUM(H$2:H573)</f>
        <v>0.34954934170050445</v>
      </c>
      <c r="S573" s="64"/>
    </row>
    <row r="574" spans="1:20" x14ac:dyDescent="0.3">
      <c r="A574" s="220">
        <f t="shared" si="68"/>
        <v>1.665277777777755</v>
      </c>
      <c r="B574" s="28" t="s">
        <v>2</v>
      </c>
      <c r="C574" s="88">
        <f t="shared" si="70"/>
        <v>43565</v>
      </c>
      <c r="D574" s="88" t="s">
        <v>270</v>
      </c>
      <c r="E574" s="30">
        <v>0.38194444444444442</v>
      </c>
      <c r="F574" s="30">
        <v>0.75694444444444453</v>
      </c>
      <c r="G574" s="31">
        <v>3</v>
      </c>
      <c r="H574" s="32">
        <v>1</v>
      </c>
      <c r="I574" s="135">
        <f t="shared" si="75"/>
        <v>1.2499999999999956E-2</v>
      </c>
      <c r="J574" s="155">
        <f t="shared" si="71"/>
        <v>-1.2499999999999956E-2</v>
      </c>
      <c r="K574" s="39"/>
      <c r="L574" s="39"/>
      <c r="M574" s="156"/>
      <c r="N574" s="79"/>
      <c r="O574" s="159" t="str">
        <f t="shared" si="72"/>
        <v/>
      </c>
      <c r="Q574" s="157">
        <f>(SUM(E$2:E$21)+SUM(E$25:E$154)+SUM(E$156:E574))/(COUNTA(E$2:E574)-4)</f>
        <v>0.38035457163427011</v>
      </c>
      <c r="R574" s="158">
        <f>(SUM(H$2:H574)*E$1+A574)/SUM(H$2:H574)</f>
        <v>0.34951350521792507</v>
      </c>
      <c r="S574" s="64"/>
    </row>
    <row r="575" spans="1:20" x14ac:dyDescent="0.3">
      <c r="A575" s="220">
        <f t="shared" ref="A575:A638" si="76">A574+J575</f>
        <v>1.6805555555555327</v>
      </c>
      <c r="B575" s="28" t="s">
        <v>3</v>
      </c>
      <c r="C575" s="88">
        <f t="shared" si="70"/>
        <v>43566</v>
      </c>
      <c r="D575" s="88" t="s">
        <v>271</v>
      </c>
      <c r="E575" s="30">
        <v>0.38194444444444442</v>
      </c>
      <c r="F575" s="30">
        <v>0.75694444444444453</v>
      </c>
      <c r="G575" s="31">
        <v>1</v>
      </c>
      <c r="H575" s="32">
        <v>1</v>
      </c>
      <c r="I575" s="135" t="str">
        <f t="shared" si="75"/>
        <v/>
      </c>
      <c r="J575" s="155">
        <f t="shared" si="71"/>
        <v>1.5277777777777835E-2</v>
      </c>
      <c r="K575" s="39"/>
      <c r="L575" s="39"/>
      <c r="M575" s="156"/>
      <c r="N575" s="79"/>
      <c r="O575" s="159" t="str">
        <f t="shared" si="72"/>
        <v/>
      </c>
      <c r="Q575" s="157">
        <f>(SUM(E$2:E$21)+SUM(E$25:E$154)+SUM(E$156:E575))/(COUNTA(E$2:E575)-4)</f>
        <v>0.38035799808429205</v>
      </c>
      <c r="R575" s="158">
        <f>(SUM(H$2:H575)*E$1+A575)/SUM(H$2:H575)</f>
        <v>0.34953907877006007</v>
      </c>
      <c r="S575" s="64"/>
    </row>
    <row r="576" spans="1:20" x14ac:dyDescent="0.3">
      <c r="A576" s="221">
        <f t="shared" si="76"/>
        <v>1.6784722222221995</v>
      </c>
      <c r="B576" s="19" t="s">
        <v>4</v>
      </c>
      <c r="C576" s="89">
        <f t="shared" si="70"/>
        <v>43567</v>
      </c>
      <c r="D576" s="89" t="s">
        <v>18</v>
      </c>
      <c r="E576" s="21">
        <v>0.38194444444444442</v>
      </c>
      <c r="F576" s="21">
        <v>0.73958333333333337</v>
      </c>
      <c r="G576" s="22">
        <v>0</v>
      </c>
      <c r="H576" s="23">
        <v>1</v>
      </c>
      <c r="I576" s="136">
        <f>IF(J576&lt;0,-J576,"")</f>
        <v>2.0833333333333259E-3</v>
      </c>
      <c r="J576" s="160">
        <f t="shared" si="71"/>
        <v>-2.0833333333333259E-3</v>
      </c>
      <c r="K576" s="37"/>
      <c r="L576" s="37"/>
      <c r="M576" s="161"/>
      <c r="N576" s="79"/>
      <c r="O576" s="159" t="str">
        <f t="shared" si="72"/>
        <v/>
      </c>
      <c r="P576" s="162">
        <f>A576-A571</f>
        <v>1.736111111111116E-2</v>
      </c>
      <c r="Q576" s="157">
        <f>(SUM(E$2:E$21)+SUM(E$25:E$154)+SUM(E$156:E576))/(COUNTA(E$2:E576)-4)</f>
        <v>0.38036140979689453</v>
      </c>
      <c r="R576" s="158">
        <f>(SUM(H$2:H576)*E$1+A576)/SUM(H$2:H576)</f>
        <v>0.34952634152304124</v>
      </c>
      <c r="S576" s="57">
        <f>IF(COUNTA(M572:M576)=0,0,SUM(M572:M576)/COUNTA(M572:M576))</f>
        <v>0</v>
      </c>
    </row>
    <row r="577" spans="1:19" x14ac:dyDescent="0.3">
      <c r="A577" s="219">
        <f t="shared" si="76"/>
        <v>1.6798611111110884</v>
      </c>
      <c r="B577" s="24" t="s">
        <v>0</v>
      </c>
      <c r="C577" s="90">
        <f t="shared" si="70"/>
        <v>43570</v>
      </c>
      <c r="D577" s="90" t="s">
        <v>21</v>
      </c>
      <c r="E577" s="26">
        <v>0.38194444444444442</v>
      </c>
      <c r="F577" s="26">
        <v>0.75694444444444453</v>
      </c>
      <c r="G577" s="27">
        <v>2</v>
      </c>
      <c r="H577" s="24">
        <v>1</v>
      </c>
      <c r="I577" s="134" t="str">
        <f t="shared" si="75"/>
        <v/>
      </c>
      <c r="J577" s="163">
        <f t="shared" si="71"/>
        <v>1.3888888888889395E-3</v>
      </c>
      <c r="K577" s="38"/>
      <c r="L577" s="38"/>
      <c r="M577" s="164"/>
      <c r="N577" s="79"/>
      <c r="O577" s="159" t="str">
        <f t="shared" si="72"/>
        <v/>
      </c>
      <c r="Q577" s="157">
        <f>(SUM(E$2:E$21)+SUM(E$25:E$154)+SUM(E$156:E577))/(COUNTA(E$2:E577)-4)</f>
        <v>0.38036480686695373</v>
      </c>
      <c r="R577" s="158">
        <f>(SUM(H$2:H577)*E$1+A577)/SUM(H$2:H577)</f>
        <v>0.34952128308330283</v>
      </c>
      <c r="S577" s="63"/>
    </row>
    <row r="578" spans="1:19" x14ac:dyDescent="0.3">
      <c r="A578" s="220">
        <f t="shared" si="76"/>
        <v>1.6951388888888661</v>
      </c>
      <c r="B578" s="28" t="s">
        <v>1</v>
      </c>
      <c r="C578" s="88">
        <f t="shared" si="70"/>
        <v>43571</v>
      </c>
      <c r="D578" s="88" t="s">
        <v>22</v>
      </c>
      <c r="E578" s="30">
        <v>0.38194444444444442</v>
      </c>
      <c r="F578" s="30">
        <v>0.75694444444444453</v>
      </c>
      <c r="G578" s="31">
        <v>1</v>
      </c>
      <c r="H578" s="32">
        <v>1</v>
      </c>
      <c r="I578" s="135" t="str">
        <f t="shared" si="75"/>
        <v/>
      </c>
      <c r="J578" s="155">
        <f t="shared" si="71"/>
        <v>1.5277777777777835E-2</v>
      </c>
      <c r="K578" s="39"/>
      <c r="L578" s="39"/>
      <c r="M578" s="156"/>
      <c r="N578" s="79"/>
      <c r="O578" s="159" t="str">
        <f t="shared" si="72"/>
        <v/>
      </c>
      <c r="Q578" s="157">
        <f>(SUM(E$2:E$21)+SUM(E$25:E$154)+SUM(E$156:E578))/(COUNTA(E$2:E578)-4)</f>
        <v>0.38036818938853295</v>
      </c>
      <c r="R578" s="158">
        <f>(SUM(H$2:H578)*E$1+A578)/SUM(H$2:H578)</f>
        <v>0.34954667153462338</v>
      </c>
      <c r="S578" s="64"/>
    </row>
    <row r="579" spans="1:19" x14ac:dyDescent="0.3">
      <c r="A579" s="220">
        <f t="shared" si="76"/>
        <v>1.696527777777755</v>
      </c>
      <c r="B579" s="28" t="s">
        <v>2</v>
      </c>
      <c r="C579" s="88">
        <f t="shared" si="70"/>
        <v>43572</v>
      </c>
      <c r="D579" s="88" t="s">
        <v>272</v>
      </c>
      <c r="E579" s="30">
        <v>0.38194444444444442</v>
      </c>
      <c r="F579" s="30">
        <v>0.75694444444444453</v>
      </c>
      <c r="G579" s="31">
        <v>2</v>
      </c>
      <c r="H579" s="32">
        <v>1</v>
      </c>
      <c r="I579" s="135" t="str">
        <f t="shared" si="75"/>
        <v/>
      </c>
      <c r="J579" s="155">
        <f t="shared" si="71"/>
        <v>1.3888888888889395E-3</v>
      </c>
      <c r="K579" s="39"/>
      <c r="L579" s="39"/>
      <c r="M579" s="156"/>
      <c r="N579" s="79"/>
      <c r="O579" s="159" t="str">
        <f t="shared" si="72"/>
        <v/>
      </c>
      <c r="Q579" s="157">
        <f>(SUM(E$2:E$21)+SUM(E$25:E$154)+SUM(E$156:E579))/(COUNTA(E$2:E579)-4)</f>
        <v>0.38037155745489176</v>
      </c>
      <c r="R579" s="158">
        <f>(SUM(H$2:H579)*E$1+A579)/SUM(H$2:H579)</f>
        <v>0.34954159077109898</v>
      </c>
      <c r="S579" s="64"/>
    </row>
    <row r="580" spans="1:19" x14ac:dyDescent="0.3">
      <c r="A580" s="220">
        <f t="shared" si="76"/>
        <v>1.6701388888888662</v>
      </c>
      <c r="B580" s="28" t="s">
        <v>3</v>
      </c>
      <c r="C580" s="88">
        <f t="shared" si="70"/>
        <v>43573</v>
      </c>
      <c r="D580" s="88" t="s">
        <v>273</v>
      </c>
      <c r="E580" s="30">
        <v>0.38194444444444442</v>
      </c>
      <c r="F580" s="30">
        <v>0.75694444444444453</v>
      </c>
      <c r="G580" s="31">
        <v>4</v>
      </c>
      <c r="H580" s="32">
        <v>1</v>
      </c>
      <c r="I580" s="135">
        <f t="shared" si="75"/>
        <v>2.6388888888888851E-2</v>
      </c>
      <c r="J580" s="155">
        <f t="shared" si="71"/>
        <v>-2.6388888888888851E-2</v>
      </c>
      <c r="K580" s="39"/>
      <c r="L580" s="39"/>
      <c r="M580" s="156"/>
      <c r="N580" s="79"/>
      <c r="O580" s="159" t="str">
        <f t="shared" si="72"/>
        <v/>
      </c>
      <c r="Q580" s="157">
        <f>(SUM(E$2:E$21)+SUM(E$25:E$154)+SUM(E$156:E580))/(COUNTA(E$2:E580)-4)</f>
        <v>0.38037491115849426</v>
      </c>
      <c r="R580" s="158">
        <f>(SUM(H$2:H580)*E$1+A580)/SUM(H$2:H580)</f>
        <v>0.34947594814007027</v>
      </c>
      <c r="S580" s="64"/>
    </row>
    <row r="581" spans="1:19" x14ac:dyDescent="0.3">
      <c r="A581" s="221">
        <f t="shared" si="76"/>
        <v>1.6701388888888662</v>
      </c>
      <c r="B581" s="19" t="s">
        <v>4</v>
      </c>
      <c r="C581" s="49">
        <f t="shared" si="70"/>
        <v>43574</v>
      </c>
      <c r="D581" s="49" t="s">
        <v>23</v>
      </c>
      <c r="E581" s="21"/>
      <c r="F581" s="21"/>
      <c r="G581" s="22"/>
      <c r="H581" s="23"/>
      <c r="I581" s="136" t="str">
        <f>IF(J581&lt;0,-J581,"")</f>
        <v/>
      </c>
      <c r="J581" s="160">
        <f t="shared" si="71"/>
        <v>0</v>
      </c>
      <c r="K581" s="37"/>
      <c r="L581" s="37"/>
      <c r="M581" s="161"/>
      <c r="N581" s="79"/>
      <c r="O581" s="159">
        <f t="shared" si="72"/>
        <v>8.3333333333333037E-3</v>
      </c>
      <c r="P581" s="162">
        <f>A581-A576</f>
        <v>-8.3333333333333037E-3</v>
      </c>
      <c r="Q581" s="157">
        <f>(SUM(E$2:E$21)+SUM(E$25:E$154)+SUM(E$156:E581))/(COUNTA(E$2:E581)-4)</f>
        <v>0.38037491115849426</v>
      </c>
      <c r="R581" s="158">
        <f>(SUM(H$2:H581)*E$1+A581)/SUM(H$2:H581)</f>
        <v>0.34947594814007027</v>
      </c>
      <c r="S581" s="57">
        <f>IF(COUNTA(M577:M581)=0,0,SUM(M577:M581)/COUNTA(M577:M581))</f>
        <v>0</v>
      </c>
    </row>
    <row r="582" spans="1:19" x14ac:dyDescent="0.3">
      <c r="A582" s="219">
        <f t="shared" si="76"/>
        <v>1.6701388888888662</v>
      </c>
      <c r="B582" s="24" t="s">
        <v>0</v>
      </c>
      <c r="C582" s="59">
        <f t="shared" si="70"/>
        <v>43577</v>
      </c>
      <c r="D582" s="59" t="s">
        <v>26</v>
      </c>
      <c r="E582" s="26"/>
      <c r="F582" s="26"/>
      <c r="G582" s="27"/>
      <c r="H582" s="24"/>
      <c r="I582" s="134" t="str">
        <f t="shared" si="75"/>
        <v/>
      </c>
      <c r="J582" s="163">
        <f t="shared" si="71"/>
        <v>0</v>
      </c>
      <c r="K582" s="38"/>
      <c r="L582" s="38"/>
      <c r="M582" s="164"/>
      <c r="N582" s="79"/>
      <c r="O582" s="159" t="str">
        <f t="shared" si="72"/>
        <v/>
      </c>
      <c r="Q582" s="157">
        <f>(SUM(E$2:E$21)+SUM(E$25:E$154)+SUM(E$156:E582))/(COUNTA(E$2:E582)-4)</f>
        <v>0.38037491115849426</v>
      </c>
      <c r="R582" s="158">
        <f>(SUM(H$2:H582)*E$1+A582)/SUM(H$2:H582)</f>
        <v>0.34947594814007027</v>
      </c>
      <c r="S582" s="63"/>
    </row>
    <row r="583" spans="1:19" x14ac:dyDescent="0.3">
      <c r="A583" s="220">
        <f t="shared" si="76"/>
        <v>1.6701388888888662</v>
      </c>
      <c r="B583" s="28" t="s">
        <v>1</v>
      </c>
      <c r="C583" s="48">
        <f t="shared" si="70"/>
        <v>43578</v>
      </c>
      <c r="D583" s="48" t="s">
        <v>27</v>
      </c>
      <c r="E583" s="30"/>
      <c r="F583" s="30"/>
      <c r="G583" s="31"/>
      <c r="H583" s="32"/>
      <c r="I583" s="135" t="str">
        <f t="shared" si="75"/>
        <v/>
      </c>
      <c r="J583" s="155">
        <f t="shared" si="71"/>
        <v>0</v>
      </c>
      <c r="K583" s="39"/>
      <c r="L583" s="39"/>
      <c r="M583" s="156"/>
      <c r="N583" s="79"/>
      <c r="O583" s="159" t="str">
        <f t="shared" si="72"/>
        <v/>
      </c>
      <c r="Q583" s="157">
        <f>(SUM(E$2:E$21)+SUM(E$25:E$154)+SUM(E$156:E583))/(COUNTA(E$2:E583)-4)</f>
        <v>0.38037491115849426</v>
      </c>
      <c r="R583" s="158">
        <f>(SUM(H$2:H583)*E$1+A583)/SUM(H$2:H583)</f>
        <v>0.34947594814007027</v>
      </c>
      <c r="S583" s="64"/>
    </row>
    <row r="584" spans="1:19" x14ac:dyDescent="0.3">
      <c r="A584" s="220">
        <f t="shared" si="76"/>
        <v>1.6701388888888662</v>
      </c>
      <c r="B584" s="28" t="s">
        <v>2</v>
      </c>
      <c r="C584" s="48">
        <f t="shared" ref="C584:C647" si="77">C579+7</f>
        <v>43579</v>
      </c>
      <c r="D584" s="48" t="s">
        <v>274</v>
      </c>
      <c r="E584" s="30"/>
      <c r="F584" s="30"/>
      <c r="G584" s="31"/>
      <c r="H584" s="32"/>
      <c r="I584" s="135" t="str">
        <f t="shared" si="75"/>
        <v/>
      </c>
      <c r="J584" s="155">
        <f t="shared" ref="J584:J647" si="78">IF(H584=1,F584-E584-MAX(G584,1)*$F$1-$E$1,F584-E584-$E$1*H584)</f>
        <v>0</v>
      </c>
      <c r="K584" s="39"/>
      <c r="L584" s="39"/>
      <c r="M584" s="156"/>
      <c r="N584" s="79"/>
      <c r="O584" s="159" t="str">
        <f t="shared" si="72"/>
        <v/>
      </c>
      <c r="Q584" s="157">
        <f>(SUM(E$2:E$21)+SUM(E$25:E$154)+SUM(E$156:E584))/(COUNTA(E$2:E584)-4)</f>
        <v>0.38037491115849426</v>
      </c>
      <c r="R584" s="158">
        <f>(SUM(H$2:H584)*E$1+A584)/SUM(H$2:H584)</f>
        <v>0.34947594814007027</v>
      </c>
      <c r="S584" s="64"/>
    </row>
    <row r="585" spans="1:19" x14ac:dyDescent="0.3">
      <c r="A585" s="220">
        <f t="shared" si="76"/>
        <v>1.6701388888888662</v>
      </c>
      <c r="B585" s="28" t="s">
        <v>3</v>
      </c>
      <c r="C585" s="48">
        <f t="shared" si="77"/>
        <v>43580</v>
      </c>
      <c r="D585" s="48" t="s">
        <v>275</v>
      </c>
      <c r="E585" s="30"/>
      <c r="F585" s="30"/>
      <c r="G585" s="31"/>
      <c r="H585" s="32"/>
      <c r="I585" s="135" t="str">
        <f t="shared" si="75"/>
        <v/>
      </c>
      <c r="J585" s="155">
        <f t="shared" si="78"/>
        <v>0</v>
      </c>
      <c r="K585" s="39"/>
      <c r="L585" s="39"/>
      <c r="M585" s="156"/>
      <c r="N585" s="79"/>
      <c r="O585" s="159" t="str">
        <f t="shared" si="72"/>
        <v/>
      </c>
      <c r="Q585" s="157">
        <f>(SUM(E$2:E$21)+SUM(E$25:E$154)+SUM(E$156:E585))/(COUNTA(E$2:E585)-4)</f>
        <v>0.38037491115849426</v>
      </c>
      <c r="R585" s="158">
        <f>(SUM(H$2:H585)*E$1+A585)/SUM(H$2:H585)</f>
        <v>0.34947594814007027</v>
      </c>
      <c r="S585" s="64"/>
    </row>
    <row r="586" spans="1:19" x14ac:dyDescent="0.3">
      <c r="A586" s="221">
        <f t="shared" si="76"/>
        <v>1.6701388888888662</v>
      </c>
      <c r="B586" s="19" t="s">
        <v>4</v>
      </c>
      <c r="C586" s="49">
        <f t="shared" si="77"/>
        <v>43581</v>
      </c>
      <c r="D586" s="49" t="s">
        <v>28</v>
      </c>
      <c r="E586" s="21"/>
      <c r="F586" s="21"/>
      <c r="G586" s="22"/>
      <c r="H586" s="23"/>
      <c r="I586" s="136" t="str">
        <f>IF(J586&lt;0,-J586,"")</f>
        <v/>
      </c>
      <c r="J586" s="160">
        <f t="shared" si="78"/>
        <v>0</v>
      </c>
      <c r="K586" s="37"/>
      <c r="L586" s="37"/>
      <c r="M586" s="161"/>
      <c r="N586" s="79"/>
      <c r="O586" s="159" t="str">
        <f t="shared" si="72"/>
        <v/>
      </c>
      <c r="P586" s="162">
        <f>A586-A581</f>
        <v>0</v>
      </c>
      <c r="Q586" s="157">
        <f>(SUM(E$2:E$21)+SUM(E$25:E$154)+SUM(E$156:E586))/(COUNTA(E$2:E586)-4)</f>
        <v>0.38037491115849426</v>
      </c>
      <c r="R586" s="158">
        <f>(SUM(H$2:H586)*E$1+A586)/SUM(H$2:H586)</f>
        <v>0.34947594814007027</v>
      </c>
      <c r="S586" s="57">
        <f>IF(COUNTA(M582:M586)=0,0,SUM(M582:M586)/COUNTA(M582:M586))</f>
        <v>0</v>
      </c>
    </row>
    <row r="587" spans="1:19" x14ac:dyDescent="0.3">
      <c r="A587" s="219">
        <f t="shared" si="76"/>
        <v>1.6715277777777551</v>
      </c>
      <c r="B587" s="24" t="s">
        <v>0</v>
      </c>
      <c r="C587" s="90">
        <f t="shared" si="77"/>
        <v>43584</v>
      </c>
      <c r="D587" s="90" t="s">
        <v>31</v>
      </c>
      <c r="E587" s="26">
        <v>0.38194444444444442</v>
      </c>
      <c r="F587" s="26">
        <v>0.75694444444444453</v>
      </c>
      <c r="G587" s="27">
        <v>2</v>
      </c>
      <c r="H587" s="24">
        <v>1</v>
      </c>
      <c r="I587" s="134" t="str">
        <f t="shared" si="75"/>
        <v/>
      </c>
      <c r="J587" s="163">
        <f t="shared" si="78"/>
        <v>1.3888888888889395E-3</v>
      </c>
      <c r="K587" s="38"/>
      <c r="L587" s="38"/>
      <c r="M587" s="164"/>
      <c r="N587" s="79"/>
      <c r="O587" s="159" t="str">
        <f t="shared" si="72"/>
        <v/>
      </c>
      <c r="Q587" s="157">
        <f>(SUM(E$2:E$21)+SUM(E$25:E$154)+SUM(E$156:E587))/(COUNTA(E$2:E587)-4)</f>
        <v>0.38037825059101754</v>
      </c>
      <c r="R587" s="158">
        <f>(SUM(H$2:H587)*E$1+A587)/SUM(H$2:H587)</f>
        <v>0.34947104340466689</v>
      </c>
      <c r="S587" s="63"/>
    </row>
    <row r="588" spans="1:19" x14ac:dyDescent="0.3">
      <c r="A588" s="220">
        <f t="shared" si="76"/>
        <v>1.672916666666644</v>
      </c>
      <c r="B588" s="28" t="s">
        <v>1</v>
      </c>
      <c r="C588" s="88">
        <f t="shared" si="77"/>
        <v>43585</v>
      </c>
      <c r="D588" s="88" t="s">
        <v>32</v>
      </c>
      <c r="E588" s="30">
        <v>0.38194444444444442</v>
      </c>
      <c r="F588" s="30">
        <v>0.74305555555555547</v>
      </c>
      <c r="G588" s="31">
        <v>1</v>
      </c>
      <c r="H588" s="32">
        <v>1</v>
      </c>
      <c r="I588" s="135" t="str">
        <f t="shared" si="75"/>
        <v/>
      </c>
      <c r="J588" s="155">
        <f t="shared" si="78"/>
        <v>1.3888888888887729E-3</v>
      </c>
      <c r="K588" s="39"/>
      <c r="L588" s="39"/>
      <c r="M588" s="156"/>
      <c r="N588" s="79">
        <f>SUM(H569:H588)</f>
        <v>14</v>
      </c>
      <c r="O588" s="159" t="str">
        <f t="shared" si="72"/>
        <v/>
      </c>
      <c r="Q588" s="157">
        <f>(SUM(E$2:E$21)+SUM(E$25:E$154)+SUM(E$156:E588))/(COUNTA(E$2:E588)-4)</f>
        <v>0.3803815758433603</v>
      </c>
      <c r="R588" s="158">
        <f>(SUM(H$2:H588)*E$1+A588)/SUM(H$2:H588)</f>
        <v>0.34946615997104596</v>
      </c>
      <c r="S588" s="64"/>
    </row>
    <row r="589" spans="1:19" x14ac:dyDescent="0.3">
      <c r="A589" s="220">
        <f t="shared" si="76"/>
        <v>1.672916666666644</v>
      </c>
      <c r="B589" s="28" t="s">
        <v>2</v>
      </c>
      <c r="C589" s="60">
        <f t="shared" si="77"/>
        <v>43586</v>
      </c>
      <c r="D589" s="60" t="s">
        <v>276</v>
      </c>
      <c r="E589" s="30"/>
      <c r="F589" s="30"/>
      <c r="G589" s="31"/>
      <c r="H589" s="32"/>
      <c r="I589" s="135" t="str">
        <f t="shared" si="75"/>
        <v/>
      </c>
      <c r="J589" s="155">
        <f t="shared" si="78"/>
        <v>0</v>
      </c>
      <c r="K589" s="39"/>
      <c r="L589" s="39"/>
      <c r="M589" s="156"/>
      <c r="N589" s="79"/>
      <c r="O589" s="159" t="str">
        <f t="shared" si="72"/>
        <v/>
      </c>
      <c r="Q589" s="157">
        <f>(SUM(E$2:E$21)+SUM(E$25:E$154)+SUM(E$156:E589))/(COUNTA(E$2:E589)-4)</f>
        <v>0.3803815758433603</v>
      </c>
      <c r="R589" s="158">
        <f>(SUM(H$2:H589)*E$1+A589)/SUM(H$2:H589)</f>
        <v>0.34946615997104596</v>
      </c>
      <c r="S589" s="64"/>
    </row>
    <row r="590" spans="1:19" x14ac:dyDescent="0.3">
      <c r="A590" s="220">
        <f t="shared" si="76"/>
        <v>1.6326388888888661</v>
      </c>
      <c r="B590" s="28" t="s">
        <v>3</v>
      </c>
      <c r="C590" s="88">
        <f t="shared" si="77"/>
        <v>43587</v>
      </c>
      <c r="D590" s="88" t="s">
        <v>277</v>
      </c>
      <c r="E590" s="30">
        <v>0.38194444444444442</v>
      </c>
      <c r="F590" s="30">
        <v>0.74305555555555547</v>
      </c>
      <c r="G590" s="31">
        <v>4</v>
      </c>
      <c r="H590" s="32">
        <v>1</v>
      </c>
      <c r="I590" s="135">
        <f t="shared" si="75"/>
        <v>4.0277777777777912E-2</v>
      </c>
      <c r="J590" s="155">
        <f t="shared" si="78"/>
        <v>-4.0277777777777912E-2</v>
      </c>
      <c r="K590" s="39"/>
      <c r="L590" s="39"/>
      <c r="M590" s="156"/>
      <c r="N590" s="79"/>
      <c r="O590" s="159" t="str">
        <f t="shared" si="72"/>
        <v/>
      </c>
      <c r="Q590" s="157">
        <f>(SUM(E$2:E$21)+SUM(E$25:E$154)+SUM(E$156:E590))/(COUNTA(E$2:E590)-4)</f>
        <v>0.38038488700565076</v>
      </c>
      <c r="R590" s="158">
        <f>(SUM(H$2:H590)*E$1+A590)/SUM(H$2:H590)</f>
        <v>0.34937101239918139</v>
      </c>
      <c r="S590" s="64"/>
    </row>
    <row r="591" spans="1:19" x14ac:dyDescent="0.3">
      <c r="A591" s="221">
        <f t="shared" si="76"/>
        <v>1.6305555555555329</v>
      </c>
      <c r="B591" s="19" t="s">
        <v>4</v>
      </c>
      <c r="C591" s="89">
        <f t="shared" si="77"/>
        <v>43588</v>
      </c>
      <c r="D591" s="89" t="s">
        <v>33</v>
      </c>
      <c r="E591" s="21">
        <v>0.38194444444444442</v>
      </c>
      <c r="F591" s="21">
        <v>0.73958333333333337</v>
      </c>
      <c r="G591" s="22">
        <v>0</v>
      </c>
      <c r="H591" s="23">
        <v>1</v>
      </c>
      <c r="I591" s="136">
        <f>IF(J591&lt;0,-J591,"")</f>
        <v>2.0833333333333259E-3</v>
      </c>
      <c r="J591" s="160">
        <f t="shared" si="78"/>
        <v>-2.0833333333333259E-3</v>
      </c>
      <c r="K591" s="37"/>
      <c r="L591" s="37"/>
      <c r="M591" s="161"/>
      <c r="N591" s="79"/>
      <c r="O591" s="159">
        <f t="shared" ref="O591:O654" si="79">IF(P591&lt;0,-P591,"")</f>
        <v>3.9583333333333304E-2</v>
      </c>
      <c r="P591" s="162">
        <f>A591-A586</f>
        <v>-3.9583333333333304E-2</v>
      </c>
      <c r="Q591" s="157">
        <f>(SUM(E$2:E$21)+SUM(E$25:E$154)+SUM(E$156:E591))/(COUNTA(E$2:E591)-4)</f>
        <v>0.38038818416725501</v>
      </c>
      <c r="R591" s="158">
        <f>(SUM(H$2:H591)*E$1+A591)/SUM(H$2:H591)</f>
        <v>0.34935885885885887</v>
      </c>
      <c r="S591" s="57">
        <f>IF(COUNTA(M587:M591)=0,0,SUM(M587:M591)/COUNTA(M587:M591))</f>
        <v>0</v>
      </c>
    </row>
    <row r="592" spans="1:19" x14ac:dyDescent="0.3">
      <c r="A592" s="219">
        <f t="shared" si="76"/>
        <v>1.6319444444444218</v>
      </c>
      <c r="B592" s="24" t="s">
        <v>0</v>
      </c>
      <c r="C592" s="90">
        <f t="shared" si="77"/>
        <v>43591</v>
      </c>
      <c r="D592" s="90" t="s">
        <v>36</v>
      </c>
      <c r="E592" s="26">
        <v>0.38194444444444442</v>
      </c>
      <c r="F592" s="26">
        <v>0.75694444444444453</v>
      </c>
      <c r="G592" s="27">
        <v>2</v>
      </c>
      <c r="H592" s="24">
        <v>1</v>
      </c>
      <c r="I592" s="134" t="str">
        <f t="shared" ref="I592:I610" si="80">IF(J592&lt;0,-J592,"")</f>
        <v/>
      </c>
      <c r="J592" s="163">
        <f t="shared" si="78"/>
        <v>1.3888888888889395E-3</v>
      </c>
      <c r="K592" s="38"/>
      <c r="L592" s="38"/>
      <c r="M592" s="164"/>
      <c r="N592" s="79"/>
      <c r="O592" s="159" t="str">
        <f t="shared" si="79"/>
        <v/>
      </c>
      <c r="Q592" s="157">
        <f>(SUM(E$2:E$21)+SUM(E$25:E$154)+SUM(E$156:E592))/(COUNTA(E$2:E592)-4)</f>
        <v>0.38039146741678498</v>
      </c>
      <c r="R592" s="158">
        <f>(SUM(H$2:H592)*E$1+A592)/SUM(H$2:H592)</f>
        <v>0.34935424907107754</v>
      </c>
      <c r="S592" s="63"/>
    </row>
    <row r="593" spans="1:19" x14ac:dyDescent="0.3">
      <c r="A593" s="220">
        <f t="shared" si="76"/>
        <v>1.6333333333333107</v>
      </c>
      <c r="B593" s="28" t="s">
        <v>1</v>
      </c>
      <c r="C593" s="88">
        <f t="shared" si="77"/>
        <v>43592</v>
      </c>
      <c r="D593" s="88" t="s">
        <v>37</v>
      </c>
      <c r="E593" s="30">
        <v>0.38194444444444442</v>
      </c>
      <c r="F593" s="30">
        <v>0.74305555555555547</v>
      </c>
      <c r="G593" s="31">
        <v>1</v>
      </c>
      <c r="H593" s="32">
        <v>1</v>
      </c>
      <c r="I593" s="135" t="str">
        <f t="shared" si="80"/>
        <v/>
      </c>
      <c r="J593" s="155">
        <f t="shared" si="78"/>
        <v>1.3888888888887729E-3</v>
      </c>
      <c r="K593" s="39"/>
      <c r="L593" s="39"/>
      <c r="M593" s="156"/>
      <c r="N593" s="79"/>
      <c r="O593" s="159" t="str">
        <f t="shared" si="79"/>
        <v/>
      </c>
      <c r="Q593" s="157">
        <f>(SUM(E$2:E$21)+SUM(E$25:E$154)+SUM(E$156:E593))/(COUNTA(E$2:E593)-4)</f>
        <v>0.3803947368421064</v>
      </c>
      <c r="R593" s="158">
        <f>(SUM(H$2:H593)*E$1+A593)/SUM(H$2:H593)</f>
        <v>0.34934965913168275</v>
      </c>
      <c r="S593" s="64"/>
    </row>
    <row r="594" spans="1:19" x14ac:dyDescent="0.3">
      <c r="A594" s="220">
        <f t="shared" si="76"/>
        <v>1.6333333333333107</v>
      </c>
      <c r="B594" s="28" t="s">
        <v>2</v>
      </c>
      <c r="C594" s="60">
        <f t="shared" si="77"/>
        <v>43593</v>
      </c>
      <c r="D594" s="60" t="s">
        <v>278</v>
      </c>
      <c r="E594" s="30"/>
      <c r="F594" s="30"/>
      <c r="G594" s="31"/>
      <c r="H594" s="32"/>
      <c r="I594" s="135" t="str">
        <f t="shared" si="80"/>
        <v/>
      </c>
      <c r="J594" s="155">
        <f t="shared" si="78"/>
        <v>0</v>
      </c>
      <c r="K594" s="39"/>
      <c r="L594" s="39"/>
      <c r="M594" s="156"/>
      <c r="N594" s="79"/>
      <c r="O594" s="159" t="str">
        <f t="shared" si="79"/>
        <v/>
      </c>
      <c r="Q594" s="157">
        <f>(SUM(E$2:E$21)+SUM(E$25:E$154)+SUM(E$156:E594))/(COUNTA(E$2:E594)-4)</f>
        <v>0.3803947368421064</v>
      </c>
      <c r="R594" s="158">
        <f>(SUM(H$2:H594)*E$1+A594)/SUM(H$2:H594)</f>
        <v>0.34934965913168275</v>
      </c>
      <c r="S594" s="64"/>
    </row>
    <row r="595" spans="1:19" x14ac:dyDescent="0.3">
      <c r="A595" s="220">
        <f t="shared" si="76"/>
        <v>1.6347222222221993</v>
      </c>
      <c r="B595" s="28" t="s">
        <v>3</v>
      </c>
      <c r="C595" s="88">
        <f t="shared" si="77"/>
        <v>43594</v>
      </c>
      <c r="D595" s="88" t="s">
        <v>279</v>
      </c>
      <c r="E595" s="30">
        <v>0.38194444444444442</v>
      </c>
      <c r="F595" s="30">
        <v>0.74305555555555547</v>
      </c>
      <c r="G595" s="31">
        <v>1</v>
      </c>
      <c r="H595" s="32">
        <v>1</v>
      </c>
      <c r="I595" s="135" t="str">
        <f t="shared" si="80"/>
        <v/>
      </c>
      <c r="J595" s="155">
        <f t="shared" si="78"/>
        <v>1.3888888888887729E-3</v>
      </c>
      <c r="K595" s="39"/>
      <c r="L595" s="39"/>
      <c r="M595" s="156"/>
      <c r="N595" s="79"/>
      <c r="O595" s="159" t="str">
        <f t="shared" si="79"/>
        <v/>
      </c>
      <c r="Q595" s="157">
        <f>(SUM(E$2:E$21)+SUM(E$25:E$154)+SUM(E$156:E595))/(COUNTA(E$2:E595)-4)</f>
        <v>0.38039799253034662</v>
      </c>
      <c r="R595" s="158">
        <f>(SUM(H$2:H595)*E$1+A595)/SUM(H$2:H595)</f>
        <v>0.34934508891275806</v>
      </c>
      <c r="S595" s="64"/>
    </row>
    <row r="596" spans="1:19" x14ac:dyDescent="0.3">
      <c r="A596" s="221">
        <f t="shared" si="76"/>
        <v>1.6326388888888661</v>
      </c>
      <c r="B596" s="19" t="s">
        <v>4</v>
      </c>
      <c r="C596" s="89">
        <f t="shared" si="77"/>
        <v>43595</v>
      </c>
      <c r="D596" s="89" t="s">
        <v>38</v>
      </c>
      <c r="E596" s="21">
        <v>0.38194444444444442</v>
      </c>
      <c r="F596" s="21">
        <v>0.73958333333333337</v>
      </c>
      <c r="G596" s="22">
        <v>0</v>
      </c>
      <c r="H596" s="23">
        <v>1</v>
      </c>
      <c r="I596" s="136">
        <f>IF(J596&lt;0,-J596,"")</f>
        <v>2.0833333333333259E-3</v>
      </c>
      <c r="J596" s="160">
        <f t="shared" si="78"/>
        <v>-2.0833333333333259E-3</v>
      </c>
      <c r="K596" s="37"/>
      <c r="L596" s="37"/>
      <c r="M596" s="161"/>
      <c r="N596" s="79"/>
      <c r="O596" s="159" t="str">
        <f t="shared" si="79"/>
        <v/>
      </c>
      <c r="P596" s="162">
        <f>A596-A591</f>
        <v>2.0833333333332149E-3</v>
      </c>
      <c r="Q596" s="157">
        <f>(SUM(E$2:E$21)+SUM(E$25:E$154)+SUM(E$156:E596))/(COUNTA(E$2:E596)-4)</f>
        <v>0.38040123456790242</v>
      </c>
      <c r="R596" s="158">
        <f>(SUM(H$2:H596)*E$1+A596)/SUM(H$2:H596)</f>
        <v>0.34933309515303079</v>
      </c>
      <c r="S596" s="57">
        <f>IF(COUNTA(M592:M596)=0,0,SUM(M592:M596)/COUNTA(M592:M596))</f>
        <v>0</v>
      </c>
    </row>
    <row r="597" spans="1:19" x14ac:dyDescent="0.3">
      <c r="A597" s="219">
        <f t="shared" si="76"/>
        <v>1.634027777777755</v>
      </c>
      <c r="B597" s="24" t="s">
        <v>0</v>
      </c>
      <c r="C597" s="90">
        <f t="shared" si="77"/>
        <v>43598</v>
      </c>
      <c r="D597" s="90" t="s">
        <v>41</v>
      </c>
      <c r="E597" s="26">
        <v>0.38194444444444442</v>
      </c>
      <c r="F597" s="26">
        <v>0.75694444444444453</v>
      </c>
      <c r="G597" s="27">
        <v>2</v>
      </c>
      <c r="H597" s="24">
        <v>1</v>
      </c>
      <c r="I597" s="134" t="str">
        <f t="shared" si="80"/>
        <v/>
      </c>
      <c r="J597" s="163">
        <f t="shared" si="78"/>
        <v>1.3888888888889395E-3</v>
      </c>
      <c r="K597" s="38"/>
      <c r="L597" s="38"/>
      <c r="M597" s="164"/>
      <c r="N597" s="79"/>
      <c r="O597" s="159" t="str">
        <f t="shared" si="79"/>
        <v/>
      </c>
      <c r="Q597" s="157">
        <f>(SUM(E$2:E$21)+SUM(E$25:E$154)+SUM(E$156:E597))/(COUNTA(E$2:E597)-4)</f>
        <v>0.3804044630404475</v>
      </c>
      <c r="R597" s="158">
        <f>(SUM(H$2:H597)*E$1+A597)/SUM(H$2:H597)</f>
        <v>0.34932857991681521</v>
      </c>
      <c r="S597" s="63"/>
    </row>
    <row r="598" spans="1:19" x14ac:dyDescent="0.3">
      <c r="A598" s="220">
        <f t="shared" si="76"/>
        <v>1.6493055555555327</v>
      </c>
      <c r="B598" s="28" t="s">
        <v>1</v>
      </c>
      <c r="C598" s="88">
        <f t="shared" si="77"/>
        <v>43599</v>
      </c>
      <c r="D598" s="88" t="s">
        <v>42</v>
      </c>
      <c r="E598" s="30">
        <v>0.38194444444444442</v>
      </c>
      <c r="F598" s="30">
        <v>0.75694444444444453</v>
      </c>
      <c r="G598" s="31">
        <v>1</v>
      </c>
      <c r="H598" s="32">
        <v>1</v>
      </c>
      <c r="I598" s="135" t="str">
        <f t="shared" si="80"/>
        <v/>
      </c>
      <c r="J598" s="155">
        <f t="shared" si="78"/>
        <v>1.5277777777777835E-2</v>
      </c>
      <c r="K598" s="39"/>
      <c r="L598" s="39"/>
      <c r="M598" s="156"/>
      <c r="N598" s="79"/>
      <c r="O598" s="159" t="str">
        <f t="shared" si="79"/>
        <v/>
      </c>
      <c r="Q598" s="157">
        <f>(SUM(E$2:E$21)+SUM(E$25:E$154)+SUM(E$156:E598))/(COUNTA(E$2:E598)-4)</f>
        <v>0.38040767803294023</v>
      </c>
      <c r="R598" s="158">
        <f>(SUM(H$2:H598)*E$1+A598)/SUM(H$2:H598)</f>
        <v>0.3493537293964189</v>
      </c>
      <c r="S598" s="64"/>
    </row>
    <row r="599" spans="1:19" x14ac:dyDescent="0.3">
      <c r="A599" s="220">
        <f t="shared" si="76"/>
        <v>1.6506944444444216</v>
      </c>
      <c r="B599" s="28" t="s">
        <v>2</v>
      </c>
      <c r="C599" s="88">
        <f t="shared" si="77"/>
        <v>43600</v>
      </c>
      <c r="D599" s="88" t="s">
        <v>280</v>
      </c>
      <c r="E599" s="30">
        <v>0.38194444444444442</v>
      </c>
      <c r="F599" s="30">
        <v>0.75694444444444453</v>
      </c>
      <c r="G599" s="31">
        <v>2</v>
      </c>
      <c r="H599" s="32">
        <v>1</v>
      </c>
      <c r="I599" s="135" t="str">
        <f t="shared" si="80"/>
        <v/>
      </c>
      <c r="J599" s="155">
        <f t="shared" si="78"/>
        <v>1.3888888888889395E-3</v>
      </c>
      <c r="K599" s="39"/>
      <c r="L599" s="39"/>
      <c r="M599" s="156"/>
      <c r="N599" s="79"/>
      <c r="O599" s="159" t="str">
        <f t="shared" si="79"/>
        <v/>
      </c>
      <c r="Q599" s="157">
        <f>(SUM(E$2:E$21)+SUM(E$25:E$154)+SUM(E$156:E599))/(COUNTA(E$2:E599)-4)</f>
        <v>0.38041087962963088</v>
      </c>
      <c r="R599" s="158">
        <f>(SUM(H$2:H599)*E$1+A599)/SUM(H$2:H599)</f>
        <v>0.34934918944503607</v>
      </c>
      <c r="S599" s="64"/>
    </row>
    <row r="600" spans="1:19" x14ac:dyDescent="0.3">
      <c r="A600" s="220">
        <f t="shared" si="76"/>
        <v>1.6243055555555328</v>
      </c>
      <c r="B600" s="28" t="s">
        <v>3</v>
      </c>
      <c r="C600" s="88">
        <f t="shared" si="77"/>
        <v>43601</v>
      </c>
      <c r="D600" s="88" t="s">
        <v>281</v>
      </c>
      <c r="E600" s="30">
        <v>0.38194444444444442</v>
      </c>
      <c r="F600" s="30">
        <v>0.75694444444444453</v>
      </c>
      <c r="G600" s="31">
        <v>4</v>
      </c>
      <c r="H600" s="32">
        <v>1</v>
      </c>
      <c r="I600" s="135">
        <f t="shared" si="80"/>
        <v>2.6388888888888851E-2</v>
      </c>
      <c r="J600" s="155">
        <f t="shared" si="78"/>
        <v>-2.6388888888888851E-2</v>
      </c>
      <c r="K600" s="39"/>
      <c r="L600" s="39"/>
      <c r="M600" s="156"/>
      <c r="N600" s="79"/>
      <c r="O600" s="159" t="str">
        <f t="shared" si="79"/>
        <v/>
      </c>
      <c r="Q600" s="157">
        <f>(SUM(E$2:E$21)+SUM(E$25:E$154)+SUM(E$156:E600))/(COUNTA(E$2:E600)-4)</f>
        <v>0.38041406791406918</v>
      </c>
      <c r="R600" s="158">
        <f>(SUM(H$2:H600)*E$1+A600)/SUM(H$2:H600)</f>
        <v>0.34928562994450352</v>
      </c>
      <c r="S600" s="64"/>
    </row>
    <row r="601" spans="1:19" x14ac:dyDescent="0.3">
      <c r="A601" s="221">
        <f t="shared" si="76"/>
        <v>1.6222222222221996</v>
      </c>
      <c r="B601" s="19" t="s">
        <v>4</v>
      </c>
      <c r="C601" s="89">
        <f t="shared" si="77"/>
        <v>43602</v>
      </c>
      <c r="D601" s="89" t="s">
        <v>43</v>
      </c>
      <c r="E601" s="21">
        <v>0.38194444444444442</v>
      </c>
      <c r="F601" s="21">
        <v>0.73958333333333337</v>
      </c>
      <c r="G601" s="22">
        <v>0</v>
      </c>
      <c r="H601" s="23">
        <v>1</v>
      </c>
      <c r="I601" s="136">
        <f>IF(J601&lt;0,-J601,"")</f>
        <v>2.0833333333333259E-3</v>
      </c>
      <c r="J601" s="160">
        <f t="shared" si="78"/>
        <v>-2.0833333333333259E-3</v>
      </c>
      <c r="K601" s="37"/>
      <c r="L601" s="37"/>
      <c r="M601" s="161"/>
      <c r="N601" s="79"/>
      <c r="O601" s="159">
        <f t="shared" si="79"/>
        <v>1.0416666666666519E-2</v>
      </c>
      <c r="P601" s="162">
        <f>A601-A596</f>
        <v>-1.0416666666666519E-2</v>
      </c>
      <c r="Q601" s="157">
        <f>(SUM(E$2:E$21)+SUM(E$25:E$154)+SUM(E$156:E601))/(COUNTA(E$2:E601)-4)</f>
        <v>0.3804172429691115</v>
      </c>
      <c r="R601" s="158">
        <f>(SUM(H$2:H601)*E$1+A601)/SUM(H$2:H601)</f>
        <v>0.34927388947802523</v>
      </c>
      <c r="S601" s="57">
        <f>IF(COUNTA(M597:M601)=0,0,SUM(M597:M601)/COUNTA(M597:M601))</f>
        <v>0</v>
      </c>
    </row>
    <row r="602" spans="1:19" x14ac:dyDescent="0.3">
      <c r="A602" s="219">
        <f t="shared" si="76"/>
        <v>1.6236111111110885</v>
      </c>
      <c r="B602" s="24" t="s">
        <v>0</v>
      </c>
      <c r="C602" s="90">
        <f t="shared" si="77"/>
        <v>43605</v>
      </c>
      <c r="D602" s="90" t="s">
        <v>46</v>
      </c>
      <c r="E602" s="26">
        <v>0.38194444444444442</v>
      </c>
      <c r="F602" s="26">
        <v>0.75694444444444453</v>
      </c>
      <c r="G602" s="27">
        <v>2</v>
      </c>
      <c r="H602" s="24">
        <v>1</v>
      </c>
      <c r="I602" s="134" t="str">
        <f t="shared" si="80"/>
        <v/>
      </c>
      <c r="J602" s="163">
        <f t="shared" si="78"/>
        <v>1.3888888888889395E-3</v>
      </c>
      <c r="K602" s="38"/>
      <c r="L602" s="38"/>
      <c r="M602" s="164"/>
      <c r="N602" s="79"/>
      <c r="O602" s="159" t="str">
        <f t="shared" si="79"/>
        <v/>
      </c>
      <c r="Q602" s="157">
        <f>(SUM(E$2:E$21)+SUM(E$25:E$154)+SUM(E$156:E602))/(COUNTA(E$2:E602)-4)</f>
        <v>0.38042040487692796</v>
      </c>
      <c r="R602" s="158">
        <f>(SUM(H$2:H602)*E$1+A602)/SUM(H$2:H602)</f>
        <v>0.34926954732510285</v>
      </c>
      <c r="S602" s="63"/>
    </row>
    <row r="603" spans="1:19" x14ac:dyDescent="0.3">
      <c r="A603" s="220">
        <f t="shared" si="76"/>
        <v>1.6388888888888662</v>
      </c>
      <c r="B603" s="28" t="s">
        <v>1</v>
      </c>
      <c r="C603" s="88">
        <f t="shared" si="77"/>
        <v>43606</v>
      </c>
      <c r="D603" s="88" t="s">
        <v>47</v>
      </c>
      <c r="E603" s="30">
        <v>0.38194444444444442</v>
      </c>
      <c r="F603" s="30">
        <v>0.75694444444444453</v>
      </c>
      <c r="G603" s="31">
        <v>1</v>
      </c>
      <c r="H603" s="32">
        <v>1</v>
      </c>
      <c r="I603" s="135" t="str">
        <f t="shared" si="80"/>
        <v/>
      </c>
      <c r="J603" s="155">
        <f t="shared" si="78"/>
        <v>1.5277777777777835E-2</v>
      </c>
      <c r="K603" s="39"/>
      <c r="L603" s="39"/>
      <c r="M603" s="156"/>
      <c r="N603" s="79"/>
      <c r="O603" s="159" t="str">
        <f t="shared" si="79"/>
        <v/>
      </c>
      <c r="Q603" s="157">
        <f>(SUM(E$2:E$21)+SUM(E$25:E$154)+SUM(E$156:E603))/(COUNTA(E$2:E603)-4)</f>
        <v>0.3804235537190096</v>
      </c>
      <c r="R603" s="158">
        <f>(SUM(H$2:H603)*E$1+A603)/SUM(H$2:H603)</f>
        <v>0.34929455590754427</v>
      </c>
      <c r="S603" s="64"/>
    </row>
    <row r="604" spans="1:19" x14ac:dyDescent="0.3">
      <c r="A604" s="220">
        <f t="shared" si="76"/>
        <v>1.6263888888888662</v>
      </c>
      <c r="B604" s="28" t="s">
        <v>2</v>
      </c>
      <c r="C604" s="88">
        <f t="shared" si="77"/>
        <v>43607</v>
      </c>
      <c r="D604" s="88" t="s">
        <v>282</v>
      </c>
      <c r="E604" s="30">
        <v>0.38194444444444442</v>
      </c>
      <c r="F604" s="30">
        <v>0.75694444444444453</v>
      </c>
      <c r="G604" s="31">
        <v>3</v>
      </c>
      <c r="H604" s="32">
        <v>1</v>
      </c>
      <c r="I604" s="135">
        <f t="shared" si="80"/>
        <v>1.2499999999999956E-2</v>
      </c>
      <c r="J604" s="155">
        <f t="shared" si="78"/>
        <v>-1.2499999999999956E-2</v>
      </c>
      <c r="K604" s="39"/>
      <c r="L604" s="39"/>
      <c r="M604" s="156"/>
      <c r="N604" s="79"/>
      <c r="O604" s="159" t="str">
        <f t="shared" si="79"/>
        <v/>
      </c>
      <c r="Q604" s="157">
        <f>(SUM(E$2:E$21)+SUM(E$25:E$154)+SUM(E$156:E604))/(COUNTA(E$2:E604)-4)</f>
        <v>0.38042668957617548</v>
      </c>
      <c r="R604" s="158">
        <f>(SUM(H$2:H604)*E$1+A604)/SUM(H$2:H604)</f>
        <v>0.34926091792530151</v>
      </c>
      <c r="S604" s="64"/>
    </row>
    <row r="605" spans="1:19" x14ac:dyDescent="0.3">
      <c r="A605" s="220">
        <f t="shared" si="76"/>
        <v>1.641666666666644</v>
      </c>
      <c r="B605" s="28" t="s">
        <v>3</v>
      </c>
      <c r="C605" s="88">
        <f t="shared" si="77"/>
        <v>43608</v>
      </c>
      <c r="D605" s="88" t="s">
        <v>283</v>
      </c>
      <c r="E605" s="30">
        <v>0.38194444444444442</v>
      </c>
      <c r="F605" s="30">
        <v>0.75694444444444453</v>
      </c>
      <c r="G605" s="31">
        <v>1</v>
      </c>
      <c r="H605" s="32">
        <v>1</v>
      </c>
      <c r="I605" s="135" t="str">
        <f t="shared" si="80"/>
        <v/>
      </c>
      <c r="J605" s="155">
        <f t="shared" si="78"/>
        <v>1.5277777777777835E-2</v>
      </c>
      <c r="K605" s="39"/>
      <c r="L605" s="39"/>
      <c r="M605" s="156"/>
      <c r="N605" s="79"/>
      <c r="O605" s="159" t="str">
        <f t="shared" si="79"/>
        <v/>
      </c>
      <c r="Q605" s="157">
        <f>(SUM(E$2:E$21)+SUM(E$25:E$154)+SUM(E$156:E605))/(COUNTA(E$2:E605)-4)</f>
        <v>0.38042981252857938</v>
      </c>
      <c r="R605" s="158">
        <f>(SUM(H$2:H605)*E$1+A605)/SUM(H$2:H605)</f>
        <v>0.34928583946722752</v>
      </c>
      <c r="S605" s="64"/>
    </row>
    <row r="606" spans="1:19" x14ac:dyDescent="0.3">
      <c r="A606" s="221">
        <f t="shared" si="76"/>
        <v>1.6395833333333107</v>
      </c>
      <c r="B606" s="19" t="s">
        <v>4</v>
      </c>
      <c r="C606" s="89">
        <f t="shared" si="77"/>
        <v>43609</v>
      </c>
      <c r="D606" s="89" t="s">
        <v>48</v>
      </c>
      <c r="E606" s="21">
        <v>0.38194444444444442</v>
      </c>
      <c r="F606" s="21">
        <v>0.73958333333333337</v>
      </c>
      <c r="G606" s="22">
        <v>0</v>
      </c>
      <c r="H606" s="23">
        <v>1</v>
      </c>
      <c r="I606" s="136">
        <f>IF(J606&lt;0,-J606,"")</f>
        <v>2.0833333333333259E-3</v>
      </c>
      <c r="J606" s="160">
        <f t="shared" si="78"/>
        <v>-2.0833333333333259E-3</v>
      </c>
      <c r="K606" s="37"/>
      <c r="L606" s="37"/>
      <c r="M606" s="161"/>
      <c r="N606" s="79"/>
      <c r="O606" s="159" t="str">
        <f t="shared" si="79"/>
        <v/>
      </c>
      <c r="P606" s="162">
        <f>A606-A601</f>
        <v>1.736111111111116E-2</v>
      </c>
      <c r="Q606" s="157">
        <f>(SUM(E$2:E$21)+SUM(E$25:E$154)+SUM(E$156:E606))/(COUNTA(E$2:E606)-4)</f>
        <v>0.38043292265571671</v>
      </c>
      <c r="R606" s="158">
        <f>(SUM(H$2:H606)*E$1+A606)/SUM(H$2:H606)</f>
        <v>0.3492742217558587</v>
      </c>
      <c r="S606" s="57">
        <f>IF(COUNTA(M602:M606)=0,0,SUM(M602:M606)/COUNTA(M602:M606))</f>
        <v>0</v>
      </c>
    </row>
    <row r="607" spans="1:19" x14ac:dyDescent="0.3">
      <c r="A607" s="219">
        <f t="shared" si="76"/>
        <v>1.6409722222221996</v>
      </c>
      <c r="B607" s="24" t="s">
        <v>0</v>
      </c>
      <c r="C607" s="90">
        <f t="shared" si="77"/>
        <v>43612</v>
      </c>
      <c r="D607" s="90" t="s">
        <v>51</v>
      </c>
      <c r="E607" s="26">
        <v>0.38194444444444442</v>
      </c>
      <c r="F607" s="26">
        <v>0.75694444444444453</v>
      </c>
      <c r="G607" s="27">
        <v>2</v>
      </c>
      <c r="H607" s="24">
        <v>1</v>
      </c>
      <c r="I607" s="134" t="str">
        <f t="shared" si="80"/>
        <v/>
      </c>
      <c r="J607" s="163">
        <f t="shared" si="78"/>
        <v>1.3888888888889395E-3</v>
      </c>
      <c r="K607" s="38"/>
      <c r="L607" s="38"/>
      <c r="M607" s="164"/>
      <c r="N607" s="79"/>
      <c r="O607" s="159" t="str">
        <f t="shared" si="79"/>
        <v/>
      </c>
      <c r="Q607" s="157">
        <f>(SUM(E$2:E$21)+SUM(E$25:E$154)+SUM(E$156:E607))/(COUNTA(E$2:E607)-4)</f>
        <v>0.38043602003643129</v>
      </c>
      <c r="R607" s="158">
        <f>(SUM(H$2:H607)*E$1+A607)/SUM(H$2:H607)</f>
        <v>0.34926992437463639</v>
      </c>
      <c r="S607" s="63"/>
    </row>
    <row r="608" spans="1:19" x14ac:dyDescent="0.3">
      <c r="A608" s="220">
        <f t="shared" si="76"/>
        <v>1.6423611111110885</v>
      </c>
      <c r="B608" s="28" t="s">
        <v>1</v>
      </c>
      <c r="C608" s="88">
        <f t="shared" si="77"/>
        <v>43613</v>
      </c>
      <c r="D608" s="88" t="s">
        <v>52</v>
      </c>
      <c r="E608" s="30">
        <v>0.38194444444444442</v>
      </c>
      <c r="F608" s="30">
        <v>0.74305555555555547</v>
      </c>
      <c r="G608" s="31">
        <v>1</v>
      </c>
      <c r="H608" s="32">
        <v>1</v>
      </c>
      <c r="I608" s="135" t="str">
        <f t="shared" si="80"/>
        <v/>
      </c>
      <c r="J608" s="155">
        <f t="shared" si="78"/>
        <v>1.3888888888887729E-3</v>
      </c>
      <c r="K608" s="39"/>
      <c r="L608" s="39"/>
      <c r="M608" s="156"/>
      <c r="N608" s="79"/>
      <c r="O608" s="159" t="str">
        <f t="shared" si="79"/>
        <v/>
      </c>
      <c r="Q608" s="157">
        <f>(SUM(E$2:E$21)+SUM(E$25:E$154)+SUM(E$156:E608))/(COUNTA(E$2:E608)-4)</f>
        <v>0.38043910474892217</v>
      </c>
      <c r="R608" s="158">
        <f>(SUM(H$2:H608)*E$1+A608)/SUM(H$2:H608)</f>
        <v>0.3492656449553001</v>
      </c>
      <c r="S608" s="64"/>
    </row>
    <row r="609" spans="1:19" x14ac:dyDescent="0.3">
      <c r="A609" s="220">
        <f t="shared" si="76"/>
        <v>1.6437499999999774</v>
      </c>
      <c r="B609" s="28" t="s">
        <v>2</v>
      </c>
      <c r="C609" s="88">
        <f t="shared" si="77"/>
        <v>43614</v>
      </c>
      <c r="D609" s="88" t="s">
        <v>284</v>
      </c>
      <c r="E609" s="30">
        <v>0.38194444444444442</v>
      </c>
      <c r="F609" s="30">
        <v>0.75694444444444453</v>
      </c>
      <c r="G609" s="31">
        <v>2</v>
      </c>
      <c r="H609" s="32">
        <v>1</v>
      </c>
      <c r="I609" s="135" t="str">
        <f t="shared" si="80"/>
        <v/>
      </c>
      <c r="J609" s="155">
        <f t="shared" si="78"/>
        <v>1.3888888888889395E-3</v>
      </c>
      <c r="K609" s="39"/>
      <c r="L609" s="39"/>
      <c r="M609" s="156"/>
      <c r="N609" s="79"/>
      <c r="O609" s="159" t="str">
        <f t="shared" si="79"/>
        <v/>
      </c>
      <c r="Q609" s="157">
        <f>(SUM(E$2:E$21)+SUM(E$25:E$154)+SUM(E$156:E609))/(COUNTA(E$2:E609)-4)</f>
        <v>0.38044217687074977</v>
      </c>
      <c r="R609" s="158">
        <f>(SUM(H$2:H609)*E$1+A609)/SUM(H$2:H609)</f>
        <v>0.34926138338547097</v>
      </c>
      <c r="S609" s="64"/>
    </row>
    <row r="610" spans="1:19" x14ac:dyDescent="0.3">
      <c r="A610" s="220">
        <f t="shared" si="76"/>
        <v>1.6437499999999774</v>
      </c>
      <c r="B610" s="28" t="s">
        <v>3</v>
      </c>
      <c r="C610" s="60">
        <f t="shared" si="77"/>
        <v>43615</v>
      </c>
      <c r="D610" s="60" t="s">
        <v>285</v>
      </c>
      <c r="E610" s="30"/>
      <c r="F610" s="30"/>
      <c r="G610" s="31"/>
      <c r="H610" s="32"/>
      <c r="I610" s="135" t="str">
        <f t="shared" si="80"/>
        <v/>
      </c>
      <c r="J610" s="155">
        <f t="shared" si="78"/>
        <v>0</v>
      </c>
      <c r="K610" s="39"/>
      <c r="L610" s="39"/>
      <c r="M610" s="156"/>
      <c r="N610" s="79"/>
      <c r="O610" s="159" t="str">
        <f t="shared" si="79"/>
        <v/>
      </c>
      <c r="Q610" s="157">
        <f>(SUM(E$2:E$21)+SUM(E$25:E$154)+SUM(E$156:E610))/(COUNTA(E$2:E610)-4)</f>
        <v>0.38044217687074977</v>
      </c>
      <c r="R610" s="158">
        <f>(SUM(H$2:H610)*E$1+A610)/SUM(H$2:H610)</f>
        <v>0.34926138338547097</v>
      </c>
      <c r="S610" s="64"/>
    </row>
    <row r="611" spans="1:19" x14ac:dyDescent="0.3">
      <c r="A611" s="221">
        <f t="shared" si="76"/>
        <v>1.641666666666644</v>
      </c>
      <c r="B611" s="19" t="s">
        <v>4</v>
      </c>
      <c r="C611" s="89">
        <f t="shared" si="77"/>
        <v>43616</v>
      </c>
      <c r="D611" s="89" t="s">
        <v>53</v>
      </c>
      <c r="E611" s="21">
        <v>0.38194444444444442</v>
      </c>
      <c r="F611" s="21">
        <v>0.73958333333333337</v>
      </c>
      <c r="G611" s="22">
        <v>0</v>
      </c>
      <c r="H611" s="23">
        <v>1</v>
      </c>
      <c r="I611" s="136">
        <f>IF(J611&lt;0,-J611,"")</f>
        <v>2.0833333333333259E-3</v>
      </c>
      <c r="J611" s="160">
        <f t="shared" si="78"/>
        <v>-2.0833333333333259E-3</v>
      </c>
      <c r="K611" s="37"/>
      <c r="L611" s="37"/>
      <c r="M611" s="161"/>
      <c r="N611" s="79">
        <f>SUM(H592:H611)</f>
        <v>18</v>
      </c>
      <c r="O611" s="159" t="str">
        <f t="shared" si="79"/>
        <v/>
      </c>
      <c r="P611" s="162">
        <f>A611-A606</f>
        <v>2.0833333333332149E-3</v>
      </c>
      <c r="Q611" s="157">
        <f>(SUM(E$2:E$21)+SUM(E$25:E$154)+SUM(E$156:E611))/(COUNTA(E$2:E611)-4)</f>
        <v>0.38044523647884287</v>
      </c>
      <c r="R611" s="158">
        <f>(SUM(H$2:H611)*E$1+A611)/SUM(H$2:H611)</f>
        <v>0.34924991328477278</v>
      </c>
      <c r="S611" s="57">
        <f>IF(COUNTA(M607:M611)=0,0,SUM(M607:M611)/COUNTA(M607:M611))</f>
        <v>0</v>
      </c>
    </row>
    <row r="612" spans="1:19" x14ac:dyDescent="0.3">
      <c r="A612" s="219">
        <f t="shared" si="76"/>
        <v>1.6430555555555328</v>
      </c>
      <c r="B612" s="24" t="s">
        <v>0</v>
      </c>
      <c r="C612" s="90">
        <f t="shared" si="77"/>
        <v>43619</v>
      </c>
      <c r="D612" s="90" t="s">
        <v>56</v>
      </c>
      <c r="E612" s="26">
        <v>0.38194444444444442</v>
      </c>
      <c r="F612" s="26">
        <v>0.75694444444444453</v>
      </c>
      <c r="G612" s="27">
        <v>2</v>
      </c>
      <c r="H612" s="24">
        <v>1</v>
      </c>
      <c r="I612" s="134" t="str">
        <f t="shared" ref="I612:I630" si="81">IF(J612&lt;0,-J612,"")</f>
        <v/>
      </c>
      <c r="J612" s="163">
        <f t="shared" si="78"/>
        <v>1.3888888888889395E-3</v>
      </c>
      <c r="K612" s="38"/>
      <c r="L612" s="38"/>
      <c r="M612" s="164"/>
      <c r="N612" s="79"/>
      <c r="O612" s="159" t="str">
        <f t="shared" si="79"/>
        <v/>
      </c>
      <c r="Q612" s="157">
        <f>(SUM(E$2:E$21)+SUM(E$25:E$154)+SUM(E$156:E612))/(COUNTA(E$2:E612)-4)</f>
        <v>0.38044828364950467</v>
      </c>
      <c r="R612" s="158">
        <f>(SUM(H$2:H612)*E$1+A612)/SUM(H$2:H612)</f>
        <v>0.34924570208838118</v>
      </c>
      <c r="S612" s="63"/>
    </row>
    <row r="613" spans="1:19" x14ac:dyDescent="0.3">
      <c r="A613" s="220">
        <f t="shared" si="76"/>
        <v>1.6583333333333106</v>
      </c>
      <c r="B613" s="28" t="s">
        <v>1</v>
      </c>
      <c r="C613" s="88">
        <f t="shared" si="77"/>
        <v>43620</v>
      </c>
      <c r="D613" s="88" t="s">
        <v>57</v>
      </c>
      <c r="E613" s="30">
        <v>0.38194444444444442</v>
      </c>
      <c r="F613" s="30">
        <v>0.75694444444444453</v>
      </c>
      <c r="G613" s="31">
        <v>1</v>
      </c>
      <c r="H613" s="32">
        <v>1</v>
      </c>
      <c r="I613" s="135" t="str">
        <f t="shared" si="81"/>
        <v/>
      </c>
      <c r="J613" s="155">
        <f t="shared" si="78"/>
        <v>1.5277777777777835E-2</v>
      </c>
      <c r="K613" s="39"/>
      <c r="L613" s="39"/>
      <c r="M613" s="156"/>
      <c r="N613" s="79"/>
      <c r="O613" s="159" t="str">
        <f t="shared" si="79"/>
        <v/>
      </c>
      <c r="Q613" s="157">
        <f>(SUM(E$2:E$21)+SUM(E$25:E$154)+SUM(E$156:E613))/(COUNTA(E$2:E613)-4)</f>
        <v>0.3804513184584194</v>
      </c>
      <c r="R613" s="158">
        <f>(SUM(H$2:H613)*E$1+A613)/SUM(H$2:H613)</f>
        <v>0.34927029360967182</v>
      </c>
      <c r="S613" s="64"/>
    </row>
    <row r="614" spans="1:19" x14ac:dyDescent="0.3">
      <c r="A614" s="220">
        <f t="shared" si="76"/>
        <v>1.6458333333333106</v>
      </c>
      <c r="B614" s="28" t="s">
        <v>2</v>
      </c>
      <c r="C614" s="88">
        <f t="shared" si="77"/>
        <v>43621</v>
      </c>
      <c r="D614" s="88" t="s">
        <v>286</v>
      </c>
      <c r="E614" s="30">
        <v>0.38194444444444442</v>
      </c>
      <c r="F614" s="30">
        <v>0.75694444444444453</v>
      </c>
      <c r="G614" s="31">
        <v>3</v>
      </c>
      <c r="H614" s="32">
        <v>1</v>
      </c>
      <c r="I614" s="135">
        <f t="shared" si="81"/>
        <v>1.2499999999999956E-2</v>
      </c>
      <c r="J614" s="155">
        <f t="shared" si="78"/>
        <v>-1.2499999999999956E-2</v>
      </c>
      <c r="K614" s="39"/>
      <c r="L614" s="39"/>
      <c r="M614" s="156"/>
      <c r="N614" s="79"/>
      <c r="O614" s="159" t="str">
        <f t="shared" si="79"/>
        <v/>
      </c>
      <c r="Q614" s="157">
        <f>(SUM(E$2:E$21)+SUM(E$25:E$154)+SUM(E$156:E614))/(COUNTA(E$2:E614)-4)</f>
        <v>0.38045434098065833</v>
      </c>
      <c r="R614" s="158">
        <f>(SUM(H$2:H614)*E$1+A614)/SUM(H$2:H614)</f>
        <v>0.34923733195449846</v>
      </c>
      <c r="S614" s="64"/>
    </row>
    <row r="615" spans="1:19" x14ac:dyDescent="0.3">
      <c r="A615" s="220">
        <f t="shared" si="76"/>
        <v>1.6611111111110883</v>
      </c>
      <c r="B615" s="28" t="s">
        <v>3</v>
      </c>
      <c r="C615" s="88">
        <f t="shared" si="77"/>
        <v>43622</v>
      </c>
      <c r="D615" s="88" t="s">
        <v>287</v>
      </c>
      <c r="E615" s="30">
        <v>0.38194444444444442</v>
      </c>
      <c r="F615" s="30">
        <v>0.75694444444444453</v>
      </c>
      <c r="G615" s="31">
        <v>1</v>
      </c>
      <c r="H615" s="32">
        <v>1</v>
      </c>
      <c r="I615" s="135" t="str">
        <f t="shared" si="81"/>
        <v/>
      </c>
      <c r="J615" s="155">
        <f t="shared" si="78"/>
        <v>1.5277777777777835E-2</v>
      </c>
      <c r="K615" s="39"/>
      <c r="L615" s="39"/>
      <c r="M615" s="156"/>
      <c r="N615" s="79"/>
      <c r="O615" s="159" t="str">
        <f t="shared" si="79"/>
        <v/>
      </c>
      <c r="Q615" s="157">
        <f>(SUM(E$2:E$21)+SUM(E$25:E$154)+SUM(E$156:E615))/(COUNTA(E$2:E615)-4)</f>
        <v>0.38045735129068625</v>
      </c>
      <c r="R615" s="158">
        <f>(SUM(H$2:H615)*E$1+A615)/SUM(H$2:H615)</f>
        <v>0.34926183923861948</v>
      </c>
      <c r="S615" s="64"/>
    </row>
    <row r="616" spans="1:19" x14ac:dyDescent="0.3">
      <c r="A616" s="221">
        <f t="shared" si="76"/>
        <v>1.6590277777777551</v>
      </c>
      <c r="B616" s="19" t="s">
        <v>4</v>
      </c>
      <c r="C616" s="89">
        <f t="shared" si="77"/>
        <v>43623</v>
      </c>
      <c r="D616" s="89" t="s">
        <v>58</v>
      </c>
      <c r="E616" s="21">
        <v>0.38194444444444442</v>
      </c>
      <c r="F616" s="21">
        <v>0.73958333333333337</v>
      </c>
      <c r="G616" s="22">
        <v>0</v>
      </c>
      <c r="H616" s="23">
        <v>1</v>
      </c>
      <c r="I616" s="136">
        <f>IF(J616&lt;0,-J616,"")</f>
        <v>2.0833333333333259E-3</v>
      </c>
      <c r="J616" s="160">
        <f t="shared" si="78"/>
        <v>-2.0833333333333259E-3</v>
      </c>
      <c r="K616" s="37"/>
      <c r="L616" s="37"/>
      <c r="M616" s="161"/>
      <c r="N616" s="79"/>
      <c r="O616" s="159" t="str">
        <f t="shared" si="79"/>
        <v/>
      </c>
      <c r="P616" s="162">
        <f>A616-A611</f>
        <v>1.736111111111116E-2</v>
      </c>
      <c r="Q616" s="157">
        <f>(SUM(E$2:E$21)+SUM(E$25:E$154)+SUM(E$156:E616))/(COUNTA(E$2:E616)-4)</f>
        <v>0.38046034946236723</v>
      </c>
      <c r="R616" s="158">
        <f>(SUM(H$2:H616)*E$1+A616)/SUM(H$2:H616)</f>
        <v>0.34925048632566658</v>
      </c>
      <c r="S616" s="57">
        <f>IF(COUNTA(M612:M616)=0,0,SUM(M612:M616)/COUNTA(M612:M616))</f>
        <v>0</v>
      </c>
    </row>
    <row r="617" spans="1:19" x14ac:dyDescent="0.3">
      <c r="A617" s="219">
        <f t="shared" si="76"/>
        <v>1.6590277777777551</v>
      </c>
      <c r="B617" s="24" t="s">
        <v>0</v>
      </c>
      <c r="C617" s="59">
        <f t="shared" si="77"/>
        <v>43626</v>
      </c>
      <c r="D617" s="47" t="s">
        <v>61</v>
      </c>
      <c r="E617" s="26"/>
      <c r="F617" s="26"/>
      <c r="G617" s="27"/>
      <c r="H617" s="24"/>
      <c r="I617" s="134" t="str">
        <f t="shared" si="81"/>
        <v/>
      </c>
      <c r="J617" s="163">
        <f t="shared" si="78"/>
        <v>0</v>
      </c>
      <c r="K617" s="38"/>
      <c r="L617" s="38"/>
      <c r="M617" s="164"/>
      <c r="N617" s="79"/>
      <c r="O617" s="159" t="str">
        <f t="shared" si="79"/>
        <v/>
      </c>
      <c r="Q617" s="157">
        <f>(SUM(E$2:E$21)+SUM(E$25:E$154)+SUM(E$156:E617))/(COUNTA(E$2:E617)-4)</f>
        <v>0.38046034946236723</v>
      </c>
      <c r="R617" s="158">
        <f>(SUM(H$2:H617)*E$1+A617)/SUM(H$2:H617)</f>
        <v>0.34925048632566658</v>
      </c>
      <c r="S617" s="63"/>
    </row>
    <row r="618" spans="1:19" x14ac:dyDescent="0.3">
      <c r="A618" s="220">
        <f t="shared" si="76"/>
        <v>1.6604166666666438</v>
      </c>
      <c r="B618" s="28" t="s">
        <v>1</v>
      </c>
      <c r="C618" s="88">
        <f t="shared" si="77"/>
        <v>43627</v>
      </c>
      <c r="D618" s="88" t="s">
        <v>62</v>
      </c>
      <c r="E618" s="30">
        <v>0.38194444444444442</v>
      </c>
      <c r="F618" s="30">
        <v>0.74305555555555547</v>
      </c>
      <c r="G618" s="31">
        <v>1</v>
      </c>
      <c r="H618" s="32">
        <v>1</v>
      </c>
      <c r="I618" s="135" t="str">
        <f t="shared" si="81"/>
        <v/>
      </c>
      <c r="J618" s="155">
        <f t="shared" si="78"/>
        <v>1.3888888888887729E-3</v>
      </c>
      <c r="K618" s="39"/>
      <c r="L618" s="39"/>
      <c r="M618" s="156"/>
      <c r="N618" s="79"/>
      <c r="O618" s="159" t="str">
        <f t="shared" si="79"/>
        <v/>
      </c>
      <c r="Q618" s="157">
        <f>(SUM(E$2:E$21)+SUM(E$25:E$154)+SUM(E$156:E618))/(COUNTA(E$2:E618)-4)</f>
        <v>0.380463335568971</v>
      </c>
      <c r="R618" s="158">
        <f>(SUM(H$2:H618)*E$1+A618)/SUM(H$2:H618)</f>
        <v>0.34924631723192873</v>
      </c>
      <c r="S618" s="64"/>
    </row>
    <row r="619" spans="1:19" x14ac:dyDescent="0.3">
      <c r="A619" s="220">
        <f t="shared" si="76"/>
        <v>1.6618055555555327</v>
      </c>
      <c r="B619" s="28" t="s">
        <v>2</v>
      </c>
      <c r="C619" s="88">
        <f t="shared" si="77"/>
        <v>43628</v>
      </c>
      <c r="D619" s="88" t="s">
        <v>288</v>
      </c>
      <c r="E619" s="30">
        <v>0.38194444444444442</v>
      </c>
      <c r="F619" s="30">
        <v>0.75694444444444453</v>
      </c>
      <c r="G619" s="31">
        <v>2</v>
      </c>
      <c r="H619" s="32">
        <v>1</v>
      </c>
      <c r="I619" s="135" t="str">
        <f t="shared" si="81"/>
        <v/>
      </c>
      <c r="J619" s="155">
        <f t="shared" si="78"/>
        <v>1.3888888888889395E-3</v>
      </c>
      <c r="K619" s="39"/>
      <c r="L619" s="39"/>
      <c r="M619" s="156"/>
      <c r="N619" s="79"/>
      <c r="O619" s="159" t="str">
        <f t="shared" si="79"/>
        <v/>
      </c>
      <c r="Q619" s="157">
        <f>(SUM(E$2:E$21)+SUM(E$25:E$154)+SUM(E$156:E619))/(COUNTA(E$2:E619)-4)</f>
        <v>0.38046630968317879</v>
      </c>
      <c r="R619" s="158">
        <f>(SUM(H$2:H619)*E$1+A619)/SUM(H$2:H619)</f>
        <v>0.34924216524216523</v>
      </c>
      <c r="S619" s="64"/>
    </row>
    <row r="620" spans="1:19" x14ac:dyDescent="0.3">
      <c r="A620" s="220">
        <f t="shared" si="76"/>
        <v>1.6215277777777548</v>
      </c>
      <c r="B620" s="28" t="s">
        <v>3</v>
      </c>
      <c r="C620" s="88">
        <f t="shared" si="77"/>
        <v>43629</v>
      </c>
      <c r="D620" s="88" t="s">
        <v>289</v>
      </c>
      <c r="E620" s="30">
        <v>0.38194444444444442</v>
      </c>
      <c r="F620" s="30">
        <v>0.74305555555555547</v>
      </c>
      <c r="G620" s="31">
        <v>4</v>
      </c>
      <c r="H620" s="32">
        <v>1</v>
      </c>
      <c r="I620" s="135">
        <f t="shared" si="81"/>
        <v>4.0277777777777912E-2</v>
      </c>
      <c r="J620" s="155">
        <f t="shared" si="78"/>
        <v>-4.0277777777777912E-2</v>
      </c>
      <c r="K620" s="39"/>
      <c r="L620" s="39"/>
      <c r="M620" s="156"/>
      <c r="N620" s="79"/>
      <c r="O620" s="159" t="str">
        <f t="shared" si="79"/>
        <v/>
      </c>
      <c r="Q620" s="157">
        <f>(SUM(E$2:E$21)+SUM(E$25:E$154)+SUM(E$156:E620))/(COUNTA(E$2:E620)-4)</f>
        <v>0.38046927187708918</v>
      </c>
      <c r="R620" s="158">
        <f>(SUM(H$2:H620)*E$1+A620)/SUM(H$2:H620)</f>
        <v>0.34915273513021722</v>
      </c>
      <c r="S620" s="64"/>
    </row>
    <row r="621" spans="1:19" x14ac:dyDescent="0.3">
      <c r="A621" s="221">
        <f t="shared" si="76"/>
        <v>1.6194444444444214</v>
      </c>
      <c r="B621" s="19" t="s">
        <v>4</v>
      </c>
      <c r="C621" s="89">
        <f t="shared" si="77"/>
        <v>43630</v>
      </c>
      <c r="D621" s="89" t="s">
        <v>63</v>
      </c>
      <c r="E621" s="21">
        <v>0.38194444444444442</v>
      </c>
      <c r="F621" s="21">
        <v>0.73958333333333337</v>
      </c>
      <c r="G621" s="22">
        <v>0</v>
      </c>
      <c r="H621" s="23">
        <v>1</v>
      </c>
      <c r="I621" s="136">
        <f>IF(J621&lt;0,-J621,"")</f>
        <v>2.0833333333333259E-3</v>
      </c>
      <c r="J621" s="160">
        <f t="shared" si="78"/>
        <v>-2.0833333333333259E-3</v>
      </c>
      <c r="K621" s="37"/>
      <c r="L621" s="37"/>
      <c r="M621" s="161"/>
      <c r="N621" s="79"/>
      <c r="O621" s="159">
        <f t="shared" si="79"/>
        <v>3.9583333333333748E-2</v>
      </c>
      <c r="P621" s="162">
        <f>A621-A616</f>
        <v>-3.9583333333333748E-2</v>
      </c>
      <c r="Q621" s="157">
        <f>(SUM(E$2:E$21)+SUM(E$25:E$154)+SUM(E$156:E621))/(COUNTA(E$2:E621)-4)</f>
        <v>0.38047222222222393</v>
      </c>
      <c r="R621" s="158">
        <f>(SUM(H$2:H621)*E$1+A621)/SUM(H$2:H621)</f>
        <v>0.34914169787765292</v>
      </c>
      <c r="S621" s="57">
        <f>IF(COUNTA(M617:M621)=0,0,SUM(M617:M621)/COUNTA(M617:M621))</f>
        <v>0</v>
      </c>
    </row>
    <row r="622" spans="1:19" x14ac:dyDescent="0.3">
      <c r="A622" s="219">
        <f t="shared" si="76"/>
        <v>1.6208333333333103</v>
      </c>
      <c r="B622" s="24" t="s">
        <v>0</v>
      </c>
      <c r="C622" s="90">
        <f t="shared" si="77"/>
        <v>43633</v>
      </c>
      <c r="D622" s="90" t="s">
        <v>66</v>
      </c>
      <c r="E622" s="26">
        <v>0.38194444444444442</v>
      </c>
      <c r="F622" s="26">
        <v>0.75694444444444453</v>
      </c>
      <c r="G622" s="27">
        <v>2</v>
      </c>
      <c r="H622" s="24">
        <v>1</v>
      </c>
      <c r="I622" s="134" t="str">
        <f t="shared" si="81"/>
        <v/>
      </c>
      <c r="J622" s="163">
        <f t="shared" si="78"/>
        <v>1.3888888888889395E-3</v>
      </c>
      <c r="K622" s="38"/>
      <c r="L622" s="38"/>
      <c r="M622" s="164"/>
      <c r="N622" s="79"/>
      <c r="O622" s="159" t="str">
        <f t="shared" si="79"/>
        <v/>
      </c>
      <c r="Q622" s="157">
        <f>(SUM(E$2:E$21)+SUM(E$25:E$154)+SUM(E$156:E622))/(COUNTA(E$2:E622)-4)</f>
        <v>0.38047516078953381</v>
      </c>
      <c r="R622" s="158">
        <f>(SUM(H$2:H622)*E$1+A622)/SUM(H$2:H622)</f>
        <v>0.34913778457356437</v>
      </c>
      <c r="S622" s="63"/>
    </row>
    <row r="623" spans="1:19" x14ac:dyDescent="0.3">
      <c r="A623" s="220">
        <f t="shared" si="76"/>
        <v>1.636111111111088</v>
      </c>
      <c r="B623" s="28" t="s">
        <v>1</v>
      </c>
      <c r="C623" s="88">
        <f t="shared" si="77"/>
        <v>43634</v>
      </c>
      <c r="D623" s="88" t="s">
        <v>67</v>
      </c>
      <c r="E623" s="30">
        <v>0.38194444444444442</v>
      </c>
      <c r="F623" s="30">
        <v>0.75694444444444453</v>
      </c>
      <c r="G623" s="31">
        <v>1</v>
      </c>
      <c r="H623" s="32">
        <v>1</v>
      </c>
      <c r="I623" s="135" t="str">
        <f t="shared" si="81"/>
        <v/>
      </c>
      <c r="J623" s="155">
        <f t="shared" si="78"/>
        <v>1.5277777777777835E-2</v>
      </c>
      <c r="K623" s="39"/>
      <c r="L623" s="39"/>
      <c r="M623" s="156"/>
      <c r="N623" s="79"/>
      <c r="O623" s="159" t="str">
        <f t="shared" si="79"/>
        <v/>
      </c>
      <c r="Q623" s="157">
        <f>(SUM(E$2:E$21)+SUM(E$25:E$154)+SUM(E$156:E623))/(COUNTA(E$2:E623)-4)</f>
        <v>0.38047808764940416</v>
      </c>
      <c r="R623" s="158">
        <f>(SUM(H$2:H623)*E$1+A623)/SUM(H$2:H623)</f>
        <v>0.34916214536000906</v>
      </c>
      <c r="S623" s="64"/>
    </row>
    <row r="624" spans="1:19" x14ac:dyDescent="0.3">
      <c r="A624" s="220">
        <f t="shared" si="76"/>
        <v>1.623611111111088</v>
      </c>
      <c r="B624" s="28" t="s">
        <v>2</v>
      </c>
      <c r="C624" s="88">
        <f t="shared" si="77"/>
        <v>43635</v>
      </c>
      <c r="D624" s="88" t="s">
        <v>290</v>
      </c>
      <c r="E624" s="30">
        <v>0.38194444444444442</v>
      </c>
      <c r="F624" s="30">
        <v>0.75694444444444453</v>
      </c>
      <c r="G624" s="31">
        <v>3</v>
      </c>
      <c r="H624" s="32">
        <v>1</v>
      </c>
      <c r="I624" s="135">
        <f t="shared" si="81"/>
        <v>1.2499999999999956E-2</v>
      </c>
      <c r="J624" s="155">
        <f t="shared" si="78"/>
        <v>-1.2499999999999956E-2</v>
      </c>
      <c r="K624" s="39"/>
      <c r="L624" s="39"/>
      <c r="M624" s="156"/>
      <c r="N624" s="79"/>
      <c r="O624" s="159" t="str">
        <f t="shared" si="79"/>
        <v/>
      </c>
      <c r="Q624" s="157">
        <f>(SUM(E$2:E$21)+SUM(E$25:E$154)+SUM(E$156:E624))/(COUNTA(E$2:E624)-4)</f>
        <v>0.3804810028716607</v>
      </c>
      <c r="R624" s="158">
        <f>(SUM(H$2:H624)*E$1+A624)/SUM(H$2:H624)</f>
        <v>0.34913000564015789</v>
      </c>
      <c r="S624" s="64"/>
    </row>
    <row r="625" spans="1:19" x14ac:dyDescent="0.3">
      <c r="A625" s="220">
        <f t="shared" si="76"/>
        <v>1.6388888888888657</v>
      </c>
      <c r="B625" s="28" t="s">
        <v>3</v>
      </c>
      <c r="C625" s="88">
        <f t="shared" si="77"/>
        <v>43636</v>
      </c>
      <c r="D625" s="88" t="s">
        <v>291</v>
      </c>
      <c r="E625" s="30">
        <v>0.38194444444444442</v>
      </c>
      <c r="F625" s="30">
        <v>0.75694444444444453</v>
      </c>
      <c r="G625" s="31">
        <v>1</v>
      </c>
      <c r="H625" s="32">
        <v>1</v>
      </c>
      <c r="I625" s="135" t="str">
        <f t="shared" si="81"/>
        <v/>
      </c>
      <c r="J625" s="155">
        <f t="shared" si="78"/>
        <v>1.5277777777777835E-2</v>
      </c>
      <c r="K625" s="39"/>
      <c r="L625" s="39"/>
      <c r="M625" s="156"/>
      <c r="N625" s="79"/>
      <c r="O625" s="159" t="str">
        <f t="shared" si="79"/>
        <v/>
      </c>
      <c r="Q625" s="157">
        <f>(SUM(E$2:E$21)+SUM(E$25:E$154)+SUM(E$156:E625))/(COUNTA(E$2:E625)-4)</f>
        <v>0.38048390652557501</v>
      </c>
      <c r="R625" s="158">
        <f>(SUM(H$2:H625)*E$1+A625)/SUM(H$2:H625)</f>
        <v>0.34915428346279409</v>
      </c>
      <c r="S625" s="64"/>
    </row>
    <row r="626" spans="1:19" x14ac:dyDescent="0.3">
      <c r="A626" s="221">
        <f t="shared" si="76"/>
        <v>1.6368055555555325</v>
      </c>
      <c r="B626" s="19" t="s">
        <v>4</v>
      </c>
      <c r="C626" s="89">
        <f t="shared" si="77"/>
        <v>43637</v>
      </c>
      <c r="D626" s="89" t="s">
        <v>68</v>
      </c>
      <c r="E626" s="21">
        <v>0.38194444444444442</v>
      </c>
      <c r="F626" s="21">
        <v>0.73958333333333337</v>
      </c>
      <c r="G626" s="22">
        <v>0</v>
      </c>
      <c r="H626" s="23">
        <v>1</v>
      </c>
      <c r="I626" s="136">
        <f>IF(J626&lt;0,-J626,"")</f>
        <v>2.0833333333333259E-3</v>
      </c>
      <c r="J626" s="160">
        <f t="shared" si="78"/>
        <v>-2.0833333333333259E-3</v>
      </c>
      <c r="K626" s="37"/>
      <c r="L626" s="37"/>
      <c r="M626" s="161"/>
      <c r="N626" s="79"/>
      <c r="O626" s="159" t="str">
        <f t="shared" si="79"/>
        <v/>
      </c>
      <c r="P626" s="162">
        <f>A626-A621</f>
        <v>1.736111111111116E-2</v>
      </c>
      <c r="Q626" s="157">
        <f>(SUM(E$2:E$21)+SUM(E$25:E$154)+SUM(E$156:E626))/(COUNTA(E$2:E626)-4)</f>
        <v>0.38048679867986979</v>
      </c>
      <c r="R626" s="158">
        <f>(SUM(H$2:H626)*E$1+A626)/SUM(H$2:H626)</f>
        <v>0.34914335467924951</v>
      </c>
      <c r="S626" s="57">
        <f>IF(COUNTA(M622:M626)=0,0,SUM(M622:M626)/COUNTA(M622:M626))</f>
        <v>0</v>
      </c>
    </row>
    <row r="627" spans="1:19" x14ac:dyDescent="0.3">
      <c r="A627" s="219">
        <f t="shared" si="76"/>
        <v>1.6381944444444214</v>
      </c>
      <c r="B627" s="24" t="s">
        <v>0</v>
      </c>
      <c r="C627" s="90">
        <f t="shared" si="77"/>
        <v>43640</v>
      </c>
      <c r="D627" s="90" t="s">
        <v>71</v>
      </c>
      <c r="E627" s="26">
        <v>0.38194444444444442</v>
      </c>
      <c r="F627" s="26">
        <v>0.75694444444444453</v>
      </c>
      <c r="G627" s="27">
        <v>2</v>
      </c>
      <c r="H627" s="24">
        <v>1</v>
      </c>
      <c r="I627" s="134" t="str">
        <f t="shared" si="81"/>
        <v/>
      </c>
      <c r="J627" s="163">
        <f t="shared" si="78"/>
        <v>1.3888888888889395E-3</v>
      </c>
      <c r="K627" s="38"/>
      <c r="L627" s="38"/>
      <c r="M627" s="164"/>
      <c r="N627" s="79"/>
      <c r="O627" s="159" t="str">
        <f t="shared" si="79"/>
        <v/>
      </c>
      <c r="Q627" s="157">
        <f>(SUM(E$2:E$21)+SUM(E$25:E$154)+SUM(E$156:E627))/(COUNTA(E$2:E627)-4)</f>
        <v>0.38048967940272471</v>
      </c>
      <c r="R627" s="158">
        <f>(SUM(H$2:H627)*E$1+A627)/SUM(H$2:H627)</f>
        <v>0.34913947751990132</v>
      </c>
      <c r="S627" s="63"/>
    </row>
    <row r="628" spans="1:19" x14ac:dyDescent="0.3">
      <c r="A628" s="220">
        <f t="shared" si="76"/>
        <v>1.6534722222221991</v>
      </c>
      <c r="B628" s="28" t="s">
        <v>1</v>
      </c>
      <c r="C628" s="88">
        <f t="shared" si="77"/>
        <v>43641</v>
      </c>
      <c r="D628" s="88" t="s">
        <v>72</v>
      </c>
      <c r="E628" s="30">
        <v>0.38194444444444442</v>
      </c>
      <c r="F628" s="30">
        <v>0.75694444444444453</v>
      </c>
      <c r="G628" s="31">
        <v>1</v>
      </c>
      <c r="H628" s="32">
        <v>1</v>
      </c>
      <c r="I628" s="135" t="str">
        <f t="shared" si="81"/>
        <v/>
      </c>
      <c r="J628" s="155">
        <f t="shared" si="78"/>
        <v>1.5277777777777835E-2</v>
      </c>
      <c r="K628" s="39"/>
      <c r="L628" s="39"/>
      <c r="M628" s="156"/>
      <c r="N628" s="79"/>
      <c r="O628" s="159" t="str">
        <f t="shared" si="79"/>
        <v/>
      </c>
      <c r="Q628" s="157">
        <f>(SUM(E$2:E$21)+SUM(E$25:E$154)+SUM(E$156:E628))/(COUNTA(E$2:E628)-4)</f>
        <v>0.3804925487617814</v>
      </c>
      <c r="R628" s="158">
        <f>(SUM(H$2:H628)*E$1+A628)/SUM(H$2:H628)</f>
        <v>0.34916358957144455</v>
      </c>
      <c r="S628" s="64"/>
    </row>
    <row r="629" spans="1:19" x14ac:dyDescent="0.3">
      <c r="A629" s="220">
        <f t="shared" si="76"/>
        <v>1.654861111111088</v>
      </c>
      <c r="B629" s="28" t="s">
        <v>2</v>
      </c>
      <c r="C629" s="88">
        <f t="shared" si="77"/>
        <v>43642</v>
      </c>
      <c r="D629" s="88" t="s">
        <v>292</v>
      </c>
      <c r="E629" s="30">
        <v>0.38194444444444442</v>
      </c>
      <c r="F629" s="30">
        <v>0.75694444444444453</v>
      </c>
      <c r="G629" s="31">
        <v>2</v>
      </c>
      <c r="H629" s="32">
        <v>1</v>
      </c>
      <c r="I629" s="135" t="str">
        <f t="shared" si="81"/>
        <v/>
      </c>
      <c r="J629" s="155">
        <f t="shared" si="78"/>
        <v>1.3888888888889395E-3</v>
      </c>
      <c r="K629" s="39"/>
      <c r="L629" s="39"/>
      <c r="M629" s="156"/>
      <c r="N629" s="79"/>
      <c r="O629" s="159" t="str">
        <f t="shared" si="79"/>
        <v/>
      </c>
      <c r="Q629" s="157">
        <f>(SUM(E$2:E$21)+SUM(E$25:E$154)+SUM(E$156:E629))/(COUNTA(E$2:E629)-4)</f>
        <v>0.38049540682414884</v>
      </c>
      <c r="R629" s="158">
        <f>(SUM(H$2:H629)*E$1+A629)/SUM(H$2:H629)</f>
        <v>0.3491596873255165</v>
      </c>
      <c r="S629" s="64"/>
    </row>
    <row r="630" spans="1:19" x14ac:dyDescent="0.3">
      <c r="A630" s="220">
        <f t="shared" si="76"/>
        <v>1.6284722222221992</v>
      </c>
      <c r="B630" s="28" t="s">
        <v>3</v>
      </c>
      <c r="C630" s="88">
        <f t="shared" si="77"/>
        <v>43643</v>
      </c>
      <c r="D630" s="88" t="s">
        <v>293</v>
      </c>
      <c r="E630" s="30">
        <v>0.38194444444444442</v>
      </c>
      <c r="F630" s="30">
        <v>0.75694444444444453</v>
      </c>
      <c r="G630" s="31">
        <v>4</v>
      </c>
      <c r="H630" s="32">
        <v>1</v>
      </c>
      <c r="I630" s="135">
        <f t="shared" si="81"/>
        <v>2.6388888888888851E-2</v>
      </c>
      <c r="J630" s="155">
        <f t="shared" si="78"/>
        <v>-2.6388888888888851E-2</v>
      </c>
      <c r="K630" s="39"/>
      <c r="L630" s="39"/>
      <c r="M630" s="156"/>
      <c r="N630" s="79"/>
      <c r="O630" s="159" t="str">
        <f t="shared" si="79"/>
        <v/>
      </c>
      <c r="Q630" s="157">
        <f>(SUM(E$2:E$21)+SUM(E$25:E$154)+SUM(E$156:E630))/(COUNTA(E$2:E630)-4)</f>
        <v>0.38049825365640882</v>
      </c>
      <c r="R630" s="158">
        <f>(SUM(H$2:H630)*E$1+A630)/SUM(H$2:H630)</f>
        <v>0.34910007801181325</v>
      </c>
      <c r="S630" s="64"/>
    </row>
    <row r="631" spans="1:19" x14ac:dyDescent="0.3">
      <c r="A631" s="221">
        <f t="shared" si="76"/>
        <v>1.626388888888866</v>
      </c>
      <c r="B631" s="19" t="s">
        <v>4</v>
      </c>
      <c r="C631" s="89">
        <f t="shared" si="77"/>
        <v>43644</v>
      </c>
      <c r="D631" s="89" t="s">
        <v>73</v>
      </c>
      <c r="E631" s="21">
        <v>0.38194444444444442</v>
      </c>
      <c r="F631" s="21">
        <v>0.73958333333333337</v>
      </c>
      <c r="G631" s="22">
        <v>0</v>
      </c>
      <c r="H631" s="23">
        <v>1</v>
      </c>
      <c r="I631" s="136">
        <f>IF(J631&lt;0,-J631,"")</f>
        <v>2.0833333333333259E-3</v>
      </c>
      <c r="J631" s="160">
        <f t="shared" si="78"/>
        <v>-2.0833333333333259E-3</v>
      </c>
      <c r="K631" s="37"/>
      <c r="L631" s="37"/>
      <c r="M631" s="161"/>
      <c r="N631" s="79">
        <f>SUM(H612:H631)</f>
        <v>19</v>
      </c>
      <c r="O631" s="159">
        <f t="shared" si="79"/>
        <v>1.0416666666666519E-2</v>
      </c>
      <c r="P631" s="162">
        <f>A631-A626</f>
        <v>-1.0416666666666519E-2</v>
      </c>
      <c r="Q631" s="157">
        <f>(SUM(E$2:E$21)+SUM(E$25:E$154)+SUM(E$156:E631))/(COUNTA(E$2:E631)-4)</f>
        <v>0.38050108932462068</v>
      </c>
      <c r="R631" s="158">
        <f>(SUM(H$2:H631)*E$1+A631)/SUM(H$2:H631)</f>
        <v>0.34908936714492272</v>
      </c>
      <c r="S631" s="57">
        <f>IF(COUNTA(M627:M631)=0,0,SUM(M627:M631)/COUNTA(M627:M631))</f>
        <v>0</v>
      </c>
    </row>
    <row r="632" spans="1:19" x14ac:dyDescent="0.3">
      <c r="A632" s="219">
        <f t="shared" si="76"/>
        <v>1.6277777777777549</v>
      </c>
      <c r="B632" s="24" t="s">
        <v>0</v>
      </c>
      <c r="C632" s="90">
        <f t="shared" si="77"/>
        <v>43647</v>
      </c>
      <c r="D632" s="90" t="s">
        <v>76</v>
      </c>
      <c r="E632" s="26">
        <v>0.38194444444444442</v>
      </c>
      <c r="F632" s="26">
        <v>0.75694444444444453</v>
      </c>
      <c r="G632" s="27">
        <v>2</v>
      </c>
      <c r="H632" s="24">
        <v>1</v>
      </c>
      <c r="I632" s="134" t="str">
        <f t="shared" ref="I632:I650" si="82">IF(J632&lt;0,-J632,"")</f>
        <v/>
      </c>
      <c r="J632" s="163">
        <f t="shared" si="78"/>
        <v>1.3888888888889395E-3</v>
      </c>
      <c r="K632" s="38"/>
      <c r="L632" s="38"/>
      <c r="M632" s="164"/>
      <c r="N632" s="79"/>
      <c r="O632" s="159" t="str">
        <f t="shared" si="79"/>
        <v/>
      </c>
      <c r="Q632" s="157">
        <f>(SUM(E$2:E$21)+SUM(E$25:E$154)+SUM(E$156:E632))/(COUNTA(E$2:E632)-4)</f>
        <v>0.38050391389432681</v>
      </c>
      <c r="R632" s="158">
        <f>(SUM(H$2:H632)*E$1+A632)/SUM(H$2:H632)</f>
        <v>0.34908563658563663</v>
      </c>
      <c r="S632" s="63"/>
    </row>
    <row r="633" spans="1:19" x14ac:dyDescent="0.3">
      <c r="A633" s="220">
        <f t="shared" si="76"/>
        <v>1.6430555555555326</v>
      </c>
      <c r="B633" s="28" t="s">
        <v>1</v>
      </c>
      <c r="C633" s="88">
        <f t="shared" si="77"/>
        <v>43648</v>
      </c>
      <c r="D633" s="88" t="s">
        <v>77</v>
      </c>
      <c r="E633" s="30">
        <v>0.38194444444444442</v>
      </c>
      <c r="F633" s="30">
        <v>0.75694444444444453</v>
      </c>
      <c r="G633" s="31">
        <v>1</v>
      </c>
      <c r="H633" s="32">
        <v>1</v>
      </c>
      <c r="I633" s="135" t="str">
        <f t="shared" si="82"/>
        <v/>
      </c>
      <c r="J633" s="155">
        <f t="shared" si="78"/>
        <v>1.5277777777777835E-2</v>
      </c>
      <c r="K633" s="39"/>
      <c r="L633" s="39"/>
      <c r="M633" s="156"/>
      <c r="N633" s="79"/>
      <c r="O633" s="159" t="str">
        <f t="shared" si="79"/>
        <v/>
      </c>
      <c r="Q633" s="157">
        <f>(SUM(E$2:E$21)+SUM(E$25:E$154)+SUM(E$156:E633))/(COUNTA(E$2:E633)-4)</f>
        <v>0.38050672743055752</v>
      </c>
      <c r="R633" s="158">
        <f>(SUM(H$2:H633)*E$1+A633)/SUM(H$2:H633)</f>
        <v>0.34910961559765147</v>
      </c>
      <c r="S633" s="64"/>
    </row>
    <row r="634" spans="1:19" x14ac:dyDescent="0.3">
      <c r="A634" s="220">
        <f t="shared" si="76"/>
        <v>1.6305555555555327</v>
      </c>
      <c r="B634" s="28" t="s">
        <v>2</v>
      </c>
      <c r="C634" s="88">
        <f t="shared" si="77"/>
        <v>43649</v>
      </c>
      <c r="D634" s="88" t="s">
        <v>294</v>
      </c>
      <c r="E634" s="30">
        <v>0.38194444444444442</v>
      </c>
      <c r="F634" s="30">
        <v>0.75694444444444453</v>
      </c>
      <c r="G634" s="31">
        <v>3</v>
      </c>
      <c r="H634" s="32">
        <v>1</v>
      </c>
      <c r="I634" s="135">
        <f t="shared" si="82"/>
        <v>1.2499999999999956E-2</v>
      </c>
      <c r="J634" s="155">
        <f t="shared" si="78"/>
        <v>-1.2499999999999956E-2</v>
      </c>
      <c r="K634" s="39"/>
      <c r="L634" s="39"/>
      <c r="M634" s="156"/>
      <c r="N634" s="79"/>
      <c r="O634" s="159" t="str">
        <f t="shared" si="79"/>
        <v/>
      </c>
      <c r="Q634" s="157">
        <f>(SUM(E$2:E$21)+SUM(E$25:E$154)+SUM(E$156:E634))/(COUNTA(E$2:E634)-4)</f>
        <v>0.3805095299978361</v>
      </c>
      <c r="R634" s="158">
        <f>(SUM(H$2:H634)*E$1+A634)/SUM(H$2:H634)</f>
        <v>0.34907822001105582</v>
      </c>
      <c r="S634" s="64"/>
    </row>
    <row r="635" spans="1:19" x14ac:dyDescent="0.3">
      <c r="A635" s="220">
        <f t="shared" si="76"/>
        <v>1.6458333333333104</v>
      </c>
      <c r="B635" s="28" t="s">
        <v>3</v>
      </c>
      <c r="C635" s="88">
        <f t="shared" si="77"/>
        <v>43650</v>
      </c>
      <c r="D635" s="88" t="s">
        <v>295</v>
      </c>
      <c r="E635" s="30">
        <v>0.38194444444444442</v>
      </c>
      <c r="F635" s="30">
        <v>0.75694444444444453</v>
      </c>
      <c r="G635" s="31">
        <v>1</v>
      </c>
      <c r="H635" s="32">
        <v>1</v>
      </c>
      <c r="I635" s="135" t="str">
        <f t="shared" si="82"/>
        <v/>
      </c>
      <c r="J635" s="155">
        <f t="shared" si="78"/>
        <v>1.5277777777777835E-2</v>
      </c>
      <c r="K635" s="39"/>
      <c r="L635" s="39"/>
      <c r="M635" s="156"/>
      <c r="N635" s="79"/>
      <c r="O635" s="159" t="str">
        <f t="shared" si="79"/>
        <v/>
      </c>
      <c r="Q635" s="157">
        <f>(SUM(E$2:E$21)+SUM(E$25:E$154)+SUM(E$156:E635))/(COUNTA(E$2:E635)-4)</f>
        <v>0.38051232166018362</v>
      </c>
      <c r="R635" s="158">
        <f>(SUM(H$2:H635)*E$1+A635)/SUM(H$2:H635)</f>
        <v>0.34910211850380668</v>
      </c>
      <c r="S635" s="64"/>
    </row>
    <row r="636" spans="1:19" x14ac:dyDescent="0.3">
      <c r="A636" s="221">
        <f t="shared" si="76"/>
        <v>1.6437499999999772</v>
      </c>
      <c r="B636" s="19" t="s">
        <v>4</v>
      </c>
      <c r="C636" s="89">
        <f t="shared" si="77"/>
        <v>43651</v>
      </c>
      <c r="D636" s="89" t="s">
        <v>78</v>
      </c>
      <c r="E636" s="21">
        <v>0.38194444444444442</v>
      </c>
      <c r="F636" s="21">
        <v>0.73958333333333337</v>
      </c>
      <c r="G636" s="22">
        <v>0</v>
      </c>
      <c r="H636" s="23">
        <v>1</v>
      </c>
      <c r="I636" s="136">
        <f>IF(J636&lt;0,-J636,"")</f>
        <v>2.0833333333333259E-3</v>
      </c>
      <c r="J636" s="160">
        <f t="shared" si="78"/>
        <v>-2.0833333333333259E-3</v>
      </c>
      <c r="K636" s="37"/>
      <c r="L636" s="37"/>
      <c r="M636" s="161"/>
      <c r="N636" s="79"/>
      <c r="O636" s="159" t="str">
        <f t="shared" si="79"/>
        <v/>
      </c>
      <c r="P636" s="162">
        <f>A636-A631</f>
        <v>1.736111111111116E-2</v>
      </c>
      <c r="Q636" s="157">
        <f>(SUM(E$2:E$21)+SUM(E$25:E$154)+SUM(E$156:E636))/(COUNTA(E$2:E636)-4)</f>
        <v>0.38051510248112391</v>
      </c>
      <c r="R636" s="158">
        <f>(SUM(H$2:H636)*E$1+A636)/SUM(H$2:H636)</f>
        <v>0.34909150974562275</v>
      </c>
      <c r="S636" s="57">
        <f>IF(COUNTA(M632:M636)=0,0,SUM(M632:M636)/COUNTA(M632:M636))</f>
        <v>0</v>
      </c>
    </row>
    <row r="637" spans="1:19" x14ac:dyDescent="0.3">
      <c r="A637" s="219">
        <f t="shared" si="76"/>
        <v>1.6451388888888661</v>
      </c>
      <c r="B637" s="24" t="s">
        <v>0</v>
      </c>
      <c r="C637" s="90">
        <f t="shared" si="77"/>
        <v>43654</v>
      </c>
      <c r="D637" s="90" t="s">
        <v>81</v>
      </c>
      <c r="E637" s="26">
        <v>0.38194444444444442</v>
      </c>
      <c r="F637" s="26">
        <v>0.75694444444444453</v>
      </c>
      <c r="G637" s="27">
        <v>2</v>
      </c>
      <c r="H637" s="24">
        <v>1</v>
      </c>
      <c r="I637" s="134" t="str">
        <f t="shared" si="82"/>
        <v/>
      </c>
      <c r="J637" s="163">
        <f t="shared" si="78"/>
        <v>1.3888888888889395E-3</v>
      </c>
      <c r="K637" s="38"/>
      <c r="L637" s="38"/>
      <c r="M637" s="164"/>
      <c r="N637" s="79"/>
      <c r="O637" s="159" t="str">
        <f t="shared" si="79"/>
        <v/>
      </c>
      <c r="Q637" s="157">
        <f>(SUM(E$2:E$21)+SUM(E$25:E$154)+SUM(E$156:E637))/(COUNTA(E$2:E637)-4)</f>
        <v>0.38051787252368852</v>
      </c>
      <c r="R637" s="158">
        <f>(SUM(H$2:H637)*E$1+A637)/SUM(H$2:H637)</f>
        <v>0.3490878118474558</v>
      </c>
      <c r="S637" s="63"/>
    </row>
    <row r="638" spans="1:19" x14ac:dyDescent="0.3">
      <c r="A638" s="220">
        <f t="shared" si="76"/>
        <v>1.6604166666666438</v>
      </c>
      <c r="B638" s="28" t="s">
        <v>1</v>
      </c>
      <c r="C638" s="88">
        <f t="shared" si="77"/>
        <v>43655</v>
      </c>
      <c r="D638" s="88" t="s">
        <v>82</v>
      </c>
      <c r="E638" s="30">
        <v>0.38194444444444442</v>
      </c>
      <c r="F638" s="30">
        <v>0.75694444444444453</v>
      </c>
      <c r="G638" s="31">
        <v>1</v>
      </c>
      <c r="H638" s="32">
        <v>1</v>
      </c>
      <c r="I638" s="135" t="str">
        <f t="shared" si="82"/>
        <v/>
      </c>
      <c r="J638" s="155">
        <f t="shared" si="78"/>
        <v>1.5277777777777835E-2</v>
      </c>
      <c r="K638" s="39"/>
      <c r="L638" s="39"/>
      <c r="M638" s="156"/>
      <c r="N638" s="79"/>
      <c r="O638" s="159" t="str">
        <f t="shared" si="79"/>
        <v/>
      </c>
      <c r="Q638" s="157">
        <f>(SUM(E$2:E$21)+SUM(E$25:E$154)+SUM(E$156:E638))/(COUNTA(E$2:E638)-4)</f>
        <v>0.38052063185042118</v>
      </c>
      <c r="R638" s="158">
        <f>(SUM(H$2:H638)*E$1+A638)/SUM(H$2:H638)</f>
        <v>0.34911154985192494</v>
      </c>
      <c r="S638" s="64"/>
    </row>
    <row r="639" spans="1:19" x14ac:dyDescent="0.3">
      <c r="A639" s="220">
        <f t="shared" ref="A639:A702" si="83">A638+J639</f>
        <v>1.6618055555555327</v>
      </c>
      <c r="B639" s="28" t="s">
        <v>2</v>
      </c>
      <c r="C639" s="88">
        <f t="shared" si="77"/>
        <v>43656</v>
      </c>
      <c r="D639" s="88" t="s">
        <v>296</v>
      </c>
      <c r="E639" s="30">
        <v>0.38194444444444442</v>
      </c>
      <c r="F639" s="30">
        <v>0.75694444444444453</v>
      </c>
      <c r="G639" s="31">
        <v>2</v>
      </c>
      <c r="H639" s="32">
        <v>1</v>
      </c>
      <c r="I639" s="135" t="str">
        <f t="shared" si="82"/>
        <v/>
      </c>
      <c r="J639" s="155">
        <f t="shared" si="78"/>
        <v>1.3888888888889395E-3</v>
      </c>
      <c r="K639" s="39"/>
      <c r="L639" s="39"/>
      <c r="M639" s="156"/>
      <c r="N639" s="79"/>
      <c r="O639" s="159" t="str">
        <f t="shared" si="79"/>
        <v/>
      </c>
      <c r="Q639" s="157">
        <f>(SUM(E$2:E$21)+SUM(E$25:E$154)+SUM(E$156:E639))/(COUNTA(E$2:E639)-4)</f>
        <v>0.38052338052338264</v>
      </c>
      <c r="R639" s="158">
        <f>(SUM(H$2:H639)*E$1+A639)/SUM(H$2:H639)</f>
        <v>0.34910782703886151</v>
      </c>
      <c r="S639" s="64"/>
    </row>
    <row r="640" spans="1:19" x14ac:dyDescent="0.3">
      <c r="A640" s="220">
        <f t="shared" si="83"/>
        <v>1.6354166666666439</v>
      </c>
      <c r="B640" s="28" t="s">
        <v>3</v>
      </c>
      <c r="C640" s="88">
        <f t="shared" si="77"/>
        <v>43657</v>
      </c>
      <c r="D640" s="88" t="s">
        <v>297</v>
      </c>
      <c r="E640" s="30">
        <v>0.38194444444444442</v>
      </c>
      <c r="F640" s="30">
        <v>0.75694444444444453</v>
      </c>
      <c r="G640" s="31">
        <v>4</v>
      </c>
      <c r="H640" s="32">
        <v>1</v>
      </c>
      <c r="I640" s="135">
        <f t="shared" si="82"/>
        <v>2.6388888888888851E-2</v>
      </c>
      <c r="J640" s="155">
        <f t="shared" si="78"/>
        <v>-2.6388888888888851E-2</v>
      </c>
      <c r="K640" s="39"/>
      <c r="L640" s="39"/>
      <c r="M640" s="156"/>
      <c r="N640" s="79"/>
      <c r="O640" s="159" t="str">
        <f t="shared" si="79"/>
        <v/>
      </c>
      <c r="Q640" s="157">
        <f>(SUM(E$2:E$21)+SUM(E$25:E$154)+SUM(E$156:E640))/(COUNTA(E$2:E640)-4)</f>
        <v>0.38052611860415542</v>
      </c>
      <c r="R640" s="158">
        <f>(SUM(H$2:H640)*E$1+A640)/SUM(H$2:H640)</f>
        <v>0.34904949196984597</v>
      </c>
      <c r="S640" s="64"/>
    </row>
    <row r="641" spans="1:19" x14ac:dyDescent="0.3">
      <c r="A641" s="221">
        <f t="shared" si="83"/>
        <v>1.6333333333333107</v>
      </c>
      <c r="B641" s="19" t="s">
        <v>4</v>
      </c>
      <c r="C641" s="89">
        <f t="shared" si="77"/>
        <v>43658</v>
      </c>
      <c r="D641" s="89" t="s">
        <v>83</v>
      </c>
      <c r="E641" s="21">
        <v>0.38194444444444442</v>
      </c>
      <c r="F641" s="21">
        <v>0.73958333333333337</v>
      </c>
      <c r="G641" s="22">
        <v>0</v>
      </c>
      <c r="H641" s="23">
        <v>1</v>
      </c>
      <c r="I641" s="136">
        <f>IF(J641&lt;0,-J641,"")</f>
        <v>2.0833333333333259E-3</v>
      </c>
      <c r="J641" s="160">
        <f t="shared" si="78"/>
        <v>-2.0833333333333259E-3</v>
      </c>
      <c r="K641" s="37"/>
      <c r="L641" s="37"/>
      <c r="M641" s="161"/>
      <c r="N641" s="79"/>
      <c r="O641" s="159">
        <f t="shared" si="79"/>
        <v>1.0416666666666519E-2</v>
      </c>
      <c r="P641" s="162">
        <f>A641-A636</f>
        <v>-1.0416666666666519E-2</v>
      </c>
      <c r="Q641" s="157">
        <f>(SUM(E$2:E$21)+SUM(E$25:E$154)+SUM(E$156:E641))/(COUNTA(E$2:E641)-4)</f>
        <v>0.3805288461538483</v>
      </c>
      <c r="R641" s="158">
        <f>(SUM(H$2:H641)*E$1+A641)/SUM(H$2:H641)</f>
        <v>0.34903909061171079</v>
      </c>
      <c r="S641" s="57">
        <f>IF(COUNTA(M637:M641)=0,0,SUM(M637:M641)/COUNTA(M637:M641))</f>
        <v>0</v>
      </c>
    </row>
    <row r="642" spans="1:19" x14ac:dyDescent="0.3">
      <c r="A642" s="219">
        <f t="shared" si="83"/>
        <v>1.6347222222221995</v>
      </c>
      <c r="B642" s="24" t="s">
        <v>0</v>
      </c>
      <c r="C642" s="90">
        <f t="shared" si="77"/>
        <v>43661</v>
      </c>
      <c r="D642" s="90" t="s">
        <v>86</v>
      </c>
      <c r="E642" s="26">
        <v>0.38194444444444442</v>
      </c>
      <c r="F642" s="26">
        <v>0.75694444444444453</v>
      </c>
      <c r="G642" s="27">
        <v>2</v>
      </c>
      <c r="H642" s="24">
        <v>1</v>
      </c>
      <c r="I642" s="134" t="str">
        <f t="shared" si="82"/>
        <v/>
      </c>
      <c r="J642" s="163">
        <f t="shared" si="78"/>
        <v>1.3888888888889395E-3</v>
      </c>
      <c r="K642" s="38"/>
      <c r="L642" s="38"/>
      <c r="M642" s="164"/>
      <c r="N642" s="79"/>
      <c r="O642" s="159" t="str">
        <f t="shared" si="79"/>
        <v/>
      </c>
      <c r="Q642" s="157">
        <f>(SUM(E$2:E$21)+SUM(E$25:E$154)+SUM(E$156:E642))/(COUNTA(E$2:E642)-4)</f>
        <v>0.38053156323310089</v>
      </c>
      <c r="R642" s="158">
        <f>(SUM(H$2:H642)*E$1+A642)/SUM(H$2:H642)</f>
        <v>0.34903553161388612</v>
      </c>
      <c r="S642" s="63"/>
    </row>
    <row r="643" spans="1:19" x14ac:dyDescent="0.3">
      <c r="A643" s="220">
        <f t="shared" si="83"/>
        <v>1.6499999999999773</v>
      </c>
      <c r="B643" s="28" t="s">
        <v>1</v>
      </c>
      <c r="C643" s="88">
        <f t="shared" si="77"/>
        <v>43662</v>
      </c>
      <c r="D643" s="88" t="s">
        <v>87</v>
      </c>
      <c r="E643" s="30">
        <v>0.38194444444444442</v>
      </c>
      <c r="F643" s="30">
        <v>0.75694444444444453</v>
      </c>
      <c r="G643" s="31">
        <v>1</v>
      </c>
      <c r="H643" s="32">
        <v>1</v>
      </c>
      <c r="I643" s="135" t="str">
        <f t="shared" si="82"/>
        <v/>
      </c>
      <c r="J643" s="155">
        <f t="shared" si="78"/>
        <v>1.5277777777777835E-2</v>
      </c>
      <c r="K643" s="39"/>
      <c r="L643" s="39"/>
      <c r="M643" s="156"/>
      <c r="N643" s="79"/>
      <c r="O643" s="159" t="str">
        <f t="shared" si="79"/>
        <v/>
      </c>
      <c r="Q643" s="157">
        <f>(SUM(E$2:E$21)+SUM(E$25:E$154)+SUM(E$156:E643))/(COUNTA(E$2:E643)-4)</f>
        <v>0.38053426990208816</v>
      </c>
      <c r="R643" s="158">
        <f>(SUM(H$2:H643)*E$1+A643)/SUM(H$2:H643)</f>
        <v>0.34905913978494624</v>
      </c>
      <c r="S643" s="64"/>
    </row>
    <row r="644" spans="1:19" x14ac:dyDescent="0.3">
      <c r="A644" s="220">
        <f t="shared" si="83"/>
        <v>1.6374999999999773</v>
      </c>
      <c r="B644" s="28" t="s">
        <v>2</v>
      </c>
      <c r="C644" s="88">
        <f t="shared" si="77"/>
        <v>43663</v>
      </c>
      <c r="D644" s="88" t="s">
        <v>298</v>
      </c>
      <c r="E644" s="30">
        <v>0.38194444444444442</v>
      </c>
      <c r="F644" s="30">
        <v>0.75694444444444453</v>
      </c>
      <c r="G644" s="31">
        <v>3</v>
      </c>
      <c r="H644" s="32">
        <v>1</v>
      </c>
      <c r="I644" s="135">
        <f t="shared" si="82"/>
        <v>1.2499999999999956E-2</v>
      </c>
      <c r="J644" s="155">
        <f t="shared" si="78"/>
        <v>-1.2499999999999956E-2</v>
      </c>
      <c r="K644" s="39"/>
      <c r="L644" s="39"/>
      <c r="M644" s="156"/>
      <c r="N644" s="79"/>
      <c r="O644" s="159" t="str">
        <f t="shared" si="79"/>
        <v/>
      </c>
      <c r="Q644" s="157">
        <f>(SUM(E$2:E$21)+SUM(E$25:E$154)+SUM(E$156:E644))/(COUNTA(E$2:E644)-4)</f>
        <v>0.3805369662205248</v>
      </c>
      <c r="R644" s="158">
        <f>(SUM(H$2:H644)*E$1+A644)/SUM(H$2:H644)</f>
        <v>0.3490284552845529</v>
      </c>
      <c r="S644" s="64"/>
    </row>
    <row r="645" spans="1:19" x14ac:dyDescent="0.3">
      <c r="A645" s="220">
        <f t="shared" si="83"/>
        <v>1.652777777777755</v>
      </c>
      <c r="B645" s="28" t="s">
        <v>3</v>
      </c>
      <c r="C645" s="88">
        <f t="shared" si="77"/>
        <v>43664</v>
      </c>
      <c r="D645" s="88" t="s">
        <v>299</v>
      </c>
      <c r="E645" s="30">
        <v>0.38194444444444442</v>
      </c>
      <c r="F645" s="30">
        <v>0.75694444444444453</v>
      </c>
      <c r="G645" s="31">
        <v>1</v>
      </c>
      <c r="H645" s="32">
        <v>1</v>
      </c>
      <c r="I645" s="135" t="str">
        <f t="shared" si="82"/>
        <v/>
      </c>
      <c r="J645" s="155">
        <f t="shared" si="78"/>
        <v>1.5277777777777835E-2</v>
      </c>
      <c r="K645" s="39"/>
      <c r="L645" s="39"/>
      <c r="M645" s="156"/>
      <c r="N645" s="79"/>
      <c r="O645" s="159" t="str">
        <f t="shared" si="79"/>
        <v/>
      </c>
      <c r="Q645" s="157">
        <f>(SUM(E$2:E$21)+SUM(E$25:E$154)+SUM(E$156:E645))/(COUNTA(E$2:E645)-4)</f>
        <v>0.38053965224766972</v>
      </c>
      <c r="R645" s="158">
        <f>(SUM(H$2:H645)*E$1+A645)/SUM(H$2:H645)</f>
        <v>0.34905198528616249</v>
      </c>
      <c r="S645" s="64"/>
    </row>
    <row r="646" spans="1:19" x14ac:dyDescent="0.3">
      <c r="A646" s="221">
        <f t="shared" si="83"/>
        <v>1.6506944444444218</v>
      </c>
      <c r="B646" s="19" t="s">
        <v>4</v>
      </c>
      <c r="C646" s="89">
        <f t="shared" si="77"/>
        <v>43665</v>
      </c>
      <c r="D646" s="89" t="s">
        <v>88</v>
      </c>
      <c r="E646" s="21">
        <v>0.38194444444444442</v>
      </c>
      <c r="F646" s="21">
        <v>0.73958333333333337</v>
      </c>
      <c r="G646" s="22">
        <v>0</v>
      </c>
      <c r="H646" s="23">
        <v>1</v>
      </c>
      <c r="I646" s="136">
        <f>IF(J646&lt;0,-J646,"")</f>
        <v>2.0833333333333259E-3</v>
      </c>
      <c r="J646" s="160">
        <f t="shared" si="78"/>
        <v>-2.0833333333333259E-3</v>
      </c>
      <c r="K646" s="37"/>
      <c r="L646" s="37"/>
      <c r="M646" s="161"/>
      <c r="N646" s="79"/>
      <c r="O646" s="159" t="str">
        <f t="shared" si="79"/>
        <v/>
      </c>
      <c r="P646" s="162">
        <f>A646-A641</f>
        <v>1.736111111111116E-2</v>
      </c>
      <c r="Q646" s="157">
        <f>(SUM(E$2:E$21)+SUM(E$25:E$154)+SUM(E$156:E646))/(COUNTA(E$2:E646)-4)</f>
        <v>0.38054232804233029</v>
      </c>
      <c r="R646" s="158">
        <f>(SUM(H$2:H646)*E$1+A646)/SUM(H$2:H646)</f>
        <v>0.34904168016412912</v>
      </c>
      <c r="S646" s="57">
        <f>IF(COUNTA(M642:M646)=0,0,SUM(M642:M646)/COUNTA(M642:M646))</f>
        <v>0</v>
      </c>
    </row>
    <row r="647" spans="1:19" x14ac:dyDescent="0.3">
      <c r="A647" s="219">
        <f t="shared" si="83"/>
        <v>1.6520833333333107</v>
      </c>
      <c r="B647" s="24" t="s">
        <v>0</v>
      </c>
      <c r="C647" s="90">
        <f t="shared" si="77"/>
        <v>43668</v>
      </c>
      <c r="D647" s="90" t="s">
        <v>91</v>
      </c>
      <c r="E647" s="26">
        <v>0.38194444444444442</v>
      </c>
      <c r="F647" s="26">
        <v>0.75694444444444453</v>
      </c>
      <c r="G647" s="27">
        <v>2</v>
      </c>
      <c r="H647" s="24">
        <v>1</v>
      </c>
      <c r="I647" s="134" t="str">
        <f t="shared" si="82"/>
        <v/>
      </c>
      <c r="J647" s="163">
        <f t="shared" si="78"/>
        <v>1.3888888888889395E-3</v>
      </c>
      <c r="K647" s="38"/>
      <c r="L647" s="38"/>
      <c r="M647" s="164"/>
      <c r="N647" s="79"/>
      <c r="O647" s="159" t="str">
        <f t="shared" si="79"/>
        <v/>
      </c>
      <c r="Q647" s="157">
        <f>(SUM(E$2:E$21)+SUM(E$25:E$154)+SUM(E$156:E647))/(COUNTA(E$2:E647)-4)</f>
        <v>0.38054499366286665</v>
      </c>
      <c r="R647" s="158">
        <f>(SUM(H$2:H647)*E$1+A647)/SUM(H$2:H647)</f>
        <v>0.34903815066278693</v>
      </c>
      <c r="S647" s="63"/>
    </row>
    <row r="648" spans="1:19" x14ac:dyDescent="0.3">
      <c r="A648" s="220">
        <f t="shared" si="83"/>
        <v>1.6673611111110884</v>
      </c>
      <c r="B648" s="28" t="s">
        <v>1</v>
      </c>
      <c r="C648" s="88">
        <f t="shared" ref="C648:C711" si="84">C643+7</f>
        <v>43669</v>
      </c>
      <c r="D648" s="88" t="s">
        <v>92</v>
      </c>
      <c r="E648" s="30">
        <v>0.38194444444444442</v>
      </c>
      <c r="F648" s="30">
        <v>0.75694444444444453</v>
      </c>
      <c r="G648" s="31">
        <v>1</v>
      </c>
      <c r="H648" s="32">
        <v>1</v>
      </c>
      <c r="I648" s="135" t="str">
        <f t="shared" si="82"/>
        <v/>
      </c>
      <c r="J648" s="155">
        <f t="shared" ref="J648:J711" si="85">IF(H648=1,F648-E648-MAX(G648,1)*$F$1-$E$1,F648-E648-$E$1*H648)</f>
        <v>1.5277777777777835E-2</v>
      </c>
      <c r="K648" s="39"/>
      <c r="L648" s="39"/>
      <c r="M648" s="156"/>
      <c r="N648" s="79"/>
      <c r="O648" s="159" t="str">
        <f t="shared" si="79"/>
        <v/>
      </c>
      <c r="Q648" s="157">
        <f>(SUM(E$2:E$21)+SUM(E$25:E$154)+SUM(E$156:E648))/(COUNTA(E$2:E648)-4)</f>
        <v>0.38054764916719602</v>
      </c>
      <c r="R648" s="158">
        <f>(SUM(H$2:H648)*E$1+A648)/SUM(H$2:H648)</f>
        <v>0.34906152522319028</v>
      </c>
      <c r="S648" s="64"/>
    </row>
    <row r="649" spans="1:19" x14ac:dyDescent="0.3">
      <c r="A649" s="220">
        <f t="shared" si="83"/>
        <v>1.6687499999999773</v>
      </c>
      <c r="B649" s="28" t="s">
        <v>2</v>
      </c>
      <c r="C649" s="88">
        <f t="shared" si="84"/>
        <v>43670</v>
      </c>
      <c r="D649" s="88" t="s">
        <v>300</v>
      </c>
      <c r="E649" s="30">
        <v>0.38194444444444442</v>
      </c>
      <c r="F649" s="30">
        <v>0.75694444444444453</v>
      </c>
      <c r="G649" s="31">
        <v>2</v>
      </c>
      <c r="H649" s="32">
        <v>1</v>
      </c>
      <c r="I649" s="135" t="str">
        <f t="shared" si="82"/>
        <v/>
      </c>
      <c r="J649" s="155">
        <f t="shared" si="85"/>
        <v>1.3888888888889395E-3</v>
      </c>
      <c r="K649" s="39"/>
      <c r="L649" s="39"/>
      <c r="M649" s="156"/>
      <c r="N649" s="79"/>
      <c r="O649" s="159" t="str">
        <f t="shared" si="79"/>
        <v/>
      </c>
      <c r="Q649" s="157">
        <f>(SUM(E$2:E$21)+SUM(E$25:E$154)+SUM(E$156:E649))/(COUNTA(E$2:E649)-4)</f>
        <v>0.38055029461279688</v>
      </c>
      <c r="R649" s="158">
        <f>(SUM(H$2:H649)*E$1+A649)/SUM(H$2:H649)</f>
        <v>0.34905797101449276</v>
      </c>
      <c r="S649" s="64"/>
    </row>
    <row r="650" spans="1:19" x14ac:dyDescent="0.3">
      <c r="A650" s="220">
        <f t="shared" si="83"/>
        <v>1.6423611111110885</v>
      </c>
      <c r="B650" s="28" t="s">
        <v>3</v>
      </c>
      <c r="C650" s="88">
        <f t="shared" si="84"/>
        <v>43671</v>
      </c>
      <c r="D650" s="88" t="s">
        <v>301</v>
      </c>
      <c r="E650" s="30">
        <v>0.38194444444444442</v>
      </c>
      <c r="F650" s="30">
        <v>0.75694444444444453</v>
      </c>
      <c r="G650" s="31">
        <v>4</v>
      </c>
      <c r="H650" s="32">
        <v>1</v>
      </c>
      <c r="I650" s="135">
        <f t="shared" si="82"/>
        <v>2.6388888888888851E-2</v>
      </c>
      <c r="J650" s="155">
        <f t="shared" si="85"/>
        <v>-2.6388888888888851E-2</v>
      </c>
      <c r="K650" s="39"/>
      <c r="L650" s="39"/>
      <c r="M650" s="156"/>
      <c r="N650" s="79"/>
      <c r="O650" s="159" t="str">
        <f t="shared" si="79"/>
        <v/>
      </c>
      <c r="Q650" s="157">
        <f>(SUM(E$2:E$21)+SUM(E$25:E$154)+SUM(E$156:E650))/(COUNTA(E$2:E650)-4)</f>
        <v>0.38055293005671309</v>
      </c>
      <c r="R650" s="158">
        <f>(SUM(H$2:H650)*E$1+A650)/SUM(H$2:H650)</f>
        <v>0.34900085717347046</v>
      </c>
      <c r="S650" s="64"/>
    </row>
    <row r="651" spans="1:19" x14ac:dyDescent="0.3">
      <c r="A651" s="221">
        <f t="shared" si="83"/>
        <v>1.6402777777777553</v>
      </c>
      <c r="B651" s="19" t="s">
        <v>4</v>
      </c>
      <c r="C651" s="89">
        <f t="shared" si="84"/>
        <v>43672</v>
      </c>
      <c r="D651" s="89" t="s">
        <v>93</v>
      </c>
      <c r="E651" s="21">
        <v>0.38194444444444442</v>
      </c>
      <c r="F651" s="21">
        <v>0.73958333333333337</v>
      </c>
      <c r="G651" s="22">
        <v>0</v>
      </c>
      <c r="H651" s="23">
        <v>1</v>
      </c>
      <c r="I651" s="136">
        <f>IF(J651&lt;0,-J651,"")</f>
        <v>2.0833333333333259E-3</v>
      </c>
      <c r="J651" s="160">
        <f t="shared" si="85"/>
        <v>-2.0833333333333259E-3</v>
      </c>
      <c r="K651" s="37"/>
      <c r="L651" s="37"/>
      <c r="M651" s="161"/>
      <c r="N651" s="79"/>
      <c r="O651" s="159">
        <f t="shared" si="79"/>
        <v>1.0416666666666519E-2</v>
      </c>
      <c r="P651" s="162">
        <f>A651-A646</f>
        <v>-1.0416666666666519E-2</v>
      </c>
      <c r="Q651" s="157">
        <f>(SUM(E$2:E$21)+SUM(E$25:E$154)+SUM(E$156:E651))/(COUNTA(E$2:E651)-4)</f>
        <v>0.38055555555555787</v>
      </c>
      <c r="R651" s="158">
        <f>(SUM(H$2:H651)*E$1+A651)/SUM(H$2:H651)</f>
        <v>0.34899074965244359</v>
      </c>
      <c r="S651" s="57">
        <f>IF(COUNTA(M647:M651)=0,0,SUM(M647:M651)/COUNTA(M647:M651))</f>
        <v>0</v>
      </c>
    </row>
    <row r="652" spans="1:19" x14ac:dyDescent="0.3">
      <c r="A652" s="219">
        <f t="shared" si="83"/>
        <v>1.6416666666666442</v>
      </c>
      <c r="B652" s="24" t="s">
        <v>0</v>
      </c>
      <c r="C652" s="90">
        <f t="shared" si="84"/>
        <v>43675</v>
      </c>
      <c r="D652" s="90" t="s">
        <v>96</v>
      </c>
      <c r="E652" s="26">
        <v>0.38194444444444442</v>
      </c>
      <c r="F652" s="26">
        <v>0.75694444444444453</v>
      </c>
      <c r="G652" s="27">
        <v>2</v>
      </c>
      <c r="H652" s="24">
        <v>1</v>
      </c>
      <c r="I652" s="134" t="str">
        <f t="shared" ref="I652:I670" si="86">IF(J652&lt;0,-J652,"")</f>
        <v/>
      </c>
      <c r="J652" s="163">
        <f t="shared" si="85"/>
        <v>1.3888888888889395E-3</v>
      </c>
      <c r="K652" s="38"/>
      <c r="L652" s="38"/>
      <c r="M652" s="164"/>
      <c r="N652" s="79"/>
      <c r="O652" s="159" t="str">
        <f t="shared" si="79"/>
        <v/>
      </c>
      <c r="Q652" s="157">
        <f>(SUM(E$2:E$21)+SUM(E$25:E$154)+SUM(E$156:E652))/(COUNTA(E$2:E652)-4)</f>
        <v>0.38055817116551816</v>
      </c>
      <c r="R652" s="158">
        <f>(SUM(H$2:H652)*E$1+A652)/SUM(H$2:H652)</f>
        <v>0.34898735190521935</v>
      </c>
      <c r="S652" s="63"/>
    </row>
    <row r="653" spans="1:19" x14ac:dyDescent="0.3">
      <c r="A653" s="220">
        <f t="shared" si="83"/>
        <v>1.6569444444444219</v>
      </c>
      <c r="B653" s="28" t="s">
        <v>1</v>
      </c>
      <c r="C653" s="88">
        <f t="shared" si="84"/>
        <v>43676</v>
      </c>
      <c r="D653" s="88" t="s">
        <v>97</v>
      </c>
      <c r="E653" s="30">
        <v>0.38194444444444442</v>
      </c>
      <c r="F653" s="30">
        <v>0.75694444444444453</v>
      </c>
      <c r="G653" s="31">
        <v>1</v>
      </c>
      <c r="H653" s="32">
        <v>1</v>
      </c>
      <c r="I653" s="135" t="str">
        <f t="shared" si="86"/>
        <v/>
      </c>
      <c r="J653" s="155">
        <f t="shared" si="85"/>
        <v>1.5277777777777835E-2</v>
      </c>
      <c r="K653" s="39"/>
      <c r="L653" s="39"/>
      <c r="M653" s="156"/>
      <c r="N653" s="79"/>
      <c r="O653" s="159" t="str">
        <f t="shared" si="79"/>
        <v/>
      </c>
      <c r="Q653" s="157">
        <f>(SUM(E$2:E$21)+SUM(E$25:E$154)+SUM(E$156:E653))/(COUNTA(E$2:E653)-4)</f>
        <v>0.38056077694235824</v>
      </c>
      <c r="R653" s="158">
        <f>(SUM(H$2:H653)*E$1+A653)/SUM(H$2:H653)</f>
        <v>0.34901059976563337</v>
      </c>
      <c r="S653" s="64"/>
    </row>
    <row r="654" spans="1:19" x14ac:dyDescent="0.3">
      <c r="A654" s="220">
        <f t="shared" si="83"/>
        <v>1.6444444444444219</v>
      </c>
      <c r="B654" s="28" t="s">
        <v>2</v>
      </c>
      <c r="C654" s="88">
        <f t="shared" si="84"/>
        <v>43677</v>
      </c>
      <c r="D654" s="88" t="s">
        <v>302</v>
      </c>
      <c r="E654" s="30">
        <v>0.38194444444444442</v>
      </c>
      <c r="F654" s="30">
        <v>0.75694444444444453</v>
      </c>
      <c r="G654" s="31">
        <v>3</v>
      </c>
      <c r="H654" s="32">
        <v>1</v>
      </c>
      <c r="I654" s="135">
        <f t="shared" si="86"/>
        <v>1.2499999999999956E-2</v>
      </c>
      <c r="J654" s="155">
        <f t="shared" si="85"/>
        <v>-1.2499999999999956E-2</v>
      </c>
      <c r="K654" s="39"/>
      <c r="L654" s="39"/>
      <c r="M654" s="156"/>
      <c r="N654" s="79">
        <f>SUM(H635:H654)</f>
        <v>20</v>
      </c>
      <c r="O654" s="159" t="str">
        <f t="shared" si="79"/>
        <v/>
      </c>
      <c r="Q654" s="157">
        <f>(SUM(E$2:E$21)+SUM(E$25:E$154)+SUM(E$156:E654))/(COUNTA(E$2:E654)-4)</f>
        <v>0.38056337294142412</v>
      </c>
      <c r="R654" s="158">
        <f>(SUM(H$2:H654)*E$1+A654)/SUM(H$2:H654)</f>
        <v>0.34898059542796384</v>
      </c>
      <c r="S654" s="64"/>
    </row>
    <row r="655" spans="1:19" x14ac:dyDescent="0.3">
      <c r="A655" s="220">
        <f t="shared" si="83"/>
        <v>1.6597222222221997</v>
      </c>
      <c r="B655" s="28" t="s">
        <v>3</v>
      </c>
      <c r="C655" s="88">
        <f t="shared" si="84"/>
        <v>43678</v>
      </c>
      <c r="D655" s="88" t="s">
        <v>303</v>
      </c>
      <c r="E655" s="30">
        <v>0.38194444444444442</v>
      </c>
      <c r="F655" s="30">
        <v>0.75694444444444453</v>
      </c>
      <c r="G655" s="31">
        <v>1</v>
      </c>
      <c r="H655" s="32">
        <v>1</v>
      </c>
      <c r="I655" s="135" t="str">
        <f t="shared" si="86"/>
        <v/>
      </c>
      <c r="J655" s="155">
        <f t="shared" si="85"/>
        <v>1.5277777777777835E-2</v>
      </c>
      <c r="K655" s="39"/>
      <c r="L655" s="39"/>
      <c r="M655" s="156"/>
      <c r="N655" s="79"/>
      <c r="O655" s="159" t="str">
        <f t="shared" ref="O655:O718" si="87">IF(P655&lt;0,-P655,"")</f>
        <v/>
      </c>
      <c r="Q655" s="157">
        <f>(SUM(E$2:E$21)+SUM(E$25:E$154)+SUM(E$156:E655))/(COUNTA(E$2:E655)-4)</f>
        <v>0.38056595921764702</v>
      </c>
      <c r="R655" s="158">
        <f>(SUM(H$2:H655)*E$1+A655)/SUM(H$2:H655)</f>
        <v>0.34900376737769284</v>
      </c>
      <c r="S655" s="64"/>
    </row>
    <row r="656" spans="1:19" x14ac:dyDescent="0.3">
      <c r="A656" s="221">
        <f t="shared" si="83"/>
        <v>1.6576388888888665</v>
      </c>
      <c r="B656" s="19" t="s">
        <v>4</v>
      </c>
      <c r="C656" s="89">
        <f t="shared" si="84"/>
        <v>43679</v>
      </c>
      <c r="D656" s="89" t="s">
        <v>98</v>
      </c>
      <c r="E656" s="21">
        <v>0.38194444444444442</v>
      </c>
      <c r="F656" s="21">
        <v>0.73958333333333337</v>
      </c>
      <c r="G656" s="22">
        <v>0</v>
      </c>
      <c r="H656" s="23">
        <v>1</v>
      </c>
      <c r="I656" s="136">
        <f>IF(J656&lt;0,-J656,"")</f>
        <v>2.0833333333333259E-3</v>
      </c>
      <c r="J656" s="160">
        <f t="shared" si="85"/>
        <v>-2.0833333333333259E-3</v>
      </c>
      <c r="K656" s="37"/>
      <c r="L656" s="37"/>
      <c r="M656" s="161"/>
      <c r="N656" s="79"/>
      <c r="O656" s="159" t="str">
        <f t="shared" si="87"/>
        <v/>
      </c>
      <c r="P656" s="162">
        <f>A656-A651</f>
        <v>1.736111111111116E-2</v>
      </c>
      <c r="Q656" s="157">
        <f>(SUM(E$2:E$21)+SUM(E$25:E$154)+SUM(E$156:E656))/(COUNTA(E$2:E656)-4)</f>
        <v>0.38056853582554762</v>
      </c>
      <c r="R656" s="158">
        <f>(SUM(H$2:H656)*E$1+A656)/SUM(H$2:H656)</f>
        <v>0.34899375066200611</v>
      </c>
      <c r="S656" s="57">
        <f>IF(COUNTA(M652:M656)=0,0,SUM(M652:M656)/COUNTA(M652:M656))</f>
        <v>0</v>
      </c>
    </row>
    <row r="657" spans="1:19" x14ac:dyDescent="0.3">
      <c r="A657" s="219">
        <f t="shared" si="83"/>
        <v>1.6590277777777553</v>
      </c>
      <c r="B657" s="24" t="s">
        <v>0</v>
      </c>
      <c r="C657" s="90">
        <f t="shared" si="84"/>
        <v>43682</v>
      </c>
      <c r="D657" s="90" t="s">
        <v>101</v>
      </c>
      <c r="E657" s="26">
        <v>0.38194444444444442</v>
      </c>
      <c r="F657" s="26">
        <v>0.75694444444444453</v>
      </c>
      <c r="G657" s="27">
        <v>2</v>
      </c>
      <c r="H657" s="24">
        <v>1</v>
      </c>
      <c r="I657" s="134" t="str">
        <f t="shared" si="86"/>
        <v/>
      </c>
      <c r="J657" s="163">
        <f t="shared" si="85"/>
        <v>1.3888888888889395E-3</v>
      </c>
      <c r="K657" s="38"/>
      <c r="L657" s="38"/>
      <c r="M657" s="164"/>
      <c r="N657" s="79"/>
      <c r="O657" s="159" t="str">
        <f t="shared" si="87"/>
        <v/>
      </c>
      <c r="Q657" s="157">
        <f>(SUM(E$2:E$21)+SUM(E$25:E$154)+SUM(E$156:E657))/(COUNTA(E$2:E657)-4)</f>
        <v>0.38057110281923962</v>
      </c>
      <c r="R657" s="158">
        <f>(SUM(H$2:H657)*E$1+A657)/SUM(H$2:H657)</f>
        <v>0.34899037953272016</v>
      </c>
      <c r="S657" s="63"/>
    </row>
    <row r="658" spans="1:19" x14ac:dyDescent="0.3">
      <c r="A658" s="220">
        <f t="shared" si="83"/>
        <v>1.6743055555555331</v>
      </c>
      <c r="B658" s="28" t="s">
        <v>1</v>
      </c>
      <c r="C658" s="88">
        <f t="shared" si="84"/>
        <v>43683</v>
      </c>
      <c r="D658" s="88" t="s">
        <v>102</v>
      </c>
      <c r="E658" s="30">
        <v>0.38194444444444442</v>
      </c>
      <c r="F658" s="30">
        <v>0.75694444444444453</v>
      </c>
      <c r="G658" s="31">
        <v>1</v>
      </c>
      <c r="H658" s="32">
        <v>1</v>
      </c>
      <c r="I658" s="135" t="str">
        <f t="shared" si="86"/>
        <v/>
      </c>
      <c r="J658" s="155">
        <f t="shared" si="85"/>
        <v>1.5277777777777835E-2</v>
      </c>
      <c r="K658" s="39"/>
      <c r="L658" s="39"/>
      <c r="M658" s="156"/>
      <c r="N658" s="79"/>
      <c r="O658" s="159" t="str">
        <f t="shared" si="87"/>
        <v/>
      </c>
      <c r="Q658" s="157">
        <f>(SUM(E$2:E$21)+SUM(E$25:E$154)+SUM(E$156:E658))/(COUNTA(E$2:E658)-4)</f>
        <v>0.38057366025243367</v>
      </c>
      <c r="R658" s="158">
        <f>(SUM(H$2:H658)*E$1+A658)/SUM(H$2:H658)</f>
        <v>0.34901340086525268</v>
      </c>
      <c r="S658" s="64"/>
    </row>
    <row r="659" spans="1:19" x14ac:dyDescent="0.3">
      <c r="A659" s="220">
        <f t="shared" si="83"/>
        <v>1.6756944444444219</v>
      </c>
      <c r="B659" s="28" t="s">
        <v>2</v>
      </c>
      <c r="C659" s="88">
        <f t="shared" si="84"/>
        <v>43684</v>
      </c>
      <c r="D659" s="88" t="s">
        <v>304</v>
      </c>
      <c r="E659" s="30">
        <v>0.38194444444444442</v>
      </c>
      <c r="F659" s="30">
        <v>0.75694444444444453</v>
      </c>
      <c r="G659" s="31">
        <v>2</v>
      </c>
      <c r="H659" s="32">
        <v>1</v>
      </c>
      <c r="I659" s="135" t="str">
        <f t="shared" si="86"/>
        <v/>
      </c>
      <c r="J659" s="155">
        <f t="shared" si="85"/>
        <v>1.3888888888889395E-3</v>
      </c>
      <c r="K659" s="39"/>
      <c r="L659" s="39"/>
      <c r="M659" s="156"/>
      <c r="N659" s="79"/>
      <c r="O659" s="159" t="str">
        <f t="shared" si="87"/>
        <v/>
      </c>
      <c r="Q659" s="157">
        <f>(SUM(E$2:E$21)+SUM(E$25:E$154)+SUM(E$156:E659))/(COUNTA(E$2:E659)-4)</f>
        <v>0.38057620817844112</v>
      </c>
      <c r="R659" s="158">
        <f>(SUM(H$2:H659)*E$1+A659)/SUM(H$2:H659)</f>
        <v>0.34901000526592946</v>
      </c>
      <c r="S659" s="64"/>
    </row>
    <row r="660" spans="1:19" x14ac:dyDescent="0.3">
      <c r="A660" s="220">
        <f t="shared" si="83"/>
        <v>1.6493055555555332</v>
      </c>
      <c r="B660" s="28" t="s">
        <v>3</v>
      </c>
      <c r="C660" s="88">
        <f t="shared" si="84"/>
        <v>43685</v>
      </c>
      <c r="D660" s="88" t="s">
        <v>305</v>
      </c>
      <c r="E660" s="30">
        <v>0.38194444444444442</v>
      </c>
      <c r="F660" s="30">
        <v>0.75694444444444453</v>
      </c>
      <c r="G660" s="31">
        <v>4</v>
      </c>
      <c r="H660" s="32">
        <v>1</v>
      </c>
      <c r="I660" s="135">
        <f t="shared" si="86"/>
        <v>2.6388888888888851E-2</v>
      </c>
      <c r="J660" s="155">
        <f t="shared" si="85"/>
        <v>-2.6388888888888851E-2</v>
      </c>
      <c r="K660" s="39"/>
      <c r="L660" s="39"/>
      <c r="M660" s="156"/>
      <c r="N660" s="79"/>
      <c r="O660" s="159" t="str">
        <f t="shared" si="87"/>
        <v/>
      </c>
      <c r="Q660" s="157">
        <f>(SUM(E$2:E$21)+SUM(E$25:E$154)+SUM(E$156:E660))/(COUNTA(E$2:E660)-4)</f>
        <v>0.38057874665017771</v>
      </c>
      <c r="R660" s="158">
        <f>(SUM(H$2:H660)*E$1+A660)/SUM(H$2:H660)</f>
        <v>0.34895406286134767</v>
      </c>
      <c r="S660" s="64"/>
    </row>
    <row r="661" spans="1:19" x14ac:dyDescent="0.3">
      <c r="A661" s="221">
        <f t="shared" si="83"/>
        <v>1.6472222222221999</v>
      </c>
      <c r="B661" s="19" t="s">
        <v>4</v>
      </c>
      <c r="C661" s="89">
        <f t="shared" si="84"/>
        <v>43686</v>
      </c>
      <c r="D661" s="89" t="s">
        <v>103</v>
      </c>
      <c r="E661" s="21">
        <v>0.38194444444444442</v>
      </c>
      <c r="F661" s="21">
        <v>0.73958333333333337</v>
      </c>
      <c r="G661" s="22">
        <v>0</v>
      </c>
      <c r="H661" s="23">
        <v>1</v>
      </c>
      <c r="I661" s="136">
        <f>IF(J661&lt;0,-J661,"")</f>
        <v>2.0833333333333259E-3</v>
      </c>
      <c r="J661" s="160">
        <f t="shared" si="85"/>
        <v>-2.0833333333333259E-3</v>
      </c>
      <c r="K661" s="37"/>
      <c r="L661" s="37"/>
      <c r="M661" s="161"/>
      <c r="N661" s="79"/>
      <c r="O661" s="159">
        <f t="shared" si="87"/>
        <v>1.0416666666666519E-2</v>
      </c>
      <c r="P661" s="162">
        <f>A661-A656</f>
        <v>-1.0416666666666519E-2</v>
      </c>
      <c r="Q661" s="157">
        <f>(SUM(E$2:E$21)+SUM(E$25:E$154)+SUM(E$156:E661))/(COUNTA(E$2:E661)-4)</f>
        <v>0.38058127572016714</v>
      </c>
      <c r="R661" s="158">
        <f>(SUM(H$2:H661)*E$1+A661)/SUM(H$2:H661)</f>
        <v>0.34894423460287488</v>
      </c>
      <c r="S661" s="57">
        <f>IF(COUNTA(M657:M661)=0,0,SUM(M657:M661)/COUNTA(M657:M661))</f>
        <v>0</v>
      </c>
    </row>
    <row r="662" spans="1:19" x14ac:dyDescent="0.3">
      <c r="A662" s="219">
        <f t="shared" si="83"/>
        <v>1.6472222222221999</v>
      </c>
      <c r="B662" s="24" t="s">
        <v>0</v>
      </c>
      <c r="C662" s="90">
        <f t="shared" si="84"/>
        <v>43689</v>
      </c>
      <c r="D662" s="90" t="s">
        <v>106</v>
      </c>
      <c r="E662" s="26"/>
      <c r="F662" s="26"/>
      <c r="G662" s="27"/>
      <c r="H662" s="24"/>
      <c r="I662" s="134" t="str">
        <f t="shared" si="86"/>
        <v/>
      </c>
      <c r="J662" s="163">
        <f t="shared" si="85"/>
        <v>0</v>
      </c>
      <c r="K662" s="38"/>
      <c r="L662" s="38"/>
      <c r="M662" s="164"/>
      <c r="N662" s="79"/>
      <c r="O662" s="159" t="str">
        <f t="shared" si="87"/>
        <v/>
      </c>
      <c r="Q662" s="157">
        <f>(SUM(E$2:E$21)+SUM(E$25:E$154)+SUM(E$156:E662))/(COUNTA(E$2:E662)-4)</f>
        <v>0.38058127572016714</v>
      </c>
      <c r="R662" s="158">
        <f>(SUM(H$2:H662)*E$1+A662)/SUM(H$2:H662)</f>
        <v>0.34894423460287488</v>
      </c>
      <c r="S662" s="63"/>
    </row>
    <row r="663" spans="1:19" x14ac:dyDescent="0.3">
      <c r="A663" s="220">
        <f t="shared" si="83"/>
        <v>1.6472222222221999</v>
      </c>
      <c r="B663" s="28" t="s">
        <v>1</v>
      </c>
      <c r="C663" s="88">
        <f t="shared" si="84"/>
        <v>43690</v>
      </c>
      <c r="D663" s="88" t="s">
        <v>107</v>
      </c>
      <c r="E663" s="30"/>
      <c r="F663" s="30"/>
      <c r="G663" s="31"/>
      <c r="H663" s="32"/>
      <c r="I663" s="135" t="str">
        <f t="shared" si="86"/>
        <v/>
      </c>
      <c r="J663" s="155">
        <f t="shared" si="85"/>
        <v>0</v>
      </c>
      <c r="K663" s="39"/>
      <c r="L663" s="39"/>
      <c r="M663" s="156"/>
      <c r="N663" s="79"/>
      <c r="O663" s="159" t="str">
        <f t="shared" si="87"/>
        <v/>
      </c>
      <c r="Q663" s="157">
        <f>(SUM(E$2:E$21)+SUM(E$25:E$154)+SUM(E$156:E663))/(COUNTA(E$2:E663)-4)</f>
        <v>0.38058127572016714</v>
      </c>
      <c r="R663" s="158">
        <f>(SUM(H$2:H663)*E$1+A663)/SUM(H$2:H663)</f>
        <v>0.34894423460287488</v>
      </c>
      <c r="S663" s="64"/>
    </row>
    <row r="664" spans="1:19" x14ac:dyDescent="0.3">
      <c r="A664" s="220">
        <f t="shared" si="83"/>
        <v>1.6472222222221999</v>
      </c>
      <c r="B664" s="28" t="s">
        <v>2</v>
      </c>
      <c r="C664" s="88">
        <f t="shared" si="84"/>
        <v>43691</v>
      </c>
      <c r="D664" s="88" t="s">
        <v>306</v>
      </c>
      <c r="E664" s="30"/>
      <c r="F664" s="30"/>
      <c r="G664" s="31"/>
      <c r="H664" s="32"/>
      <c r="I664" s="135" t="str">
        <f t="shared" si="86"/>
        <v/>
      </c>
      <c r="J664" s="155">
        <f t="shared" si="85"/>
        <v>0</v>
      </c>
      <c r="K664" s="39"/>
      <c r="L664" s="39"/>
      <c r="M664" s="156"/>
      <c r="N664" s="79"/>
      <c r="O664" s="159" t="str">
        <f t="shared" si="87"/>
        <v/>
      </c>
      <c r="Q664" s="157">
        <f>(SUM(E$2:E$21)+SUM(E$25:E$154)+SUM(E$156:E664))/(COUNTA(E$2:E664)-4)</f>
        <v>0.38058127572016714</v>
      </c>
      <c r="R664" s="158">
        <f>(SUM(H$2:H664)*E$1+A664)/SUM(H$2:H664)</f>
        <v>0.34894423460287488</v>
      </c>
      <c r="S664" s="64"/>
    </row>
    <row r="665" spans="1:19" x14ac:dyDescent="0.3">
      <c r="A665" s="220">
        <f t="shared" si="83"/>
        <v>1.6472222222221999</v>
      </c>
      <c r="B665" s="28" t="s">
        <v>3</v>
      </c>
      <c r="C665" s="60">
        <f t="shared" si="84"/>
        <v>43692</v>
      </c>
      <c r="D665" s="60" t="s">
        <v>307</v>
      </c>
      <c r="E665" s="30"/>
      <c r="F665" s="30"/>
      <c r="G665" s="31"/>
      <c r="H665" s="32"/>
      <c r="I665" s="135" t="str">
        <f t="shared" si="86"/>
        <v/>
      </c>
      <c r="J665" s="155">
        <f t="shared" si="85"/>
        <v>0</v>
      </c>
      <c r="K665" s="39"/>
      <c r="L665" s="39"/>
      <c r="M665" s="156"/>
      <c r="N665" s="79"/>
      <c r="O665" s="159" t="str">
        <f t="shared" si="87"/>
        <v/>
      </c>
      <c r="Q665" s="157">
        <f>(SUM(E$2:E$21)+SUM(E$25:E$154)+SUM(E$156:E665))/(COUNTA(E$2:E665)-4)</f>
        <v>0.38058127572016714</v>
      </c>
      <c r="R665" s="158">
        <f>(SUM(H$2:H665)*E$1+A665)/SUM(H$2:H665)</f>
        <v>0.34894423460287488</v>
      </c>
      <c r="S665" s="64"/>
    </row>
    <row r="666" spans="1:19" x14ac:dyDescent="0.3">
      <c r="A666" s="221">
        <f t="shared" si="83"/>
        <v>1.6472222222221999</v>
      </c>
      <c r="B666" s="19" t="s">
        <v>4</v>
      </c>
      <c r="C666" s="89">
        <f t="shared" si="84"/>
        <v>43693</v>
      </c>
      <c r="D666" s="89" t="s">
        <v>108</v>
      </c>
      <c r="E666" s="21"/>
      <c r="F666" s="21"/>
      <c r="G666" s="22"/>
      <c r="H666" s="23"/>
      <c r="I666" s="136" t="str">
        <f>IF(J666&lt;0,-J666,"")</f>
        <v/>
      </c>
      <c r="J666" s="160">
        <f t="shared" si="85"/>
        <v>0</v>
      </c>
      <c r="K666" s="37"/>
      <c r="L666" s="37"/>
      <c r="M666" s="161"/>
      <c r="N666" s="79"/>
      <c r="O666" s="159" t="str">
        <f t="shared" si="87"/>
        <v/>
      </c>
      <c r="P666" s="162">
        <f>A666-A661</f>
        <v>0</v>
      </c>
      <c r="Q666" s="157">
        <f>(SUM(E$2:E$21)+SUM(E$25:E$154)+SUM(E$156:E666))/(COUNTA(E$2:E666)-4)</f>
        <v>0.38058127572016714</v>
      </c>
      <c r="R666" s="158">
        <f>(SUM(H$2:H666)*E$1+A666)/SUM(H$2:H666)</f>
        <v>0.34894423460287488</v>
      </c>
      <c r="S666" s="57">
        <f>IF(COUNTA(M662:M666)=0,0,SUM(M662:M666)/COUNTA(M662:M666))</f>
        <v>0</v>
      </c>
    </row>
    <row r="667" spans="1:19" x14ac:dyDescent="0.3">
      <c r="A667" s="219">
        <f t="shared" si="83"/>
        <v>1.6472222222221999</v>
      </c>
      <c r="B667" s="24" t="s">
        <v>0</v>
      </c>
      <c r="C667" s="90">
        <f t="shared" si="84"/>
        <v>43696</v>
      </c>
      <c r="D667" s="90" t="s">
        <v>111</v>
      </c>
      <c r="E667" s="26"/>
      <c r="F667" s="26"/>
      <c r="G667" s="27"/>
      <c r="H667" s="24"/>
      <c r="I667" s="134" t="str">
        <f t="shared" si="86"/>
        <v/>
      </c>
      <c r="J667" s="163">
        <f t="shared" si="85"/>
        <v>0</v>
      </c>
      <c r="K667" s="38"/>
      <c r="L667" s="38"/>
      <c r="M667" s="164"/>
      <c r="N667" s="79"/>
      <c r="O667" s="159" t="str">
        <f t="shared" si="87"/>
        <v/>
      </c>
      <c r="Q667" s="157">
        <f>(SUM(E$2:E$21)+SUM(E$25:E$154)+SUM(E$156:E667))/(COUNTA(E$2:E667)-4)</f>
        <v>0.38058127572016714</v>
      </c>
      <c r="R667" s="158">
        <f>(SUM(H$2:H667)*E$1+A667)/SUM(H$2:H667)</f>
        <v>0.34894423460287488</v>
      </c>
      <c r="S667" s="63"/>
    </row>
    <row r="668" spans="1:19" x14ac:dyDescent="0.3">
      <c r="A668" s="220">
        <f t="shared" si="83"/>
        <v>1.6472222222221999</v>
      </c>
      <c r="B668" s="28" t="s">
        <v>1</v>
      </c>
      <c r="C668" s="88">
        <f t="shared" si="84"/>
        <v>43697</v>
      </c>
      <c r="D668" s="88" t="s">
        <v>112</v>
      </c>
      <c r="E668" s="30"/>
      <c r="F668" s="30"/>
      <c r="G668" s="31"/>
      <c r="H668" s="32"/>
      <c r="I668" s="135" t="str">
        <f t="shared" si="86"/>
        <v/>
      </c>
      <c r="J668" s="155">
        <f t="shared" si="85"/>
        <v>0</v>
      </c>
      <c r="K668" s="39"/>
      <c r="L668" s="39"/>
      <c r="M668" s="156"/>
      <c r="N668" s="79"/>
      <c r="O668" s="159" t="str">
        <f t="shared" si="87"/>
        <v/>
      </c>
      <c r="Q668" s="157">
        <f>(SUM(E$2:E$21)+SUM(E$25:E$154)+SUM(E$156:E668))/(COUNTA(E$2:E668)-4)</f>
        <v>0.38058127572016714</v>
      </c>
      <c r="R668" s="158">
        <f>(SUM(H$2:H668)*E$1+A668)/SUM(H$2:H668)</f>
        <v>0.34894423460287488</v>
      </c>
      <c r="S668" s="64"/>
    </row>
    <row r="669" spans="1:19" x14ac:dyDescent="0.3">
      <c r="A669" s="220">
        <f t="shared" si="83"/>
        <v>1.6472222222221999</v>
      </c>
      <c r="B669" s="28" t="s">
        <v>2</v>
      </c>
      <c r="C669" s="88">
        <f t="shared" si="84"/>
        <v>43698</v>
      </c>
      <c r="D669" s="88" t="s">
        <v>308</v>
      </c>
      <c r="E669" s="30"/>
      <c r="F669" s="30"/>
      <c r="G669" s="31"/>
      <c r="H669" s="32"/>
      <c r="I669" s="135" t="str">
        <f t="shared" si="86"/>
        <v/>
      </c>
      <c r="J669" s="155">
        <f t="shared" si="85"/>
        <v>0</v>
      </c>
      <c r="K669" s="39"/>
      <c r="L669" s="39"/>
      <c r="M669" s="156"/>
      <c r="N669" s="79"/>
      <c r="O669" s="159" t="str">
        <f t="shared" si="87"/>
        <v/>
      </c>
      <c r="Q669" s="157">
        <f>(SUM(E$2:E$21)+SUM(E$25:E$154)+SUM(E$156:E669))/(COUNTA(E$2:E669)-4)</f>
        <v>0.38058127572016714</v>
      </c>
      <c r="R669" s="158">
        <f>(SUM(H$2:H669)*E$1+A669)/SUM(H$2:H669)</f>
        <v>0.34894423460287488</v>
      </c>
      <c r="S669" s="64"/>
    </row>
    <row r="670" spans="1:19" x14ac:dyDescent="0.3">
      <c r="A670" s="220">
        <f t="shared" si="83"/>
        <v>1.6472222222221999</v>
      </c>
      <c r="B670" s="28" t="s">
        <v>3</v>
      </c>
      <c r="C670" s="88">
        <f t="shared" si="84"/>
        <v>43699</v>
      </c>
      <c r="D670" s="88" t="s">
        <v>309</v>
      </c>
      <c r="E670" s="30"/>
      <c r="F670" s="30"/>
      <c r="G670" s="31"/>
      <c r="H670" s="32"/>
      <c r="I670" s="135" t="str">
        <f t="shared" si="86"/>
        <v/>
      </c>
      <c r="J670" s="155">
        <f t="shared" si="85"/>
        <v>0</v>
      </c>
      <c r="K670" s="39"/>
      <c r="L670" s="39"/>
      <c r="M670" s="156"/>
      <c r="N670" s="79"/>
      <c r="O670" s="159" t="str">
        <f t="shared" si="87"/>
        <v/>
      </c>
      <c r="Q670" s="157">
        <f>(SUM(E$2:E$21)+SUM(E$25:E$154)+SUM(E$156:E670))/(COUNTA(E$2:E670)-4)</f>
        <v>0.38058127572016714</v>
      </c>
      <c r="R670" s="158">
        <f>(SUM(H$2:H670)*E$1+A670)/SUM(H$2:H670)</f>
        <v>0.34894423460287488</v>
      </c>
      <c r="S670" s="64"/>
    </row>
    <row r="671" spans="1:19" x14ac:dyDescent="0.3">
      <c r="A671" s="221">
        <f t="shared" si="83"/>
        <v>1.6472222222221999</v>
      </c>
      <c r="B671" s="19" t="s">
        <v>4</v>
      </c>
      <c r="C671" s="89">
        <f t="shared" si="84"/>
        <v>43700</v>
      </c>
      <c r="D671" s="89" t="s">
        <v>113</v>
      </c>
      <c r="E671" s="21"/>
      <c r="F671" s="21"/>
      <c r="G671" s="22"/>
      <c r="H671" s="23"/>
      <c r="I671" s="136" t="str">
        <f>IF(J671&lt;0,-J671,"")</f>
        <v/>
      </c>
      <c r="J671" s="160">
        <f t="shared" si="85"/>
        <v>0</v>
      </c>
      <c r="K671" s="37"/>
      <c r="L671" s="37"/>
      <c r="M671" s="161"/>
      <c r="N671" s="79"/>
      <c r="O671" s="159" t="str">
        <f t="shared" si="87"/>
        <v/>
      </c>
      <c r="P671" s="162">
        <f>A671-A666</f>
        <v>0</v>
      </c>
      <c r="Q671" s="157">
        <f>(SUM(E$2:E$21)+SUM(E$25:E$154)+SUM(E$156:E671))/(COUNTA(E$2:E671)-4)</f>
        <v>0.38058127572016714</v>
      </c>
      <c r="R671" s="158">
        <f>(SUM(H$2:H671)*E$1+A671)/SUM(H$2:H671)</f>
        <v>0.34894423460287488</v>
      </c>
      <c r="S671" s="57">
        <f>IF(COUNTA(M667:M671)=0,0,SUM(M667:M671)/COUNTA(M667:M671))</f>
        <v>0</v>
      </c>
    </row>
    <row r="672" spans="1:19" x14ac:dyDescent="0.3">
      <c r="A672" s="219">
        <f t="shared" si="83"/>
        <v>1.6472222222221999</v>
      </c>
      <c r="B672" s="24" t="s">
        <v>0</v>
      </c>
      <c r="C672" s="90">
        <f t="shared" si="84"/>
        <v>43703</v>
      </c>
      <c r="D672" s="90" t="s">
        <v>131</v>
      </c>
      <c r="E672" s="26"/>
      <c r="F672" s="26"/>
      <c r="G672" s="27"/>
      <c r="H672" s="24"/>
      <c r="I672" s="134" t="str">
        <f t="shared" ref="I672:I690" si="88">IF(J672&lt;0,-J672,"")</f>
        <v/>
      </c>
      <c r="J672" s="163">
        <f t="shared" si="85"/>
        <v>0</v>
      </c>
      <c r="K672" s="38"/>
      <c r="L672" s="38"/>
      <c r="M672" s="164"/>
      <c r="N672" s="79"/>
      <c r="O672" s="159" t="str">
        <f t="shared" si="87"/>
        <v/>
      </c>
      <c r="Q672" s="157">
        <f>(SUM(E$2:E$21)+SUM(E$25:E$154)+SUM(E$156:E672))/(COUNTA(E$2:E672)-4)</f>
        <v>0.38058127572016714</v>
      </c>
      <c r="R672" s="158">
        <f>(SUM(H$2:H672)*E$1+A672)/SUM(H$2:H672)</f>
        <v>0.34894423460287488</v>
      </c>
      <c r="S672" s="63"/>
    </row>
    <row r="673" spans="1:19" x14ac:dyDescent="0.3">
      <c r="A673" s="220">
        <f t="shared" si="83"/>
        <v>1.6472222222221999</v>
      </c>
      <c r="B673" s="28" t="s">
        <v>1</v>
      </c>
      <c r="C673" s="88">
        <f t="shared" si="84"/>
        <v>43704</v>
      </c>
      <c r="D673" s="88" t="s">
        <v>132</v>
      </c>
      <c r="E673" s="30"/>
      <c r="F673" s="30"/>
      <c r="G673" s="31"/>
      <c r="H673" s="32"/>
      <c r="I673" s="135" t="str">
        <f t="shared" si="88"/>
        <v/>
      </c>
      <c r="J673" s="155">
        <f t="shared" si="85"/>
        <v>0</v>
      </c>
      <c r="K673" s="39"/>
      <c r="L673" s="39"/>
      <c r="M673" s="156"/>
      <c r="N673" s="79"/>
      <c r="O673" s="159" t="str">
        <f t="shared" si="87"/>
        <v/>
      </c>
      <c r="Q673" s="157">
        <f>(SUM(E$2:E$21)+SUM(E$25:E$154)+SUM(E$156:E673))/(COUNTA(E$2:E673)-4)</f>
        <v>0.38058127572016714</v>
      </c>
      <c r="R673" s="158">
        <f>(SUM(H$2:H673)*E$1+A673)/SUM(H$2:H673)</f>
        <v>0.34894423460287488</v>
      </c>
      <c r="S673" s="64"/>
    </row>
    <row r="674" spans="1:19" x14ac:dyDescent="0.3">
      <c r="A674" s="220">
        <f t="shared" si="83"/>
        <v>1.6472222222221999</v>
      </c>
      <c r="B674" s="28" t="s">
        <v>2</v>
      </c>
      <c r="C674" s="88">
        <f t="shared" si="84"/>
        <v>43705</v>
      </c>
      <c r="D674" s="88" t="s">
        <v>310</v>
      </c>
      <c r="E674" s="30"/>
      <c r="F674" s="30"/>
      <c r="G674" s="31"/>
      <c r="H674" s="32"/>
      <c r="I674" s="135" t="str">
        <f t="shared" si="88"/>
        <v/>
      </c>
      <c r="J674" s="155">
        <f t="shared" si="85"/>
        <v>0</v>
      </c>
      <c r="K674" s="39"/>
      <c r="L674" s="39"/>
      <c r="M674" s="156"/>
      <c r="N674" s="79"/>
      <c r="O674" s="159" t="str">
        <f t="shared" si="87"/>
        <v/>
      </c>
      <c r="Q674" s="157">
        <f>(SUM(E$2:E$21)+SUM(E$25:E$154)+SUM(E$156:E674))/(COUNTA(E$2:E674)-4)</f>
        <v>0.38058127572016714</v>
      </c>
      <c r="R674" s="158">
        <f>(SUM(H$2:H674)*E$1+A674)/SUM(H$2:H674)</f>
        <v>0.34894423460287488</v>
      </c>
      <c r="S674" s="64"/>
    </row>
    <row r="675" spans="1:19" x14ac:dyDescent="0.3">
      <c r="A675" s="220">
        <f t="shared" si="83"/>
        <v>1.6472222222221999</v>
      </c>
      <c r="B675" s="28" t="s">
        <v>3</v>
      </c>
      <c r="C675" s="88">
        <f t="shared" si="84"/>
        <v>43706</v>
      </c>
      <c r="D675" s="88" t="s">
        <v>311</v>
      </c>
      <c r="E675" s="30"/>
      <c r="F675" s="30"/>
      <c r="G675" s="31"/>
      <c r="H675" s="32"/>
      <c r="I675" s="135" t="str">
        <f t="shared" si="88"/>
        <v/>
      </c>
      <c r="J675" s="155">
        <f t="shared" si="85"/>
        <v>0</v>
      </c>
      <c r="K675" s="39"/>
      <c r="L675" s="39"/>
      <c r="M675" s="156"/>
      <c r="N675" s="79"/>
      <c r="O675" s="159" t="str">
        <f t="shared" si="87"/>
        <v/>
      </c>
      <c r="Q675" s="157">
        <f>(SUM(E$2:E$21)+SUM(E$25:E$154)+SUM(E$156:E675))/(COUNTA(E$2:E675)-4)</f>
        <v>0.38058127572016714</v>
      </c>
      <c r="R675" s="158">
        <f>(SUM(H$2:H675)*E$1+A675)/SUM(H$2:H675)</f>
        <v>0.34894423460287488</v>
      </c>
      <c r="S675" s="64"/>
    </row>
    <row r="676" spans="1:19" x14ac:dyDescent="0.3">
      <c r="A676" s="221">
        <f t="shared" si="83"/>
        <v>1.6472222222221999</v>
      </c>
      <c r="B676" s="19" t="s">
        <v>4</v>
      </c>
      <c r="C676" s="89">
        <f t="shared" si="84"/>
        <v>43707</v>
      </c>
      <c r="D676" s="89" t="s">
        <v>133</v>
      </c>
      <c r="E676" s="21"/>
      <c r="F676" s="21"/>
      <c r="G676" s="22"/>
      <c r="H676" s="23"/>
      <c r="I676" s="136" t="str">
        <f>IF(J676&lt;0,-J676,"")</f>
        <v/>
      </c>
      <c r="J676" s="160">
        <f t="shared" si="85"/>
        <v>0</v>
      </c>
      <c r="K676" s="37"/>
      <c r="L676" s="37"/>
      <c r="M676" s="161"/>
      <c r="N676" s="79">
        <f>SUM(H657:H676)</f>
        <v>5</v>
      </c>
      <c r="O676" s="159" t="str">
        <f t="shared" si="87"/>
        <v/>
      </c>
      <c r="P676" s="162">
        <f>A676-A671</f>
        <v>0</v>
      </c>
      <c r="Q676" s="157">
        <f>(SUM(E$2:E$21)+SUM(E$25:E$154)+SUM(E$156:E676))/(COUNTA(E$2:E676)-4)</f>
        <v>0.38058127572016714</v>
      </c>
      <c r="R676" s="158">
        <f>(SUM(H$2:H676)*E$1+A676)/SUM(H$2:H676)</f>
        <v>0.34894423460287488</v>
      </c>
      <c r="S676" s="57">
        <f>IF(COUNTA(M672:M676)=0,0,SUM(M672:M676)/COUNTA(M672:M676))</f>
        <v>0</v>
      </c>
    </row>
    <row r="677" spans="1:19" x14ac:dyDescent="0.3">
      <c r="A677" s="219">
        <f t="shared" si="83"/>
        <v>1.6486111111110888</v>
      </c>
      <c r="B677" s="24" t="s">
        <v>0</v>
      </c>
      <c r="C677" s="90">
        <f t="shared" si="84"/>
        <v>43710</v>
      </c>
      <c r="D677" s="90" t="s">
        <v>136</v>
      </c>
      <c r="E677" s="26">
        <v>0.38194444444444442</v>
      </c>
      <c r="F677" s="26">
        <v>0.75694444444444453</v>
      </c>
      <c r="G677" s="27">
        <v>2</v>
      </c>
      <c r="H677" s="24">
        <v>1</v>
      </c>
      <c r="I677" s="134" t="str">
        <f t="shared" si="88"/>
        <v/>
      </c>
      <c r="J677" s="163">
        <f t="shared" si="85"/>
        <v>1.3888888888889395E-3</v>
      </c>
      <c r="K677" s="38"/>
      <c r="L677" s="38"/>
      <c r="M677" s="164"/>
      <c r="N677" s="79"/>
      <c r="O677" s="159" t="str">
        <f t="shared" si="87"/>
        <v/>
      </c>
      <c r="Q677" s="157">
        <f>(SUM(E$2:E$21)+SUM(E$25:E$154)+SUM(E$156:E677))/(COUNTA(E$2:E677)-4)</f>
        <v>0.38058379544054477</v>
      </c>
      <c r="R677" s="158">
        <f>(SUM(H$2:H677)*E$1+A677)/SUM(H$2:H677)</f>
        <v>0.34894098858519218</v>
      </c>
      <c r="S677" s="63"/>
    </row>
    <row r="678" spans="1:19" x14ac:dyDescent="0.3">
      <c r="A678" s="220">
        <f t="shared" si="83"/>
        <v>1.6638888888888665</v>
      </c>
      <c r="B678" s="28" t="s">
        <v>1</v>
      </c>
      <c r="C678" s="88">
        <f t="shared" si="84"/>
        <v>43711</v>
      </c>
      <c r="D678" s="88" t="s">
        <v>137</v>
      </c>
      <c r="E678" s="30">
        <v>0.38194444444444442</v>
      </c>
      <c r="F678" s="30">
        <v>0.75694444444444453</v>
      </c>
      <c r="G678" s="31">
        <v>1</v>
      </c>
      <c r="H678" s="32">
        <v>1</v>
      </c>
      <c r="I678" s="135" t="str">
        <f t="shared" si="88"/>
        <v/>
      </c>
      <c r="J678" s="155">
        <f t="shared" si="85"/>
        <v>1.5277777777777835E-2</v>
      </c>
      <c r="K678" s="39"/>
      <c r="L678" s="39"/>
      <c r="M678" s="156"/>
      <c r="N678" s="79"/>
      <c r="O678" s="159" t="str">
        <f t="shared" si="87"/>
        <v/>
      </c>
      <c r="Q678" s="157">
        <f>(SUM(E$2:E$21)+SUM(E$25:E$154)+SUM(E$156:E678))/(COUNTA(E$2:E678)-4)</f>
        <v>0.38058630586306119</v>
      </c>
      <c r="R678" s="158">
        <f>(SUM(H$2:H678)*E$1+A678)/SUM(H$2:H678)</f>
        <v>0.34896388627573954</v>
      </c>
      <c r="S678" s="64"/>
    </row>
    <row r="679" spans="1:19" x14ac:dyDescent="0.3">
      <c r="A679" s="220">
        <f t="shared" si="83"/>
        <v>1.6652777777777554</v>
      </c>
      <c r="B679" s="28" t="s">
        <v>2</v>
      </c>
      <c r="C679" s="88">
        <f t="shared" si="84"/>
        <v>43712</v>
      </c>
      <c r="D679" s="88" t="s">
        <v>312</v>
      </c>
      <c r="E679" s="30">
        <v>0.38194444444444442</v>
      </c>
      <c r="F679" s="30">
        <v>0.75694444444444453</v>
      </c>
      <c r="G679" s="31">
        <v>2</v>
      </c>
      <c r="H679" s="32">
        <v>1</v>
      </c>
      <c r="I679" s="135" t="str">
        <f t="shared" si="88"/>
        <v/>
      </c>
      <c r="J679" s="155">
        <f t="shared" si="85"/>
        <v>1.3888888888889395E-3</v>
      </c>
      <c r="K679" s="39"/>
      <c r="L679" s="39"/>
      <c r="M679" s="156"/>
      <c r="N679" s="79"/>
      <c r="O679" s="159" t="str">
        <f t="shared" si="87"/>
        <v/>
      </c>
      <c r="Q679" s="157">
        <f>(SUM(E$2:E$21)+SUM(E$25:E$154)+SUM(E$156:E679))/(COUNTA(E$2:E679)-4)</f>
        <v>0.38058880703908587</v>
      </c>
      <c r="R679" s="158">
        <f>(SUM(H$2:H679)*E$1+A679)/SUM(H$2:H679)</f>
        <v>0.34896061554512259</v>
      </c>
      <c r="S679" s="64"/>
    </row>
    <row r="680" spans="1:19" x14ac:dyDescent="0.3">
      <c r="A680" s="220">
        <f t="shared" si="83"/>
        <v>1.6388888888888666</v>
      </c>
      <c r="B680" s="28" t="s">
        <v>3</v>
      </c>
      <c r="C680" s="88">
        <f t="shared" si="84"/>
        <v>43713</v>
      </c>
      <c r="D680" s="88" t="s">
        <v>313</v>
      </c>
      <c r="E680" s="30">
        <v>0.38194444444444442</v>
      </c>
      <c r="F680" s="30">
        <v>0.75694444444444453</v>
      </c>
      <c r="G680" s="31">
        <v>4</v>
      </c>
      <c r="H680" s="32">
        <v>1</v>
      </c>
      <c r="I680" s="135">
        <f t="shared" si="88"/>
        <v>2.6388888888888851E-2</v>
      </c>
      <c r="J680" s="155">
        <f t="shared" si="85"/>
        <v>-2.6388888888888851E-2</v>
      </c>
      <c r="K680" s="39"/>
      <c r="L680" s="39"/>
      <c r="M680" s="156"/>
      <c r="N680" s="79"/>
      <c r="O680" s="159" t="str">
        <f t="shared" si="87"/>
        <v/>
      </c>
      <c r="Q680" s="157">
        <f>(SUM(E$2:E$21)+SUM(E$25:E$154)+SUM(E$156:E680))/(COUNTA(E$2:E680)-4)</f>
        <v>0.38059129901961042</v>
      </c>
      <c r="R680" s="158">
        <f>(SUM(H$2:H680)*E$1+A680)/SUM(H$2:H680)</f>
        <v>0.34890529001353743</v>
      </c>
      <c r="S680" s="64"/>
    </row>
    <row r="681" spans="1:19" x14ac:dyDescent="0.3">
      <c r="A681" s="221">
        <f t="shared" si="83"/>
        <v>1.6263888888888665</v>
      </c>
      <c r="B681" s="19" t="s">
        <v>4</v>
      </c>
      <c r="C681" s="89">
        <f t="shared" si="84"/>
        <v>43714</v>
      </c>
      <c r="D681" s="89" t="s">
        <v>138</v>
      </c>
      <c r="E681" s="21">
        <v>0.38194444444444442</v>
      </c>
      <c r="F681" s="21">
        <v>0.72916666666666663</v>
      </c>
      <c r="G681" s="22">
        <v>0</v>
      </c>
      <c r="H681" s="23">
        <v>1</v>
      </c>
      <c r="I681" s="136">
        <f>IF(J681&lt;0,-J681,"")</f>
        <v>1.2500000000000067E-2</v>
      </c>
      <c r="J681" s="160">
        <f t="shared" si="85"/>
        <v>-1.2500000000000067E-2</v>
      </c>
      <c r="K681" s="37"/>
      <c r="L681" s="37"/>
      <c r="M681" s="161"/>
      <c r="N681" s="79"/>
      <c r="O681" s="159">
        <f t="shared" si="87"/>
        <v>2.0833333333333481E-2</v>
      </c>
      <c r="P681" s="162">
        <f>A681-A676</f>
        <v>-2.0833333333333481E-2</v>
      </c>
      <c r="Q681" s="157">
        <f>(SUM(E$2:E$21)+SUM(E$25:E$154)+SUM(E$156:E681))/(COUNTA(E$2:E681)-4)</f>
        <v>0.38059378185525233</v>
      </c>
      <c r="R681" s="158">
        <f>(SUM(H$2:H681)*E$1+A681)/SUM(H$2:H681)</f>
        <v>0.34887615632470637</v>
      </c>
      <c r="S681" s="57">
        <f>IF(COUNTA(M677:M681)=0,0,SUM(M677:M681)/COUNTA(M677:M681))</f>
        <v>0</v>
      </c>
    </row>
    <row r="682" spans="1:19" x14ac:dyDescent="0.3">
      <c r="A682" s="219">
        <f t="shared" si="83"/>
        <v>1.6277777777777553</v>
      </c>
      <c r="B682" s="24" t="s">
        <v>0</v>
      </c>
      <c r="C682" s="90">
        <f t="shared" si="84"/>
        <v>43717</v>
      </c>
      <c r="D682" s="90" t="s">
        <v>141</v>
      </c>
      <c r="E682" s="26">
        <v>0.38194444444444442</v>
      </c>
      <c r="F682" s="26">
        <v>0.75694444444444453</v>
      </c>
      <c r="G682" s="27">
        <v>2</v>
      </c>
      <c r="H682" s="24">
        <v>1</v>
      </c>
      <c r="I682" s="134" t="str">
        <f t="shared" si="88"/>
        <v/>
      </c>
      <c r="J682" s="163">
        <f t="shared" si="85"/>
        <v>1.3888888888889395E-3</v>
      </c>
      <c r="K682" s="38"/>
      <c r="L682" s="38"/>
      <c r="M682" s="164"/>
      <c r="N682" s="79"/>
      <c r="O682" s="159" t="str">
        <f t="shared" si="87"/>
        <v/>
      </c>
      <c r="Q682" s="157">
        <f>(SUM(E$2:E$21)+SUM(E$25:E$154)+SUM(E$156:E682))/(COUNTA(E$2:E682)-4)</f>
        <v>0.3805962555962582</v>
      </c>
      <c r="R682" s="158">
        <f>(SUM(H$2:H682)*E$1+A682)/SUM(H$2:H682)</f>
        <v>0.34887306774561677</v>
      </c>
      <c r="S682" s="63"/>
    </row>
    <row r="683" spans="1:19" x14ac:dyDescent="0.3">
      <c r="A683" s="220">
        <f t="shared" si="83"/>
        <v>1.6430555555555331</v>
      </c>
      <c r="B683" s="28" t="s">
        <v>1</v>
      </c>
      <c r="C683" s="88">
        <f t="shared" si="84"/>
        <v>43718</v>
      </c>
      <c r="D683" s="88" t="s">
        <v>142</v>
      </c>
      <c r="E683" s="30">
        <v>0.38194444444444442</v>
      </c>
      <c r="F683" s="30">
        <v>0.75694444444444453</v>
      </c>
      <c r="G683" s="31">
        <v>1</v>
      </c>
      <c r="H683" s="32">
        <v>1</v>
      </c>
      <c r="I683" s="135" t="str">
        <f t="shared" si="88"/>
        <v/>
      </c>
      <c r="J683" s="155">
        <f t="shared" si="85"/>
        <v>1.5277777777777835E-2</v>
      </c>
      <c r="K683" s="39"/>
      <c r="L683" s="39"/>
      <c r="M683" s="156"/>
      <c r="N683" s="79"/>
      <c r="O683" s="159" t="str">
        <f t="shared" si="87"/>
        <v/>
      </c>
      <c r="Q683" s="157">
        <f>(SUM(E$2:E$21)+SUM(E$25:E$154)+SUM(E$156:E683))/(COUNTA(E$2:E683)-4)</f>
        <v>0.38059872029250724</v>
      </c>
      <c r="R683" s="158">
        <f>(SUM(H$2:H683)*E$1+A683)/SUM(H$2:H683)</f>
        <v>0.34889587863725791</v>
      </c>
      <c r="S683" s="64"/>
    </row>
    <row r="684" spans="1:19" x14ac:dyDescent="0.3">
      <c r="A684" s="220">
        <f t="shared" si="83"/>
        <v>1.6305555555555331</v>
      </c>
      <c r="B684" s="28" t="s">
        <v>2</v>
      </c>
      <c r="C684" s="88">
        <f t="shared" si="84"/>
        <v>43719</v>
      </c>
      <c r="D684" s="88" t="s">
        <v>314</v>
      </c>
      <c r="E684" s="30">
        <v>0.38194444444444442</v>
      </c>
      <c r="F684" s="30">
        <v>0.75694444444444453</v>
      </c>
      <c r="G684" s="31">
        <v>3</v>
      </c>
      <c r="H684" s="32">
        <v>1</v>
      </c>
      <c r="I684" s="135">
        <f t="shared" si="88"/>
        <v>1.2499999999999956E-2</v>
      </c>
      <c r="J684" s="155">
        <f t="shared" si="85"/>
        <v>-1.2499999999999956E-2</v>
      </c>
      <c r="K684" s="39"/>
      <c r="L684" s="39"/>
      <c r="M684" s="156"/>
      <c r="N684" s="79"/>
      <c r="O684" s="159" t="str">
        <f t="shared" si="87"/>
        <v/>
      </c>
      <c r="Q684" s="157">
        <f>(SUM(E$2:E$21)+SUM(E$25:E$154)+SUM(E$156:E684))/(COUNTA(E$2:E684)-4)</f>
        <v>0.38060117599351445</v>
      </c>
      <c r="R684" s="158">
        <f>(SUM(H$2:H684)*E$1+A684)/SUM(H$2:H684)</f>
        <v>0.34886692506459949</v>
      </c>
      <c r="S684" s="64"/>
    </row>
    <row r="685" spans="1:19" x14ac:dyDescent="0.3">
      <c r="A685" s="220">
        <f t="shared" si="83"/>
        <v>1.6458333333333108</v>
      </c>
      <c r="B685" s="28" t="s">
        <v>3</v>
      </c>
      <c r="C685" s="88">
        <f t="shared" si="84"/>
        <v>43720</v>
      </c>
      <c r="D685" s="88" t="s">
        <v>315</v>
      </c>
      <c r="E685" s="30">
        <v>0.38194444444444442</v>
      </c>
      <c r="F685" s="30">
        <v>0.75694444444444453</v>
      </c>
      <c r="G685" s="31">
        <v>1</v>
      </c>
      <c r="H685" s="32">
        <v>1</v>
      </c>
      <c r="I685" s="135" t="str">
        <f t="shared" si="88"/>
        <v/>
      </c>
      <c r="J685" s="155">
        <f t="shared" si="85"/>
        <v>1.5277777777777835E-2</v>
      </c>
      <c r="K685" s="39"/>
      <c r="L685" s="39"/>
      <c r="M685" s="156"/>
      <c r="N685" s="79"/>
      <c r="O685" s="159" t="str">
        <f t="shared" si="87"/>
        <v/>
      </c>
      <c r="Q685" s="157">
        <f>(SUM(E$2:E$21)+SUM(E$25:E$154)+SUM(E$156:E685))/(COUNTA(E$2:E685)-4)</f>
        <v>0.38060362274843418</v>
      </c>
      <c r="R685" s="158">
        <f>(SUM(H$2:H685)*E$1+A685)/SUM(H$2:H685)</f>
        <v>0.34888966264314453</v>
      </c>
      <c r="S685" s="64"/>
    </row>
    <row r="686" spans="1:19" x14ac:dyDescent="0.3">
      <c r="A686" s="221">
        <f t="shared" si="83"/>
        <v>1.6333333333333107</v>
      </c>
      <c r="B686" s="19" t="s">
        <v>4</v>
      </c>
      <c r="C686" s="89">
        <f t="shared" si="84"/>
        <v>43721</v>
      </c>
      <c r="D686" s="89" t="s">
        <v>143</v>
      </c>
      <c r="E686" s="21">
        <v>0.38194444444444442</v>
      </c>
      <c r="F686" s="21">
        <v>0.72916666666666663</v>
      </c>
      <c r="G686" s="22">
        <v>0</v>
      </c>
      <c r="H686" s="23">
        <v>1</v>
      </c>
      <c r="I686" s="136">
        <f>IF(J686&lt;0,-J686,"")</f>
        <v>1.2500000000000067E-2</v>
      </c>
      <c r="J686" s="160">
        <f t="shared" si="85"/>
        <v>-1.2500000000000067E-2</v>
      </c>
      <c r="K686" s="37"/>
      <c r="L686" s="37"/>
      <c r="M686" s="161"/>
      <c r="N686" s="79"/>
      <c r="O686" s="159" t="str">
        <f t="shared" si="87"/>
        <v/>
      </c>
      <c r="P686" s="162">
        <f>A686-A681</f>
        <v>6.9444444444441977E-3</v>
      </c>
      <c r="Q686" s="157">
        <f>(SUM(E$2:E$21)+SUM(E$25:E$154)+SUM(E$156:E686))/(COUNTA(E$2:E686)-4)</f>
        <v>0.38060606060606333</v>
      </c>
      <c r="R686" s="158">
        <f>(SUM(H$2:H686)*E$1+A686)/SUM(H$2:H686)</f>
        <v>0.34886082792709294</v>
      </c>
      <c r="S686" s="57">
        <f>IF(COUNTA(M682:M686)=0,0,SUM(M682:M686)/COUNTA(M682:M686))</f>
        <v>0</v>
      </c>
    </row>
    <row r="687" spans="1:19" x14ac:dyDescent="0.3">
      <c r="A687" s="219">
        <f t="shared" si="83"/>
        <v>1.6347222222221995</v>
      </c>
      <c r="B687" s="24" t="s">
        <v>0</v>
      </c>
      <c r="C687" s="90">
        <f t="shared" si="84"/>
        <v>43724</v>
      </c>
      <c r="D687" s="90" t="s">
        <v>146</v>
      </c>
      <c r="E687" s="26">
        <v>0.38194444444444442</v>
      </c>
      <c r="F687" s="26">
        <v>0.75694444444444453</v>
      </c>
      <c r="G687" s="27">
        <v>2</v>
      </c>
      <c r="H687" s="24">
        <v>1</v>
      </c>
      <c r="I687" s="134" t="str">
        <f t="shared" si="88"/>
        <v/>
      </c>
      <c r="J687" s="163">
        <f t="shared" si="85"/>
        <v>1.3888888888889395E-3</v>
      </c>
      <c r="K687" s="38"/>
      <c r="L687" s="38"/>
      <c r="M687" s="164"/>
      <c r="N687" s="79"/>
      <c r="O687" s="159" t="str">
        <f t="shared" si="87"/>
        <v/>
      </c>
      <c r="Q687" s="157">
        <f>(SUM(E$2:E$21)+SUM(E$25:E$154)+SUM(E$156:E687))/(COUNTA(E$2:E687)-4)</f>
        <v>0.38060848961484445</v>
      </c>
      <c r="R687" s="158">
        <f>(SUM(H$2:H687)*E$1+A687)/SUM(H$2:H687)</f>
        <v>0.34885779627916536</v>
      </c>
      <c r="S687" s="63"/>
    </row>
    <row r="688" spans="1:19" x14ac:dyDescent="0.3">
      <c r="A688" s="220">
        <f t="shared" si="83"/>
        <v>1.6499999999999773</v>
      </c>
      <c r="B688" s="28" t="s">
        <v>1</v>
      </c>
      <c r="C688" s="88">
        <f t="shared" si="84"/>
        <v>43725</v>
      </c>
      <c r="D688" s="88" t="s">
        <v>147</v>
      </c>
      <c r="E688" s="30">
        <v>0.38194444444444442</v>
      </c>
      <c r="F688" s="30">
        <v>0.75694444444444453</v>
      </c>
      <c r="G688" s="31">
        <v>1</v>
      </c>
      <c r="H688" s="32">
        <v>1</v>
      </c>
      <c r="I688" s="135" t="str">
        <f t="shared" si="88"/>
        <v/>
      </c>
      <c r="J688" s="155">
        <f t="shared" si="85"/>
        <v>1.5277777777777835E-2</v>
      </c>
      <c r="K688" s="39"/>
      <c r="L688" s="39"/>
      <c r="M688" s="156"/>
      <c r="N688" s="79"/>
      <c r="O688" s="159" t="str">
        <f t="shared" si="87"/>
        <v/>
      </c>
      <c r="Q688" s="157">
        <f>(SUM(E$2:E$21)+SUM(E$25:E$154)+SUM(E$156:E688))/(COUNTA(E$2:E688)-4)</f>
        <v>0.3806109098228691</v>
      </c>
      <c r="R688" s="158">
        <f>(SUM(H$2:H688)*E$1+A688)/SUM(H$2:H688)</f>
        <v>0.34888042474607572</v>
      </c>
      <c r="S688" s="64"/>
    </row>
    <row r="689" spans="1:19" x14ac:dyDescent="0.3">
      <c r="A689" s="220">
        <f t="shared" si="83"/>
        <v>1.6513888888888661</v>
      </c>
      <c r="B689" s="28" t="s">
        <v>2</v>
      </c>
      <c r="C689" s="88">
        <f t="shared" si="84"/>
        <v>43726</v>
      </c>
      <c r="D689" s="88" t="s">
        <v>316</v>
      </c>
      <c r="E689" s="30">
        <v>0.38194444444444442</v>
      </c>
      <c r="F689" s="30">
        <v>0.75694444444444453</v>
      </c>
      <c r="G689" s="31">
        <v>2</v>
      </c>
      <c r="H689" s="32">
        <v>1</v>
      </c>
      <c r="I689" s="135" t="str">
        <f t="shared" si="88"/>
        <v/>
      </c>
      <c r="J689" s="155">
        <f t="shared" si="85"/>
        <v>1.3888888888889395E-3</v>
      </c>
      <c r="K689" s="39"/>
      <c r="L689" s="39"/>
      <c r="M689" s="156"/>
      <c r="N689" s="79"/>
      <c r="O689" s="159" t="str">
        <f t="shared" si="87"/>
        <v/>
      </c>
      <c r="Q689" s="157">
        <f>(SUM(E$2:E$21)+SUM(E$25:E$154)+SUM(E$156:E689))/(COUNTA(E$2:E689)-4)</f>
        <v>0.380613321277881</v>
      </c>
      <c r="R689" s="158">
        <f>(SUM(H$2:H689)*E$1+A689)/SUM(H$2:H689)</f>
        <v>0.34887736815156173</v>
      </c>
      <c r="S689" s="64"/>
    </row>
    <row r="690" spans="1:19" x14ac:dyDescent="0.3">
      <c r="A690" s="220">
        <f t="shared" si="83"/>
        <v>1.6249999999999774</v>
      </c>
      <c r="B690" s="28" t="s">
        <v>3</v>
      </c>
      <c r="C690" s="88">
        <f t="shared" si="84"/>
        <v>43727</v>
      </c>
      <c r="D690" s="88" t="s">
        <v>317</v>
      </c>
      <c r="E690" s="30">
        <v>0.38194444444444442</v>
      </c>
      <c r="F690" s="30">
        <v>0.75694444444444453</v>
      </c>
      <c r="G690" s="31">
        <v>4</v>
      </c>
      <c r="H690" s="32">
        <v>1</v>
      </c>
      <c r="I690" s="135">
        <f t="shared" si="88"/>
        <v>2.6388888888888851E-2</v>
      </c>
      <c r="J690" s="155">
        <f t="shared" si="85"/>
        <v>-2.6388888888888851E-2</v>
      </c>
      <c r="K690" s="39"/>
      <c r="L690" s="39"/>
      <c r="M690" s="156"/>
      <c r="N690" s="79"/>
      <c r="O690" s="159" t="str">
        <f t="shared" si="87"/>
        <v/>
      </c>
      <c r="Q690" s="157">
        <f>(SUM(E$2:E$21)+SUM(E$25:E$154)+SUM(E$156:E690))/(COUNTA(E$2:E690)-4)</f>
        <v>0.38061572402727917</v>
      </c>
      <c r="R690" s="158">
        <f>(SUM(H$2:H690)*E$1+A690)/SUM(H$2:H690)</f>
        <v>0.34882321373811714</v>
      </c>
      <c r="S690" s="64"/>
    </row>
    <row r="691" spans="1:19" x14ac:dyDescent="0.3">
      <c r="A691" s="221">
        <f t="shared" si="83"/>
        <v>1.605555555555533</v>
      </c>
      <c r="B691" s="19" t="s">
        <v>4</v>
      </c>
      <c r="C691" s="89">
        <f t="shared" si="84"/>
        <v>43728</v>
      </c>
      <c r="D691" s="89" t="s">
        <v>148</v>
      </c>
      <c r="E691" s="21">
        <v>0.38194444444444442</v>
      </c>
      <c r="F691" s="21">
        <v>0.72222222222222221</v>
      </c>
      <c r="G691" s="22">
        <v>0</v>
      </c>
      <c r="H691" s="23">
        <v>1</v>
      </c>
      <c r="I691" s="136">
        <f>IF(J691&lt;0,-J691,"")</f>
        <v>1.9444444444444486E-2</v>
      </c>
      <c r="J691" s="160">
        <f t="shared" si="85"/>
        <v>-1.9444444444444486E-2</v>
      </c>
      <c r="K691" s="37"/>
      <c r="L691" s="37"/>
      <c r="M691" s="161"/>
      <c r="N691" s="79"/>
      <c r="O691" s="159">
        <f t="shared" si="87"/>
        <v>2.7777777777777679E-2</v>
      </c>
      <c r="P691" s="162">
        <f>A691-A686</f>
        <v>-2.7777777777777679E-2</v>
      </c>
      <c r="Q691" s="157">
        <f>(SUM(E$2:E$21)+SUM(E$25:E$154)+SUM(E$156:E691))/(COUNTA(E$2:E691)-4)</f>
        <v>0.38061811811812091</v>
      </c>
      <c r="R691" s="158">
        <f>(SUM(H$2:H691)*E$1+A691)/SUM(H$2:H691)</f>
        <v>0.34878201203958781</v>
      </c>
      <c r="S691" s="57">
        <f>IF(COUNTA(M687:M691)=0,0,SUM(M687:M691)/COUNTA(M687:M691))</f>
        <v>0</v>
      </c>
    </row>
    <row r="692" spans="1:19" x14ac:dyDescent="0.3">
      <c r="A692" s="219">
        <f t="shared" si="83"/>
        <v>1.6069444444444219</v>
      </c>
      <c r="B692" s="24" t="s">
        <v>0</v>
      </c>
      <c r="C692" s="90">
        <f t="shared" si="84"/>
        <v>43731</v>
      </c>
      <c r="D692" s="90" t="s">
        <v>151</v>
      </c>
      <c r="E692" s="26">
        <v>0.38194444444444442</v>
      </c>
      <c r="F692" s="26">
        <v>0.75694444444444453</v>
      </c>
      <c r="G692" s="27">
        <v>2</v>
      </c>
      <c r="H692" s="24">
        <v>1</v>
      </c>
      <c r="I692" s="134" t="str">
        <f t="shared" ref="I692:I710" si="89">IF(J692&lt;0,-J692,"")</f>
        <v/>
      </c>
      <c r="J692" s="163">
        <f t="shared" si="85"/>
        <v>1.3888888888889395E-3</v>
      </c>
      <c r="K692" s="38"/>
      <c r="L692" s="38"/>
      <c r="M692" s="164"/>
      <c r="N692" s="79"/>
      <c r="O692" s="159" t="str">
        <f t="shared" si="87"/>
        <v/>
      </c>
      <c r="Q692" s="157">
        <f>(SUM(E$2:E$21)+SUM(E$25:E$154)+SUM(E$156:E692))/(COUNTA(E$2:E692)-4)</f>
        <v>0.38062050359712513</v>
      </c>
      <c r="R692" s="158">
        <f>(SUM(H$2:H692)*E$1+A692)/SUM(H$2:H692)</f>
        <v>0.34877915266320403</v>
      </c>
      <c r="S692" s="63"/>
    </row>
    <row r="693" spans="1:19" x14ac:dyDescent="0.3">
      <c r="A693" s="220">
        <f t="shared" si="83"/>
        <v>1.6222222222221996</v>
      </c>
      <c r="B693" s="28" t="s">
        <v>1</v>
      </c>
      <c r="C693" s="88">
        <f t="shared" si="84"/>
        <v>43732</v>
      </c>
      <c r="D693" s="88" t="s">
        <v>152</v>
      </c>
      <c r="E693" s="30">
        <v>0.38194444444444442</v>
      </c>
      <c r="F693" s="30">
        <v>0.75694444444444453</v>
      </c>
      <c r="G693" s="31">
        <v>1</v>
      </c>
      <c r="H693" s="32">
        <v>1</v>
      </c>
      <c r="I693" s="135" t="str">
        <f t="shared" si="89"/>
        <v/>
      </c>
      <c r="J693" s="155">
        <f t="shared" si="85"/>
        <v>1.5277777777777835E-2</v>
      </c>
      <c r="K693" s="39"/>
      <c r="L693" s="39"/>
      <c r="M693" s="156"/>
      <c r="N693" s="79"/>
      <c r="O693" s="159" t="str">
        <f t="shared" si="87"/>
        <v/>
      </c>
      <c r="Q693" s="157">
        <f>(SUM(E$2:E$21)+SUM(E$25:E$154)+SUM(E$156:E693))/(COUNTA(E$2:E693)-4)</f>
        <v>0.38062288051067505</v>
      </c>
      <c r="R693" s="158">
        <f>(SUM(H$2:H693)*E$1+A693)/SUM(H$2:H693)</f>
        <v>0.34880171800345638</v>
      </c>
      <c r="S693" s="64"/>
    </row>
    <row r="694" spans="1:19" x14ac:dyDescent="0.3">
      <c r="A694" s="220">
        <f t="shared" si="83"/>
        <v>1.6097222222221996</v>
      </c>
      <c r="B694" s="28" t="s">
        <v>2</v>
      </c>
      <c r="C694" s="88">
        <f t="shared" si="84"/>
        <v>43733</v>
      </c>
      <c r="D694" s="88" t="s">
        <v>318</v>
      </c>
      <c r="E694" s="30">
        <v>0.38194444444444442</v>
      </c>
      <c r="F694" s="30">
        <v>0.75694444444444453</v>
      </c>
      <c r="G694" s="31">
        <v>3</v>
      </c>
      <c r="H694" s="32">
        <v>1</v>
      </c>
      <c r="I694" s="135">
        <f t="shared" si="89"/>
        <v>1.2499999999999956E-2</v>
      </c>
      <c r="J694" s="155">
        <f t="shared" si="85"/>
        <v>-1.2499999999999956E-2</v>
      </c>
      <c r="K694" s="39"/>
      <c r="L694" s="39"/>
      <c r="M694" s="156"/>
      <c r="N694" s="79"/>
      <c r="O694" s="159" t="str">
        <f t="shared" si="87"/>
        <v/>
      </c>
      <c r="Q694" s="157">
        <f>(SUM(E$2:E$21)+SUM(E$25:E$154)+SUM(E$156:E694))/(COUNTA(E$2:E694)-4)</f>
        <v>0.38062524890482163</v>
      </c>
      <c r="R694" s="158">
        <f>(SUM(H$2:H694)*E$1+A694)/SUM(H$2:H694)</f>
        <v>0.348773465246068</v>
      </c>
      <c r="S694" s="64"/>
    </row>
    <row r="695" spans="1:19" x14ac:dyDescent="0.3">
      <c r="A695" s="220">
        <f t="shared" si="83"/>
        <v>1.6249999999999774</v>
      </c>
      <c r="B695" s="28" t="s">
        <v>3</v>
      </c>
      <c r="C695" s="88">
        <f t="shared" si="84"/>
        <v>43734</v>
      </c>
      <c r="D695" s="88" t="s">
        <v>319</v>
      </c>
      <c r="E695" s="30">
        <v>0.38194444444444442</v>
      </c>
      <c r="F695" s="30">
        <v>0.75694444444444453</v>
      </c>
      <c r="G695" s="31">
        <v>1</v>
      </c>
      <c r="H695" s="32">
        <v>1</v>
      </c>
      <c r="I695" s="135" t="str">
        <f t="shared" si="89"/>
        <v/>
      </c>
      <c r="J695" s="155">
        <f t="shared" si="85"/>
        <v>1.5277777777777835E-2</v>
      </c>
      <c r="K695" s="39"/>
      <c r="L695" s="39"/>
      <c r="M695" s="156"/>
      <c r="N695" s="79"/>
      <c r="O695" s="159" t="str">
        <f t="shared" si="87"/>
        <v/>
      </c>
      <c r="Q695" s="157">
        <f>(SUM(E$2:E$21)+SUM(E$25:E$154)+SUM(E$156:E695))/(COUNTA(E$2:E695)-4)</f>
        <v>0.38062760882528612</v>
      </c>
      <c r="R695" s="158">
        <f>(SUM(H$2:H695)*E$1+A695)/SUM(H$2:H695)</f>
        <v>0.34879595867517471</v>
      </c>
      <c r="S695" s="64"/>
    </row>
    <row r="696" spans="1:19" x14ac:dyDescent="0.3">
      <c r="A696" s="221">
        <f t="shared" si="83"/>
        <v>1.5986111111110883</v>
      </c>
      <c r="B696" s="19" t="s">
        <v>4</v>
      </c>
      <c r="C696" s="89">
        <f t="shared" si="84"/>
        <v>43735</v>
      </c>
      <c r="D696" s="89" t="s">
        <v>153</v>
      </c>
      <c r="E696" s="21">
        <v>0.38194444444444442</v>
      </c>
      <c r="F696" s="21">
        <v>0.71527777777777779</v>
      </c>
      <c r="G696" s="22">
        <v>0</v>
      </c>
      <c r="H696" s="23">
        <v>1</v>
      </c>
      <c r="I696" s="136">
        <f>IF(J696&lt;0,-J696,"")</f>
        <v>2.6388888888888906E-2</v>
      </c>
      <c r="J696" s="160">
        <f t="shared" si="85"/>
        <v>-2.6388888888888906E-2</v>
      </c>
      <c r="K696" s="37"/>
      <c r="L696" s="37"/>
      <c r="M696" s="161"/>
      <c r="N696" s="79"/>
      <c r="O696" s="159">
        <f t="shared" si="87"/>
        <v>6.9444444444446418E-3</v>
      </c>
      <c r="P696" s="162">
        <f>A696-A691</f>
        <v>-6.9444444444446418E-3</v>
      </c>
      <c r="Q696" s="157">
        <f>(SUM(E$2:E$21)+SUM(E$25:E$154)+SUM(E$156:E696))/(COUNTA(E$2:E696)-4)</f>
        <v>0.38062996031746321</v>
      </c>
      <c r="R696" s="158">
        <f>(SUM(H$2:H696)*E$1+A696)/SUM(H$2:H696)</f>
        <v>0.34874254372662017</v>
      </c>
      <c r="S696" s="57">
        <f>IF(COUNTA(M692:M696)=0,0,SUM(M692:M696)/COUNTA(M692:M696))</f>
        <v>0</v>
      </c>
    </row>
    <row r="697" spans="1:19" x14ac:dyDescent="0.3">
      <c r="A697" s="219">
        <f t="shared" si="83"/>
        <v>1.5986111111110883</v>
      </c>
      <c r="B697" s="24" t="s">
        <v>0</v>
      </c>
      <c r="C697" s="47">
        <f t="shared" si="84"/>
        <v>43738</v>
      </c>
      <c r="D697" s="47" t="s">
        <v>156</v>
      </c>
      <c r="E697" s="26"/>
      <c r="F697" s="26"/>
      <c r="G697" s="27"/>
      <c r="H697" s="24"/>
      <c r="I697" s="134" t="str">
        <f t="shared" si="89"/>
        <v/>
      </c>
      <c r="J697" s="163">
        <f t="shared" si="85"/>
        <v>0</v>
      </c>
      <c r="K697" s="38"/>
      <c r="L697" s="38"/>
      <c r="M697" s="164"/>
      <c r="N697" s="79">
        <f>SUM(H678:H697)</f>
        <v>19</v>
      </c>
      <c r="O697" s="159" t="str">
        <f t="shared" si="87"/>
        <v/>
      </c>
      <c r="Q697" s="157">
        <f>(SUM(E$2:E$21)+SUM(E$25:E$154)+SUM(E$156:E697))/(COUNTA(E$2:E697)-4)</f>
        <v>0.38062996031746321</v>
      </c>
      <c r="R697" s="158">
        <f>(SUM(H$2:H697)*E$1+A697)/SUM(H$2:H697)</f>
        <v>0.34874254372662017</v>
      </c>
      <c r="S697" s="63"/>
    </row>
    <row r="698" spans="1:19" x14ac:dyDescent="0.3">
      <c r="A698" s="220">
        <f t="shared" si="83"/>
        <v>1.5986111111110883</v>
      </c>
      <c r="B698" s="28" t="s">
        <v>1</v>
      </c>
      <c r="C698" s="48">
        <f t="shared" si="84"/>
        <v>43739</v>
      </c>
      <c r="D698" s="48" t="s">
        <v>157</v>
      </c>
      <c r="E698" s="30"/>
      <c r="F698" s="30"/>
      <c r="G698" s="31"/>
      <c r="H698" s="32"/>
      <c r="I698" s="135" t="str">
        <f t="shared" si="89"/>
        <v/>
      </c>
      <c r="J698" s="155">
        <f t="shared" si="85"/>
        <v>0</v>
      </c>
      <c r="K698" s="39"/>
      <c r="L698" s="39"/>
      <c r="M698" s="156"/>
      <c r="N698" s="79"/>
      <c r="O698" s="159" t="str">
        <f t="shared" si="87"/>
        <v/>
      </c>
      <c r="Q698" s="157">
        <f>(SUM(E$2:E$21)+SUM(E$25:E$154)+SUM(E$156:E698))/(COUNTA(E$2:E698)-4)</f>
        <v>0.38062996031746321</v>
      </c>
      <c r="R698" s="158">
        <f>(SUM(H$2:H698)*E$1+A698)/SUM(H$2:H698)</f>
        <v>0.34874254372662017</v>
      </c>
      <c r="S698" s="64"/>
    </row>
    <row r="699" spans="1:19" x14ac:dyDescent="0.3">
      <c r="A699" s="220">
        <f t="shared" si="83"/>
        <v>1.5999999999999772</v>
      </c>
      <c r="B699" s="28" t="s">
        <v>2</v>
      </c>
      <c r="C699" s="88">
        <f t="shared" si="84"/>
        <v>43740</v>
      </c>
      <c r="D699" s="88" t="s">
        <v>320</v>
      </c>
      <c r="E699" s="30">
        <v>0.38194444444444442</v>
      </c>
      <c r="F699" s="30">
        <v>0.75694444444444453</v>
      </c>
      <c r="G699" s="31">
        <v>2</v>
      </c>
      <c r="H699" s="32">
        <v>1</v>
      </c>
      <c r="I699" s="135" t="str">
        <f t="shared" si="89"/>
        <v/>
      </c>
      <c r="J699" s="155">
        <f t="shared" si="85"/>
        <v>1.3888888888889395E-3</v>
      </c>
      <c r="K699" s="39"/>
      <c r="L699" s="39"/>
      <c r="M699" s="156"/>
      <c r="N699" s="79"/>
      <c r="O699" s="159" t="str">
        <f t="shared" si="87"/>
        <v/>
      </c>
      <c r="Q699" s="157">
        <f>(SUM(E$2:E$21)+SUM(E$25:E$154)+SUM(E$156:E699))/(COUNTA(E$2:E699)-4)</f>
        <v>0.38063230342642396</v>
      </c>
      <c r="R699" s="158">
        <f>(SUM(H$2:H699)*E$1+A699)/SUM(H$2:H699)</f>
        <v>0.34873978201634875</v>
      </c>
      <c r="S699" s="64"/>
    </row>
    <row r="700" spans="1:19" x14ac:dyDescent="0.3">
      <c r="A700" s="220">
        <f t="shared" si="83"/>
        <v>1.5597222222221994</v>
      </c>
      <c r="B700" s="28" t="s">
        <v>3</v>
      </c>
      <c r="C700" s="88">
        <f t="shared" si="84"/>
        <v>43741</v>
      </c>
      <c r="D700" s="88" t="s">
        <v>321</v>
      </c>
      <c r="E700" s="30">
        <v>0.38194444444444442</v>
      </c>
      <c r="F700" s="30">
        <v>0.74305555555555547</v>
      </c>
      <c r="G700" s="31">
        <v>4</v>
      </c>
      <c r="H700" s="32">
        <v>1</v>
      </c>
      <c r="I700" s="135">
        <f t="shared" si="89"/>
        <v>4.0277777777777912E-2</v>
      </c>
      <c r="J700" s="155">
        <f t="shared" si="85"/>
        <v>-4.0277777777777912E-2</v>
      </c>
      <c r="K700" s="39"/>
      <c r="L700" s="39"/>
      <c r="M700" s="156"/>
      <c r="N700" s="79"/>
      <c r="O700" s="159" t="str">
        <f t="shared" si="87"/>
        <v/>
      </c>
      <c r="Q700" s="157">
        <f>(SUM(E$2:E$21)+SUM(E$25:E$154)+SUM(E$156:E700))/(COUNTA(E$2:E700)-4)</f>
        <v>0.38063463819691867</v>
      </c>
      <c r="R700" s="158">
        <f>(SUM(H$2:H700)*E$1+A700)/SUM(H$2:H700)</f>
        <v>0.34866147879520498</v>
      </c>
      <c r="S700" s="64"/>
    </row>
    <row r="701" spans="1:19" x14ac:dyDescent="0.3">
      <c r="A701" s="221">
        <f t="shared" si="83"/>
        <v>1.5263888888888659</v>
      </c>
      <c r="B701" s="19" t="s">
        <v>4</v>
      </c>
      <c r="C701" s="89">
        <f t="shared" si="84"/>
        <v>43742</v>
      </c>
      <c r="D701" s="89" t="s">
        <v>158</v>
      </c>
      <c r="E701" s="21">
        <v>0.38194444444444442</v>
      </c>
      <c r="F701" s="21">
        <v>0.70833333333333337</v>
      </c>
      <c r="G701" s="22">
        <v>0</v>
      </c>
      <c r="H701" s="23">
        <v>1</v>
      </c>
      <c r="I701" s="136">
        <f>IF(J701&lt;0,-J701,"")</f>
        <v>3.3333333333333326E-2</v>
      </c>
      <c r="J701" s="160">
        <f t="shared" si="85"/>
        <v>-3.3333333333333326E-2</v>
      </c>
      <c r="K701" s="37"/>
      <c r="L701" s="37"/>
      <c r="M701" s="161"/>
      <c r="N701" s="79"/>
      <c r="O701" s="159">
        <f t="shared" si="87"/>
        <v>7.222222222222241E-2</v>
      </c>
      <c r="P701" s="162">
        <f>A701-A696</f>
        <v>-7.222222222222241E-2</v>
      </c>
      <c r="Q701" s="157">
        <f>(SUM(E$2:E$21)+SUM(E$25:E$154)+SUM(E$156:E701))/(COUNTA(E$2:E701)-4)</f>
        <v>0.38063696467337971</v>
      </c>
      <c r="R701" s="158">
        <f>(SUM(H$2:H701)*E$1+A701)/SUM(H$2:H701)</f>
        <v>0.34859602815485169</v>
      </c>
      <c r="S701" s="57">
        <f>IF(COUNTA(M697:M701)=0,0,SUM(M697:M701)/COUNTA(M697:M701))</f>
        <v>0</v>
      </c>
    </row>
    <row r="702" spans="1:19" x14ac:dyDescent="0.3">
      <c r="A702" s="219">
        <f t="shared" si="83"/>
        <v>1.5277777777777548</v>
      </c>
      <c r="B702" s="24" t="s">
        <v>0</v>
      </c>
      <c r="C702" s="90">
        <f t="shared" si="84"/>
        <v>43745</v>
      </c>
      <c r="D702" s="90" t="s">
        <v>161</v>
      </c>
      <c r="E702" s="26">
        <v>0.38194444444444442</v>
      </c>
      <c r="F702" s="26">
        <v>0.75694444444444453</v>
      </c>
      <c r="G702" s="27">
        <v>2</v>
      </c>
      <c r="H702" s="24">
        <v>1</v>
      </c>
      <c r="I702" s="134" t="str">
        <f t="shared" si="89"/>
        <v/>
      </c>
      <c r="J702" s="163">
        <f t="shared" si="85"/>
        <v>1.3888888888889395E-3</v>
      </c>
      <c r="K702" s="38"/>
      <c r="L702" s="38"/>
      <c r="M702" s="164"/>
      <c r="N702" s="79"/>
      <c r="O702" s="159" t="str">
        <f t="shared" si="87"/>
        <v/>
      </c>
      <c r="Q702" s="157">
        <f>(SUM(E$2:E$21)+SUM(E$25:E$154)+SUM(E$156:E702))/(COUNTA(E$2:E702)-4)</f>
        <v>0.38063928289992416</v>
      </c>
      <c r="R702" s="158">
        <f>(SUM(H$2:H702)*E$1+A702)/SUM(H$2:H702)</f>
        <v>0.34859354612064636</v>
      </c>
      <c r="S702" s="63"/>
    </row>
    <row r="703" spans="1:19" x14ac:dyDescent="0.3">
      <c r="A703" s="220">
        <f t="shared" ref="A703:A734" si="90">A702+J703</f>
        <v>1.5277777777777548</v>
      </c>
      <c r="B703" s="28" t="s">
        <v>1</v>
      </c>
      <c r="C703" s="48">
        <f t="shared" si="84"/>
        <v>43746</v>
      </c>
      <c r="D703" s="48" t="s">
        <v>162</v>
      </c>
      <c r="E703" s="30"/>
      <c r="F703" s="30"/>
      <c r="G703" s="31"/>
      <c r="H703" s="32"/>
      <c r="I703" s="135" t="str">
        <f t="shared" si="89"/>
        <v/>
      </c>
      <c r="J703" s="155">
        <f t="shared" si="85"/>
        <v>0</v>
      </c>
      <c r="K703" s="39"/>
      <c r="L703" s="39"/>
      <c r="M703" s="156"/>
      <c r="N703" s="79"/>
      <c r="O703" s="159" t="str">
        <f t="shared" si="87"/>
        <v/>
      </c>
      <c r="Q703" s="157">
        <f>(SUM(E$2:E$21)+SUM(E$25:E$154)+SUM(E$156:E703))/(COUNTA(E$2:E703)-4)</f>
        <v>0.38063928289992416</v>
      </c>
      <c r="R703" s="158">
        <f>(SUM(H$2:H703)*E$1+A703)/SUM(H$2:H703)</f>
        <v>0.34859354612064636</v>
      </c>
      <c r="S703" s="64"/>
    </row>
    <row r="704" spans="1:19" x14ac:dyDescent="0.3">
      <c r="A704" s="220">
        <f t="shared" si="90"/>
        <v>1.5277777777777548</v>
      </c>
      <c r="B704" s="28" t="s">
        <v>2</v>
      </c>
      <c r="C704" s="48">
        <f t="shared" si="84"/>
        <v>43747</v>
      </c>
      <c r="D704" s="48" t="s">
        <v>322</v>
      </c>
      <c r="E704" s="30"/>
      <c r="F704" s="30"/>
      <c r="G704" s="31"/>
      <c r="H704" s="32"/>
      <c r="I704" s="135" t="str">
        <f t="shared" si="89"/>
        <v/>
      </c>
      <c r="J704" s="155">
        <f t="shared" si="85"/>
        <v>0</v>
      </c>
      <c r="K704" s="39"/>
      <c r="L704" s="39"/>
      <c r="M704" s="156"/>
      <c r="N704" s="79"/>
      <c r="O704" s="159" t="str">
        <f t="shared" si="87"/>
        <v/>
      </c>
      <c r="Q704" s="157">
        <f>(SUM(E$2:E$21)+SUM(E$25:E$154)+SUM(E$156:E704))/(COUNTA(E$2:E704)-4)</f>
        <v>0.38063928289992416</v>
      </c>
      <c r="R704" s="158">
        <f>(SUM(H$2:H704)*E$1+A704)/SUM(H$2:H704)</f>
        <v>0.34859354612064636</v>
      </c>
      <c r="S704" s="64"/>
    </row>
    <row r="705" spans="1:19" x14ac:dyDescent="0.3">
      <c r="A705" s="220">
        <f t="shared" si="90"/>
        <v>1.5291666666666437</v>
      </c>
      <c r="B705" s="28" t="s">
        <v>3</v>
      </c>
      <c r="C705" s="88">
        <f t="shared" si="84"/>
        <v>43748</v>
      </c>
      <c r="D705" s="88" t="s">
        <v>323</v>
      </c>
      <c r="E705" s="30">
        <v>0.38194444444444442</v>
      </c>
      <c r="F705" s="30">
        <v>0.74305555555555547</v>
      </c>
      <c r="G705" s="31">
        <v>1</v>
      </c>
      <c r="H705" s="32">
        <v>1</v>
      </c>
      <c r="I705" s="135" t="str">
        <f t="shared" si="89"/>
        <v/>
      </c>
      <c r="J705" s="155">
        <f t="shared" si="85"/>
        <v>1.3888888888887729E-3</v>
      </c>
      <c r="K705" s="39"/>
      <c r="L705" s="39"/>
      <c r="M705" s="156"/>
      <c r="N705" s="79"/>
      <c r="O705" s="159" t="str">
        <f t="shared" si="87"/>
        <v/>
      </c>
      <c r="Q705" s="157">
        <f>(SUM(E$2:E$21)+SUM(E$25:E$154)+SUM(E$156:E705))/(COUNTA(E$2:E705)-4)</f>
        <v>0.38064159292035693</v>
      </c>
      <c r="R705" s="158">
        <f>(SUM(H$2:H705)*E$1+A705)/SUM(H$2:H705)</f>
        <v>0.34859107303877362</v>
      </c>
      <c r="S705" s="64"/>
    </row>
    <row r="706" spans="1:19" x14ac:dyDescent="0.3">
      <c r="A706" s="221">
        <f t="shared" si="90"/>
        <v>1.4958333333333105</v>
      </c>
      <c r="B706" s="19" t="s">
        <v>4</v>
      </c>
      <c r="C706" s="89">
        <f t="shared" si="84"/>
        <v>43749</v>
      </c>
      <c r="D706" s="89" t="s">
        <v>163</v>
      </c>
      <c r="E706" s="21">
        <v>0.38194444444444442</v>
      </c>
      <c r="F706" s="21">
        <v>0.70833333333333337</v>
      </c>
      <c r="G706" s="22">
        <v>0</v>
      </c>
      <c r="H706" s="23">
        <v>1</v>
      </c>
      <c r="I706" s="136">
        <f>IF(J706&lt;0,-J706,"")</f>
        <v>3.3333333333333326E-2</v>
      </c>
      <c r="J706" s="160">
        <f t="shared" si="85"/>
        <v>-3.3333333333333326E-2</v>
      </c>
      <c r="K706" s="37"/>
      <c r="L706" s="37"/>
      <c r="M706" s="161"/>
      <c r="N706" s="79"/>
      <c r="O706" s="159">
        <f t="shared" si="87"/>
        <v>3.0555555555555447E-2</v>
      </c>
      <c r="P706" s="162">
        <f>A706-A701</f>
        <v>-3.0555555555555447E-2</v>
      </c>
      <c r="Q706" s="157">
        <f>(SUM(E$2:E$21)+SUM(E$25:E$154)+SUM(E$156:E706))/(COUNTA(E$2:E706)-4)</f>
        <v>0.3806438947781734</v>
      </c>
      <c r="R706" s="158">
        <f>(SUM(H$2:H706)*E$1+A706)/SUM(H$2:H706)</f>
        <v>0.34852610261026101</v>
      </c>
      <c r="S706" s="57">
        <f>IF(COUNTA(M702:M706)=0,0,SUM(M702:M706)/COUNTA(M702:M706))</f>
        <v>0</v>
      </c>
    </row>
    <row r="707" spans="1:19" x14ac:dyDescent="0.3">
      <c r="A707" s="219">
        <f t="shared" si="90"/>
        <v>1.4958333333333105</v>
      </c>
      <c r="B707" s="24" t="s">
        <v>0</v>
      </c>
      <c r="C707" s="47">
        <f t="shared" si="84"/>
        <v>43752</v>
      </c>
      <c r="D707" s="47" t="s">
        <v>166</v>
      </c>
      <c r="E707" s="26"/>
      <c r="F707" s="26"/>
      <c r="G707" s="27"/>
      <c r="H707" s="24"/>
      <c r="I707" s="134" t="str">
        <f t="shared" si="89"/>
        <v/>
      </c>
      <c r="J707" s="163">
        <f t="shared" si="85"/>
        <v>0</v>
      </c>
      <c r="K707" s="38"/>
      <c r="L707" s="38"/>
      <c r="M707" s="164"/>
      <c r="N707" s="79"/>
      <c r="O707" s="159" t="str">
        <f t="shared" si="87"/>
        <v/>
      </c>
      <c r="Q707" s="157">
        <f>(SUM(E$2:E$21)+SUM(E$25:E$154)+SUM(E$156:E707))/(COUNTA(E$2:E707)-4)</f>
        <v>0.3806438947781734</v>
      </c>
      <c r="R707" s="158">
        <f>(SUM(H$2:H707)*E$1+A707)/SUM(H$2:H707)</f>
        <v>0.34852610261026101</v>
      </c>
      <c r="S707" s="63"/>
    </row>
    <row r="708" spans="1:19" x14ac:dyDescent="0.3">
      <c r="A708" s="220">
        <f t="shared" si="90"/>
        <v>1.4958333333333105</v>
      </c>
      <c r="B708" s="28" t="s">
        <v>1</v>
      </c>
      <c r="C708" s="48">
        <f t="shared" si="84"/>
        <v>43753</v>
      </c>
      <c r="D708" s="48" t="s">
        <v>167</v>
      </c>
      <c r="E708" s="30"/>
      <c r="F708" s="30"/>
      <c r="G708" s="31"/>
      <c r="H708" s="32"/>
      <c r="I708" s="135" t="str">
        <f t="shared" si="89"/>
        <v/>
      </c>
      <c r="J708" s="155">
        <f t="shared" si="85"/>
        <v>0</v>
      </c>
      <c r="K708" s="39"/>
      <c r="L708" s="39"/>
      <c r="M708" s="156"/>
      <c r="N708" s="79"/>
      <c r="O708" s="159" t="str">
        <f t="shared" si="87"/>
        <v/>
      </c>
      <c r="Q708" s="157">
        <f>(SUM(E$2:E$21)+SUM(E$25:E$154)+SUM(E$156:E708))/(COUNTA(E$2:E708)-4)</f>
        <v>0.3806438947781734</v>
      </c>
      <c r="R708" s="158">
        <f>(SUM(H$2:H708)*E$1+A708)/SUM(H$2:H708)</f>
        <v>0.34852610261026101</v>
      </c>
      <c r="S708" s="64"/>
    </row>
    <row r="709" spans="1:19" x14ac:dyDescent="0.3">
      <c r="A709" s="220">
        <f t="shared" si="90"/>
        <v>1.4972222222221994</v>
      </c>
      <c r="B709" s="28" t="s">
        <v>2</v>
      </c>
      <c r="C709" s="88">
        <f t="shared" si="84"/>
        <v>43754</v>
      </c>
      <c r="D709" s="88" t="s">
        <v>324</v>
      </c>
      <c r="E709" s="30">
        <v>0.38194444444444442</v>
      </c>
      <c r="F709" s="30">
        <v>0.75694444444444453</v>
      </c>
      <c r="G709" s="31">
        <v>2</v>
      </c>
      <c r="H709" s="32">
        <v>1</v>
      </c>
      <c r="I709" s="135" t="str">
        <f t="shared" si="89"/>
        <v/>
      </c>
      <c r="J709" s="155">
        <f t="shared" si="85"/>
        <v>1.3888888888889395E-3</v>
      </c>
      <c r="K709" s="39"/>
      <c r="L709" s="39"/>
      <c r="M709" s="156"/>
      <c r="N709" s="79"/>
      <c r="O709" s="159" t="str">
        <f t="shared" si="87"/>
        <v/>
      </c>
      <c r="Q709" s="157">
        <f>(SUM(E$2:E$21)+SUM(E$25:E$154)+SUM(E$156:E709))/(COUNTA(E$2:E709)-4)</f>
        <v>0.3806461885165619</v>
      </c>
      <c r="R709" s="158">
        <f>(SUM(H$2:H709)*E$1+A709)/SUM(H$2:H709)</f>
        <v>0.34852375960866533</v>
      </c>
      <c r="S709" s="64"/>
    </row>
    <row r="710" spans="1:19" x14ac:dyDescent="0.3">
      <c r="A710" s="220">
        <f t="shared" si="90"/>
        <v>1.4569444444444215</v>
      </c>
      <c r="B710" s="28" t="s">
        <v>3</v>
      </c>
      <c r="C710" s="88">
        <f t="shared" si="84"/>
        <v>43755</v>
      </c>
      <c r="D710" s="88" t="s">
        <v>325</v>
      </c>
      <c r="E710" s="30">
        <v>0.38194444444444442</v>
      </c>
      <c r="F710" s="30">
        <v>0.74305555555555547</v>
      </c>
      <c r="G710" s="31">
        <v>4</v>
      </c>
      <c r="H710" s="32">
        <v>1</v>
      </c>
      <c r="I710" s="135">
        <f t="shared" si="89"/>
        <v>4.0277777777777912E-2</v>
      </c>
      <c r="J710" s="155">
        <f t="shared" si="85"/>
        <v>-4.0277777777777912E-2</v>
      </c>
      <c r="K710" s="39"/>
      <c r="L710" s="39"/>
      <c r="M710" s="156"/>
      <c r="N710" s="79"/>
      <c r="O710" s="159" t="str">
        <f t="shared" si="87"/>
        <v/>
      </c>
      <c r="Q710" s="157">
        <f>(SUM(E$2:E$21)+SUM(E$25:E$154)+SUM(E$156:E710))/(COUNTA(E$2:E710)-4)</f>
        <v>0.38064847417840675</v>
      </c>
      <c r="R710" s="158">
        <f>(SUM(H$2:H710)*E$1+A710)/SUM(H$2:H710)</f>
        <v>0.3484466865969108</v>
      </c>
      <c r="S710" s="64"/>
    </row>
    <row r="711" spans="1:19" x14ac:dyDescent="0.3">
      <c r="A711" s="221">
        <f t="shared" si="90"/>
        <v>1.4236111111110881</v>
      </c>
      <c r="B711" s="19" t="s">
        <v>4</v>
      </c>
      <c r="C711" s="89">
        <f t="shared" si="84"/>
        <v>43756</v>
      </c>
      <c r="D711" s="89" t="s">
        <v>168</v>
      </c>
      <c r="E711" s="21">
        <v>0.38194444444444442</v>
      </c>
      <c r="F711" s="21">
        <v>0.70833333333333337</v>
      </c>
      <c r="G711" s="22">
        <v>0</v>
      </c>
      <c r="H711" s="23">
        <v>1</v>
      </c>
      <c r="I711" s="136">
        <f>IF(J711&lt;0,-J711,"")</f>
        <v>3.3333333333333326E-2</v>
      </c>
      <c r="J711" s="160">
        <f t="shared" si="85"/>
        <v>-3.3333333333333326E-2</v>
      </c>
      <c r="K711" s="37"/>
      <c r="L711" s="37"/>
      <c r="M711" s="161"/>
      <c r="N711" s="79"/>
      <c r="O711" s="159">
        <f t="shared" si="87"/>
        <v>7.222222222222241E-2</v>
      </c>
      <c r="P711" s="162">
        <f>A711-A706</f>
        <v>-7.222222222222241E-2</v>
      </c>
      <c r="Q711" s="157">
        <f>(SUM(E$2:E$21)+SUM(E$25:E$154)+SUM(E$156:E711))/(COUNTA(E$2:E711)-4)</f>
        <v>0.38065075180629088</v>
      </c>
      <c r="R711" s="158">
        <f>(SUM(H$2:H711)*E$1+A711)/SUM(H$2:H711)</f>
        <v>0.34838232368447231</v>
      </c>
      <c r="S711" s="57">
        <f>IF(COUNTA(M707:M711)=0,0,SUM(M707:M711)/COUNTA(M707:M711))</f>
        <v>0</v>
      </c>
    </row>
    <row r="712" spans="1:19" x14ac:dyDescent="0.3">
      <c r="A712" s="219">
        <f t="shared" si="90"/>
        <v>1.4236111111110881</v>
      </c>
      <c r="B712" s="24" t="s">
        <v>0</v>
      </c>
      <c r="C712" s="47">
        <f t="shared" ref="C712:C775" si="91">C707+7</f>
        <v>43759</v>
      </c>
      <c r="D712" s="47" t="s">
        <v>171</v>
      </c>
      <c r="E712" s="26"/>
      <c r="F712" s="26"/>
      <c r="G712" s="27"/>
      <c r="H712" s="24"/>
      <c r="I712" s="134" t="str">
        <f t="shared" ref="I712:I730" si="92">IF(J712&lt;0,-J712,"")</f>
        <v/>
      </c>
      <c r="J712" s="163">
        <f t="shared" ref="J712:J775" si="93">IF(H712=1,F712-E712-MAX(G712,1)*$F$1-$E$1,F712-E712-$E$1*H712)</f>
        <v>0</v>
      </c>
      <c r="K712" s="38"/>
      <c r="L712" s="38"/>
      <c r="M712" s="164"/>
      <c r="N712" s="79"/>
      <c r="O712" s="159" t="str">
        <f t="shared" si="87"/>
        <v/>
      </c>
      <c r="Q712" s="157">
        <f>(SUM(E$2:E$21)+SUM(E$25:E$154)+SUM(E$156:E712))/(COUNTA(E$2:E712)-4)</f>
        <v>0.38065075180629088</v>
      </c>
      <c r="R712" s="158">
        <f>(SUM(H$2:H712)*E$1+A712)/SUM(H$2:H712)</f>
        <v>0.34838232368447231</v>
      </c>
      <c r="S712" s="63"/>
    </row>
    <row r="713" spans="1:19" x14ac:dyDescent="0.3">
      <c r="A713" s="220">
        <f t="shared" si="90"/>
        <v>1.4236111111110881</v>
      </c>
      <c r="B713" s="28" t="s">
        <v>1</v>
      </c>
      <c r="C713" s="48">
        <f t="shared" si="91"/>
        <v>43760</v>
      </c>
      <c r="D713" s="48" t="s">
        <v>172</v>
      </c>
      <c r="E713" s="30"/>
      <c r="F713" s="30"/>
      <c r="G713" s="31"/>
      <c r="H713" s="32"/>
      <c r="I713" s="135" t="str">
        <f t="shared" si="92"/>
        <v/>
      </c>
      <c r="J713" s="155">
        <f t="shared" si="93"/>
        <v>0</v>
      </c>
      <c r="K713" s="39"/>
      <c r="L713" s="39"/>
      <c r="M713" s="156"/>
      <c r="N713" s="79"/>
      <c r="O713" s="159" t="str">
        <f t="shared" si="87"/>
        <v/>
      </c>
      <c r="Q713" s="157">
        <f>(SUM(E$2:E$21)+SUM(E$25:E$154)+SUM(E$156:E713))/(COUNTA(E$2:E713)-4)</f>
        <v>0.38065075180629088</v>
      </c>
      <c r="R713" s="158">
        <f>(SUM(H$2:H713)*E$1+A713)/SUM(H$2:H713)</f>
        <v>0.34838232368447231</v>
      </c>
      <c r="S713" s="64"/>
    </row>
    <row r="714" spans="1:19" x14ac:dyDescent="0.3">
      <c r="A714" s="220">
        <f t="shared" si="90"/>
        <v>1.4111111111110881</v>
      </c>
      <c r="B714" s="28" t="s">
        <v>2</v>
      </c>
      <c r="C714" s="88">
        <f t="shared" si="91"/>
        <v>43761</v>
      </c>
      <c r="D714" s="88" t="s">
        <v>326</v>
      </c>
      <c r="E714" s="30">
        <v>0.38194444444444442</v>
      </c>
      <c r="F714" s="30">
        <v>0.75694444444444453</v>
      </c>
      <c r="G714" s="31">
        <v>3</v>
      </c>
      <c r="H714" s="32">
        <v>1</v>
      </c>
      <c r="I714" s="135">
        <f t="shared" si="92"/>
        <v>1.2499999999999956E-2</v>
      </c>
      <c r="J714" s="155">
        <f t="shared" si="93"/>
        <v>-1.2499999999999956E-2</v>
      </c>
      <c r="K714" s="39"/>
      <c r="L714" s="39"/>
      <c r="M714" s="156"/>
      <c r="N714" s="79"/>
      <c r="O714" s="159" t="str">
        <f t="shared" si="87"/>
        <v/>
      </c>
      <c r="Q714" s="157">
        <f>(SUM(E$2:E$21)+SUM(E$25:E$154)+SUM(E$156:E714))/(COUNTA(E$2:E714)-4)</f>
        <v>0.38065302144249819</v>
      </c>
      <c r="R714" s="158">
        <f>(SUM(H$2:H714)*E$1+A714)/SUM(H$2:H714)</f>
        <v>0.34835542647204848</v>
      </c>
      <c r="S714" s="64"/>
    </row>
    <row r="715" spans="1:19" x14ac:dyDescent="0.3">
      <c r="A715" s="220">
        <f t="shared" si="90"/>
        <v>1.412499999999977</v>
      </c>
      <c r="B715" s="28" t="s">
        <v>3</v>
      </c>
      <c r="C715" s="88">
        <f t="shared" si="91"/>
        <v>43762</v>
      </c>
      <c r="D715" s="88" t="s">
        <v>327</v>
      </c>
      <c r="E715" s="30">
        <v>0.38194444444444442</v>
      </c>
      <c r="F715" s="30">
        <v>0.74305555555555547</v>
      </c>
      <c r="G715" s="31">
        <v>1</v>
      </c>
      <c r="H715" s="32">
        <v>1</v>
      </c>
      <c r="I715" s="135" t="str">
        <f t="shared" si="92"/>
        <v/>
      </c>
      <c r="J715" s="155">
        <f t="shared" si="93"/>
        <v>1.3888888888887729E-3</v>
      </c>
      <c r="K715" s="39"/>
      <c r="L715" s="39"/>
      <c r="M715" s="156"/>
      <c r="N715" s="79"/>
      <c r="O715" s="159" t="str">
        <f t="shared" si="87"/>
        <v/>
      </c>
      <c r="Q715" s="157">
        <f>(SUM(E$2:E$21)+SUM(E$25:E$154)+SUM(E$156:E715))/(COUNTA(E$2:E715)-4)</f>
        <v>0.38065528312901648</v>
      </c>
      <c r="R715" s="158">
        <f>(SUM(H$2:H715)*E$1+A715)/SUM(H$2:H715)</f>
        <v>0.34835340469818615</v>
      </c>
      <c r="S715" s="64"/>
    </row>
    <row r="716" spans="1:19" x14ac:dyDescent="0.3">
      <c r="A716" s="221">
        <f t="shared" si="90"/>
        <v>1.3791666666666438</v>
      </c>
      <c r="B716" s="19" t="s">
        <v>4</v>
      </c>
      <c r="C716" s="89">
        <f t="shared" si="91"/>
        <v>43763</v>
      </c>
      <c r="D716" s="89" t="s">
        <v>173</v>
      </c>
      <c r="E716" s="21">
        <v>0.38194444444444442</v>
      </c>
      <c r="F716" s="21">
        <v>0.70833333333333337</v>
      </c>
      <c r="G716" s="22">
        <v>0</v>
      </c>
      <c r="H716" s="23">
        <v>1</v>
      </c>
      <c r="I716" s="136">
        <f>IF(J716&lt;0,-J716,"")</f>
        <v>3.3333333333333326E-2</v>
      </c>
      <c r="J716" s="160">
        <f t="shared" si="93"/>
        <v>-3.3333333333333326E-2</v>
      </c>
      <c r="K716" s="37"/>
      <c r="L716" s="37"/>
      <c r="M716" s="161"/>
      <c r="N716" s="79"/>
      <c r="O716" s="159">
        <f t="shared" si="87"/>
        <v>4.4444444444444287E-2</v>
      </c>
      <c r="P716" s="162">
        <f>A716-A711</f>
        <v>-4.4444444444444287E-2</v>
      </c>
      <c r="Q716" s="157">
        <f>(SUM(E$2:E$21)+SUM(E$25:E$154)+SUM(E$156:E716))/(COUNTA(E$2:E716)-4)</f>
        <v>0.38065753690754001</v>
      </c>
      <c r="R716" s="158">
        <f>(SUM(H$2:H716)*E$1+A716)/SUM(H$2:H716)</f>
        <v>0.34828955179578508</v>
      </c>
      <c r="S716" s="57">
        <f>IF(COUNTA(M712:M716)=0,0,SUM(M712:M716)/COUNTA(M712:M716))</f>
        <v>0</v>
      </c>
    </row>
    <row r="717" spans="1:19" x14ac:dyDescent="0.3">
      <c r="A717" s="219">
        <f t="shared" si="90"/>
        <v>1.3805555555555327</v>
      </c>
      <c r="B717" s="24" t="s">
        <v>0</v>
      </c>
      <c r="C717" s="90">
        <f t="shared" si="91"/>
        <v>43766</v>
      </c>
      <c r="D717" s="90" t="s">
        <v>176</v>
      </c>
      <c r="E717" s="26">
        <v>0.38194444444444442</v>
      </c>
      <c r="F717" s="26">
        <v>0.75694444444444453</v>
      </c>
      <c r="G717" s="27">
        <v>2</v>
      </c>
      <c r="H717" s="24">
        <v>1</v>
      </c>
      <c r="I717" s="134" t="str">
        <f t="shared" si="92"/>
        <v/>
      </c>
      <c r="J717" s="163">
        <f t="shared" si="93"/>
        <v>1.3888888888889395E-3</v>
      </c>
      <c r="K717" s="38"/>
      <c r="L717" s="38"/>
      <c r="M717" s="164"/>
      <c r="N717" s="79"/>
      <c r="O717" s="159" t="str">
        <f t="shared" si="87"/>
        <v/>
      </c>
      <c r="Q717" s="157">
        <f>(SUM(E$2:E$21)+SUM(E$25:E$154)+SUM(E$156:E717))/(COUNTA(E$2:E717)-4)</f>
        <v>0.38065978281947177</v>
      </c>
      <c r="R717" s="158">
        <f>(SUM(H$2:H717)*E$1+A717)/SUM(H$2:H717)</f>
        <v>0.34828765432098768</v>
      </c>
      <c r="S717" s="63"/>
    </row>
    <row r="718" spans="1:19" x14ac:dyDescent="0.3">
      <c r="A718" s="220">
        <f t="shared" si="90"/>
        <v>1.3958333333333104</v>
      </c>
      <c r="B718" s="28" t="s">
        <v>1</v>
      </c>
      <c r="C718" s="88">
        <f t="shared" si="91"/>
        <v>43767</v>
      </c>
      <c r="D718" s="88" t="s">
        <v>177</v>
      </c>
      <c r="E718" s="30">
        <v>0.38194444444444442</v>
      </c>
      <c r="F718" s="30">
        <v>0.75694444444444453</v>
      </c>
      <c r="G718" s="31">
        <v>1</v>
      </c>
      <c r="H718" s="32">
        <v>1</v>
      </c>
      <c r="I718" s="135" t="str">
        <f t="shared" si="92"/>
        <v/>
      </c>
      <c r="J718" s="155">
        <f t="shared" si="93"/>
        <v>1.5277777777777835E-2</v>
      </c>
      <c r="K718" s="39"/>
      <c r="L718" s="39"/>
      <c r="M718" s="156"/>
      <c r="N718" s="79"/>
      <c r="O718" s="159" t="str">
        <f t="shared" si="87"/>
        <v/>
      </c>
      <c r="Q718" s="157">
        <f>(SUM(E$2:E$21)+SUM(E$25:E$154)+SUM(E$156:E718))/(COUNTA(E$2:E718)-4)</f>
        <v>0.38066202090592649</v>
      </c>
      <c r="R718" s="158">
        <f>(SUM(H$2:H718)*E$1+A718)/SUM(H$2:H718)</f>
        <v>0.34831041112097016</v>
      </c>
      <c r="S718" s="64"/>
    </row>
    <row r="719" spans="1:19" x14ac:dyDescent="0.3">
      <c r="A719" s="220">
        <f t="shared" si="90"/>
        <v>1.3972222222221993</v>
      </c>
      <c r="B719" s="28" t="s">
        <v>2</v>
      </c>
      <c r="C719" s="88">
        <f t="shared" si="91"/>
        <v>43768</v>
      </c>
      <c r="D719" s="88" t="s">
        <v>328</v>
      </c>
      <c r="E719" s="30">
        <v>0.38194444444444442</v>
      </c>
      <c r="F719" s="30">
        <v>0.75694444444444453</v>
      </c>
      <c r="G719" s="31">
        <v>2</v>
      </c>
      <c r="H719" s="32">
        <v>1</v>
      </c>
      <c r="I719" s="135" t="str">
        <f t="shared" si="92"/>
        <v/>
      </c>
      <c r="J719" s="155">
        <f t="shared" si="93"/>
        <v>1.3888888888889395E-3</v>
      </c>
      <c r="K719" s="39"/>
      <c r="L719" s="39"/>
      <c r="M719" s="156"/>
      <c r="N719" s="79"/>
      <c r="O719" s="159" t="str">
        <f t="shared" ref="O719:O782" si="94">IF(P719&lt;0,-P719,"")</f>
        <v/>
      </c>
      <c r="Q719" s="157">
        <f>(SUM(E$2:E$21)+SUM(E$25:E$154)+SUM(E$156:E719))/(COUNTA(E$2:E719)-4)</f>
        <v>0.38066425120773262</v>
      </c>
      <c r="R719" s="158">
        <f>(SUM(H$2:H719)*E$1+A719)/SUM(H$2:H719)</f>
        <v>0.34830848341698656</v>
      </c>
      <c r="S719" s="64"/>
    </row>
    <row r="720" spans="1:19" x14ac:dyDescent="0.3">
      <c r="A720" s="220">
        <f t="shared" si="90"/>
        <v>1.3708333333333105</v>
      </c>
      <c r="B720" s="28" t="s">
        <v>3</v>
      </c>
      <c r="C720" s="88">
        <f t="shared" si="91"/>
        <v>43769</v>
      </c>
      <c r="D720" s="88" t="s">
        <v>329</v>
      </c>
      <c r="E720" s="30">
        <v>0.38194444444444442</v>
      </c>
      <c r="F720" s="30">
        <v>0.75694444444444453</v>
      </c>
      <c r="G720" s="31">
        <v>4</v>
      </c>
      <c r="H720" s="32">
        <v>1</v>
      </c>
      <c r="I720" s="135">
        <f t="shared" si="92"/>
        <v>2.6388888888888851E-2</v>
      </c>
      <c r="J720" s="155">
        <f t="shared" si="93"/>
        <v>-2.6388888888888851E-2</v>
      </c>
      <c r="K720" s="39"/>
      <c r="L720" s="39"/>
      <c r="M720" s="156"/>
      <c r="N720" s="79">
        <f>SUM(H701:H720)</f>
        <v>14</v>
      </c>
      <c r="O720" s="159" t="str">
        <f t="shared" si="94"/>
        <v/>
      </c>
      <c r="Q720" s="157">
        <f>(SUM(E$2:E$21)+SUM(E$25:E$154)+SUM(E$156:E720))/(COUNTA(E$2:E720)-4)</f>
        <v>0.38066647376543528</v>
      </c>
      <c r="R720" s="158">
        <f>(SUM(H$2:H720)*E$1+A720)/SUM(H$2:H720)</f>
        <v>0.34825744179192453</v>
      </c>
      <c r="S720" s="64"/>
    </row>
    <row r="721" spans="1:19" x14ac:dyDescent="0.3">
      <c r="A721" s="221">
        <f t="shared" si="90"/>
        <v>1.3708333333333105</v>
      </c>
      <c r="B721" s="19" t="s">
        <v>4</v>
      </c>
      <c r="C721" s="58">
        <f t="shared" si="91"/>
        <v>43770</v>
      </c>
      <c r="D721" s="58" t="s">
        <v>178</v>
      </c>
      <c r="E721" s="21"/>
      <c r="F721" s="21"/>
      <c r="G721" s="22"/>
      <c r="H721" s="23"/>
      <c r="I721" s="136" t="str">
        <f>IF(J721&lt;0,-J721,"")</f>
        <v/>
      </c>
      <c r="J721" s="160">
        <f t="shared" si="93"/>
        <v>0</v>
      </c>
      <c r="K721" s="37"/>
      <c r="L721" s="37"/>
      <c r="M721" s="161"/>
      <c r="N721" s="79"/>
      <c r="O721" s="159">
        <f t="shared" si="94"/>
        <v>8.3333333333333037E-3</v>
      </c>
      <c r="P721" s="162">
        <f>A721-A716</f>
        <v>-8.3333333333333037E-3</v>
      </c>
      <c r="Q721" s="157">
        <f>(SUM(E$2:E$21)+SUM(E$25:E$154)+SUM(E$156:E721))/(COUNTA(E$2:E721)-4)</f>
        <v>0.38066647376543528</v>
      </c>
      <c r="R721" s="158">
        <f>(SUM(H$2:H721)*E$1+A721)/SUM(H$2:H721)</f>
        <v>0.34825744179192453</v>
      </c>
      <c r="S721" s="57">
        <f>IF(COUNTA(M717:M721)=0,0,SUM(M717:M721)/COUNTA(M717:M721))</f>
        <v>0</v>
      </c>
    </row>
    <row r="722" spans="1:19" x14ac:dyDescent="0.3">
      <c r="A722" s="219">
        <f t="shared" si="90"/>
        <v>1.3722222222221994</v>
      </c>
      <c r="B722" s="24" t="s">
        <v>0</v>
      </c>
      <c r="C722" s="90">
        <f t="shared" si="91"/>
        <v>43773</v>
      </c>
      <c r="D722" s="90" t="s">
        <v>181</v>
      </c>
      <c r="E722" s="26">
        <v>0.38194444444444442</v>
      </c>
      <c r="F722" s="26">
        <v>0.75694444444444453</v>
      </c>
      <c r="G722" s="27">
        <v>2</v>
      </c>
      <c r="H722" s="24">
        <v>1</v>
      </c>
      <c r="I722" s="134" t="str">
        <f t="shared" si="92"/>
        <v/>
      </c>
      <c r="J722" s="163">
        <f t="shared" si="93"/>
        <v>1.3888888888889395E-3</v>
      </c>
      <c r="K722" s="38"/>
      <c r="L722" s="38"/>
      <c r="M722" s="164"/>
      <c r="N722" s="79"/>
      <c r="O722" s="159" t="str">
        <f t="shared" si="94"/>
        <v/>
      </c>
      <c r="Q722" s="157">
        <f>(SUM(E$2:E$21)+SUM(E$25:E$154)+SUM(E$156:E722))/(COUNTA(E$2:E722)-4)</f>
        <v>0.38066868861929837</v>
      </c>
      <c r="R722" s="158">
        <f>(SUM(H$2:H722)*E$1+A722)/SUM(H$2:H722)</f>
        <v>0.34825561439639108</v>
      </c>
      <c r="S722" s="63"/>
    </row>
    <row r="723" spans="1:19" x14ac:dyDescent="0.3">
      <c r="A723" s="220">
        <f t="shared" si="90"/>
        <v>1.3874999999999771</v>
      </c>
      <c r="B723" s="28" t="s">
        <v>1</v>
      </c>
      <c r="C723" s="88">
        <f t="shared" si="91"/>
        <v>43774</v>
      </c>
      <c r="D723" s="88" t="s">
        <v>182</v>
      </c>
      <c r="E723" s="30">
        <v>0.38194444444444442</v>
      </c>
      <c r="F723" s="30">
        <v>0.75694444444444453</v>
      </c>
      <c r="G723" s="31">
        <v>1</v>
      </c>
      <c r="H723" s="32">
        <v>1</v>
      </c>
      <c r="I723" s="135" t="str">
        <f t="shared" si="92"/>
        <v/>
      </c>
      <c r="J723" s="155">
        <f t="shared" si="93"/>
        <v>1.5277777777777835E-2</v>
      </c>
      <c r="K723" s="39"/>
      <c r="L723" s="39"/>
      <c r="M723" s="156"/>
      <c r="N723" s="79"/>
      <c r="O723" s="159" t="str">
        <f t="shared" si="94"/>
        <v/>
      </c>
      <c r="Q723" s="157">
        <f>(SUM(E$2:E$21)+SUM(E$25:E$154)+SUM(E$156:E723))/(COUNTA(E$2:E723)-4)</f>
        <v>0.3806708958093073</v>
      </c>
      <c r="R723" s="158">
        <f>(SUM(H$2:H723)*E$1+A723)/SUM(H$2:H723)</f>
        <v>0.34827826725403821</v>
      </c>
      <c r="S723" s="64"/>
    </row>
    <row r="724" spans="1:19" x14ac:dyDescent="0.3">
      <c r="A724" s="220">
        <f t="shared" si="90"/>
        <v>1.3749999999999771</v>
      </c>
      <c r="B724" s="28" t="s">
        <v>2</v>
      </c>
      <c r="C724" s="88">
        <f t="shared" si="91"/>
        <v>43775</v>
      </c>
      <c r="D724" s="88" t="s">
        <v>330</v>
      </c>
      <c r="E724" s="30">
        <v>0.38194444444444442</v>
      </c>
      <c r="F724" s="30">
        <v>0.75694444444444453</v>
      </c>
      <c r="G724" s="31">
        <v>3</v>
      </c>
      <c r="H724" s="32">
        <v>1</v>
      </c>
      <c r="I724" s="135">
        <f t="shared" si="92"/>
        <v>1.2499999999999956E-2</v>
      </c>
      <c r="J724" s="155">
        <f t="shared" si="93"/>
        <v>-1.2499999999999956E-2</v>
      </c>
      <c r="K724" s="39"/>
      <c r="L724" s="39"/>
      <c r="M724" s="156"/>
      <c r="N724" s="79"/>
      <c r="O724" s="159" t="str">
        <f t="shared" si="94"/>
        <v/>
      </c>
      <c r="Q724" s="157">
        <f>(SUM(E$2:E$21)+SUM(E$25:E$154)+SUM(E$156:E724))/(COUNTA(E$2:E724)-4)</f>
        <v>0.38067309537517113</v>
      </c>
      <c r="R724" s="158">
        <f>(SUM(H$2:H724)*E$1+A724)/SUM(H$2:H724)</f>
        <v>0.34825197889182058</v>
      </c>
      <c r="S724" s="64"/>
    </row>
    <row r="725" spans="1:19" x14ac:dyDescent="0.3">
      <c r="A725" s="220">
        <f t="shared" si="90"/>
        <v>1.3902777777777549</v>
      </c>
      <c r="B725" s="28" t="s">
        <v>3</v>
      </c>
      <c r="C725" s="88">
        <f t="shared" si="91"/>
        <v>43776</v>
      </c>
      <c r="D725" s="88" t="s">
        <v>331</v>
      </c>
      <c r="E725" s="30">
        <v>0.38194444444444442</v>
      </c>
      <c r="F725" s="30">
        <v>0.75694444444444453</v>
      </c>
      <c r="G725" s="31">
        <v>1</v>
      </c>
      <c r="H725" s="32">
        <v>1</v>
      </c>
      <c r="I725" s="135" t="str">
        <f t="shared" si="92"/>
        <v/>
      </c>
      <c r="J725" s="155">
        <f t="shared" si="93"/>
        <v>1.5277777777777835E-2</v>
      </c>
      <c r="K725" s="39"/>
      <c r="L725" s="39"/>
      <c r="M725" s="156"/>
      <c r="N725" s="79"/>
      <c r="O725" s="159" t="str">
        <f t="shared" si="94"/>
        <v/>
      </c>
      <c r="Q725" s="157">
        <f>(SUM(E$2:E$21)+SUM(E$25:E$154)+SUM(E$156:E725))/(COUNTA(E$2:E725)-4)</f>
        <v>0.38067528735632505</v>
      </c>
      <c r="R725" s="158">
        <f>(SUM(H$2:H725)*E$1+A725)/SUM(H$2:H725)</f>
        <v>0.34827455857965073</v>
      </c>
      <c r="S725" s="64"/>
    </row>
    <row r="726" spans="1:19" x14ac:dyDescent="0.3">
      <c r="A726" s="221">
        <f t="shared" si="90"/>
        <v>1.3083333333333105</v>
      </c>
      <c r="B726" s="19" t="s">
        <v>4</v>
      </c>
      <c r="C726" s="89">
        <f t="shared" si="91"/>
        <v>43777</v>
      </c>
      <c r="D726" s="89" t="s">
        <v>183</v>
      </c>
      <c r="E726" s="21">
        <v>0.38194444444444442</v>
      </c>
      <c r="F726" s="21">
        <v>0.65972222222222221</v>
      </c>
      <c r="G726" s="22">
        <v>0</v>
      </c>
      <c r="H726" s="23">
        <v>1</v>
      </c>
      <c r="I726" s="136">
        <f>IF(J726&lt;0,-J726,"")</f>
        <v>8.1944444444444486E-2</v>
      </c>
      <c r="J726" s="160">
        <f t="shared" si="93"/>
        <v>-8.1944444444444486E-2</v>
      </c>
      <c r="K726" s="37"/>
      <c r="L726" s="37"/>
      <c r="M726" s="161"/>
      <c r="N726" s="79"/>
      <c r="O726" s="159">
        <f t="shared" si="94"/>
        <v>6.25E-2</v>
      </c>
      <c r="P726" s="162">
        <f>A726-A721</f>
        <v>-6.25E-2</v>
      </c>
      <c r="Q726" s="157">
        <f>(SUM(E$2:E$21)+SUM(E$25:E$154)+SUM(E$156:E726))/(COUNTA(E$2:E726)-4)</f>
        <v>0.38067747179193284</v>
      </c>
      <c r="R726" s="158">
        <f>(SUM(H$2:H726)*E$1+A726)/SUM(H$2:H726)</f>
        <v>0.34812664329535492</v>
      </c>
      <c r="S726" s="57">
        <f>IF(COUNTA(M722:M726)=0,0,SUM(M722:M726)/COUNTA(M722:M726))</f>
        <v>0</v>
      </c>
    </row>
    <row r="727" spans="1:19" x14ac:dyDescent="0.3">
      <c r="A727" s="219">
        <f t="shared" si="90"/>
        <v>1.3083333333333105</v>
      </c>
      <c r="B727" s="24" t="s">
        <v>0</v>
      </c>
      <c r="C727" s="59">
        <f t="shared" si="91"/>
        <v>43780</v>
      </c>
      <c r="D727" s="59" t="s">
        <v>186</v>
      </c>
      <c r="E727" s="26"/>
      <c r="F727" s="26"/>
      <c r="G727" s="27"/>
      <c r="H727" s="24"/>
      <c r="I727" s="134" t="str">
        <f t="shared" si="92"/>
        <v/>
      </c>
      <c r="J727" s="163">
        <f t="shared" si="93"/>
        <v>0</v>
      </c>
      <c r="K727" s="38"/>
      <c r="L727" s="38"/>
      <c r="M727" s="164"/>
      <c r="N727" s="79"/>
      <c r="O727" s="159" t="str">
        <f t="shared" si="94"/>
        <v/>
      </c>
      <c r="Q727" s="157">
        <f>(SUM(E$2:E$21)+SUM(E$25:E$154)+SUM(E$156:E727))/(COUNTA(E$2:E727)-4)</f>
        <v>0.38067747179193284</v>
      </c>
      <c r="R727" s="158">
        <f>(SUM(H$2:H727)*E$1+A727)/SUM(H$2:H727)</f>
        <v>0.34812664329535492</v>
      </c>
      <c r="S727" s="63"/>
    </row>
    <row r="728" spans="1:19" x14ac:dyDescent="0.3">
      <c r="A728" s="220">
        <f t="shared" si="90"/>
        <v>1.3097222222221991</v>
      </c>
      <c r="B728" s="28" t="s">
        <v>1</v>
      </c>
      <c r="C728" s="88">
        <f t="shared" si="91"/>
        <v>43781</v>
      </c>
      <c r="D728" s="88" t="s">
        <v>187</v>
      </c>
      <c r="E728" s="30">
        <v>0.38194444444444442</v>
      </c>
      <c r="F728" s="30">
        <v>0.74305555555555547</v>
      </c>
      <c r="G728" s="31">
        <v>1</v>
      </c>
      <c r="H728" s="32">
        <v>1</v>
      </c>
      <c r="I728" s="135" t="str">
        <f t="shared" si="92"/>
        <v/>
      </c>
      <c r="J728" s="155">
        <f t="shared" si="93"/>
        <v>1.3888888888887729E-3</v>
      </c>
      <c r="K728" s="39"/>
      <c r="L728" s="39"/>
      <c r="M728" s="156"/>
      <c r="N728" s="79"/>
      <c r="O728" s="159" t="str">
        <f t="shared" si="94"/>
        <v/>
      </c>
      <c r="Q728" s="157">
        <f>(SUM(E$2:E$21)+SUM(E$25:E$154)+SUM(E$156:E728))/(COUNTA(E$2:E728)-4)</f>
        <v>0.38067964872088911</v>
      </c>
      <c r="R728" s="158">
        <f>(SUM(H$2:H728)*E$1+A728)/SUM(H$2:H728)</f>
        <v>0.3481250607562944</v>
      </c>
      <c r="S728" s="64"/>
    </row>
    <row r="729" spans="1:19" x14ac:dyDescent="0.3">
      <c r="A729" s="220">
        <f t="shared" si="90"/>
        <v>1.311111111111088</v>
      </c>
      <c r="B729" s="28" t="s">
        <v>2</v>
      </c>
      <c r="C729" s="88">
        <f t="shared" si="91"/>
        <v>43782</v>
      </c>
      <c r="D729" s="88" t="s">
        <v>332</v>
      </c>
      <c r="E729" s="30">
        <v>0.38194444444444442</v>
      </c>
      <c r="F729" s="30">
        <v>0.75694444444444453</v>
      </c>
      <c r="G729" s="31">
        <v>2</v>
      </c>
      <c r="H729" s="32">
        <v>1</v>
      </c>
      <c r="I729" s="135" t="str">
        <f t="shared" si="92"/>
        <v/>
      </c>
      <c r="J729" s="155">
        <f t="shared" si="93"/>
        <v>1.3888888888889395E-3</v>
      </c>
      <c r="K729" s="39"/>
      <c r="L729" s="39"/>
      <c r="M729" s="156"/>
      <c r="N729" s="79"/>
      <c r="O729" s="159" t="str">
        <f t="shared" si="94"/>
        <v/>
      </c>
      <c r="Q729" s="157">
        <f>(SUM(E$2:E$21)+SUM(E$25:E$154)+SUM(E$156:E729))/(COUNTA(E$2:E729)-4)</f>
        <v>0.38068181818182145</v>
      </c>
      <c r="R729" s="158">
        <f>(SUM(H$2:H729)*E$1+A729)/SUM(H$2:H729)</f>
        <v>0.34812348374575447</v>
      </c>
      <c r="S729" s="64"/>
    </row>
    <row r="730" spans="1:19" x14ac:dyDescent="0.3">
      <c r="A730" s="220">
        <f t="shared" si="90"/>
        <v>1.2708333333333102</v>
      </c>
      <c r="B730" s="28" t="s">
        <v>3</v>
      </c>
      <c r="C730" s="88">
        <f t="shared" si="91"/>
        <v>43783</v>
      </c>
      <c r="D730" s="88" t="s">
        <v>333</v>
      </c>
      <c r="E730" s="30">
        <v>0.38194444444444442</v>
      </c>
      <c r="F730" s="30">
        <v>0.74305555555555547</v>
      </c>
      <c r="G730" s="31">
        <v>4</v>
      </c>
      <c r="H730" s="32">
        <v>1</v>
      </c>
      <c r="I730" s="135">
        <f t="shared" si="92"/>
        <v>4.0277777777777912E-2</v>
      </c>
      <c r="J730" s="155">
        <f t="shared" si="93"/>
        <v>-4.0277777777777912E-2</v>
      </c>
      <c r="K730" s="39"/>
      <c r="L730" s="39"/>
      <c r="M730" s="156"/>
      <c r="N730" s="79"/>
      <c r="O730" s="159" t="str">
        <f t="shared" si="94"/>
        <v/>
      </c>
      <c r="Q730" s="157">
        <f>(SUM(E$2:E$21)+SUM(E$25:E$154)+SUM(E$156:E730))/(COUNTA(E$2:E730)-4)</f>
        <v>0.38068398021309308</v>
      </c>
      <c r="R730" s="158">
        <f>(SUM(H$2:H730)*E$1+A730)/SUM(H$2:H730)</f>
        <v>0.34804925893635574</v>
      </c>
      <c r="S730" s="64"/>
    </row>
    <row r="731" spans="1:19" x14ac:dyDescent="0.3">
      <c r="A731" s="221">
        <f t="shared" si="90"/>
        <v>1.1819444444444214</v>
      </c>
      <c r="B731" s="19" t="s">
        <v>4</v>
      </c>
      <c r="C731" s="89">
        <f t="shared" si="91"/>
        <v>43784</v>
      </c>
      <c r="D731" s="89" t="s">
        <v>188</v>
      </c>
      <c r="E731" s="21">
        <v>0.38194444444444442</v>
      </c>
      <c r="F731" s="21">
        <v>0.65277777777777779</v>
      </c>
      <c r="G731" s="22">
        <v>0</v>
      </c>
      <c r="H731" s="23">
        <v>1</v>
      </c>
      <c r="I731" s="136">
        <f>IF(J731&lt;0,-J731,"")</f>
        <v>8.8888888888888906E-2</v>
      </c>
      <c r="J731" s="160">
        <f t="shared" si="93"/>
        <v>-8.8888888888888906E-2</v>
      </c>
      <c r="K731" s="37"/>
      <c r="L731" s="37"/>
      <c r="M731" s="161"/>
      <c r="N731" s="79"/>
      <c r="O731" s="159">
        <f t="shared" si="94"/>
        <v>0.12638888888888911</v>
      </c>
      <c r="P731" s="162">
        <f>A731-A726</f>
        <v>-0.12638888888888911</v>
      </c>
      <c r="Q731" s="157">
        <f>(SUM(E$2:E$21)+SUM(E$25:E$154)+SUM(E$156:E731))/(COUNTA(E$2:E731)-4)</f>
        <v>0.38068613485280484</v>
      </c>
      <c r="R731" s="158">
        <f>(SUM(H$2:H731)*E$1+A731)/SUM(H$2:H731)</f>
        <v>0.34789067788415046</v>
      </c>
      <c r="S731" s="57">
        <f>IF(COUNTA(M727:M731)=0,0,SUM(M727:M731)/COUNTA(M727:M731))</f>
        <v>0</v>
      </c>
    </row>
    <row r="732" spans="1:19" x14ac:dyDescent="0.3">
      <c r="A732" s="219">
        <f t="shared" si="90"/>
        <v>1.1833333333333103</v>
      </c>
      <c r="B732" s="24" t="s">
        <v>0</v>
      </c>
      <c r="C732" s="90">
        <f t="shared" si="91"/>
        <v>43787</v>
      </c>
      <c r="D732" s="90" t="s">
        <v>191</v>
      </c>
      <c r="E732" s="26">
        <v>0.38194444444444442</v>
      </c>
      <c r="F732" s="26">
        <v>0.75694444444444453</v>
      </c>
      <c r="G732" s="27">
        <v>2</v>
      </c>
      <c r="H732" s="24">
        <v>1</v>
      </c>
      <c r="I732" s="134" t="str">
        <f t="shared" ref="I732:I750" si="95">IF(J732&lt;0,-J732,"")</f>
        <v/>
      </c>
      <c r="J732" s="163">
        <f t="shared" si="93"/>
        <v>1.3888888888889395E-3</v>
      </c>
      <c r="K732" s="38"/>
      <c r="L732" s="38"/>
      <c r="M732" s="164"/>
      <c r="N732" s="79"/>
      <c r="O732" s="159" t="str">
        <f t="shared" si="94"/>
        <v/>
      </c>
      <c r="Q732" s="157">
        <f>(SUM(E$2:E$21)+SUM(E$25:E$154)+SUM(E$156:E732))/(COUNTA(E$2:E732)-4)</f>
        <v>0.38068828213879741</v>
      </c>
      <c r="R732" s="158">
        <f>(SUM(H$2:H732)*E$1+A732)/SUM(H$2:H732)</f>
        <v>0.34788951636258325</v>
      </c>
      <c r="S732" s="63"/>
    </row>
    <row r="733" spans="1:19" x14ac:dyDescent="0.3">
      <c r="A733" s="220">
        <f t="shared" si="90"/>
        <v>1.198611111111088</v>
      </c>
      <c r="B733" s="28" t="s">
        <v>1</v>
      </c>
      <c r="C733" s="88">
        <f t="shared" si="91"/>
        <v>43788</v>
      </c>
      <c r="D733" s="88" t="s">
        <v>192</v>
      </c>
      <c r="E733" s="30">
        <v>0.38194444444444442</v>
      </c>
      <c r="F733" s="30">
        <v>0.75694444444444453</v>
      </c>
      <c r="G733" s="31">
        <v>1</v>
      </c>
      <c r="H733" s="32">
        <v>1</v>
      </c>
      <c r="I733" s="135" t="str">
        <f t="shared" si="95"/>
        <v/>
      </c>
      <c r="J733" s="155">
        <f t="shared" si="93"/>
        <v>1.5277777777777835E-2</v>
      </c>
      <c r="K733" s="39"/>
      <c r="L733" s="39"/>
      <c r="M733" s="156"/>
      <c r="N733" s="79"/>
      <c r="O733" s="159" t="str">
        <f t="shared" si="94"/>
        <v/>
      </c>
      <c r="Q733" s="157">
        <f>(SUM(E$2:E$21)+SUM(E$25:E$154)+SUM(E$156:E733))/(COUNTA(E$2:E733)-4)</f>
        <v>0.38069042210865373</v>
      </c>
      <c r="R733" s="158">
        <f>(SUM(H$2:H733)*E$1+A733)/SUM(H$2:H733)</f>
        <v>0.34791245061193027</v>
      </c>
      <c r="S733" s="64"/>
    </row>
    <row r="734" spans="1:19" x14ac:dyDescent="0.3">
      <c r="A734" s="220">
        <f t="shared" si="90"/>
        <v>1.186111111111088</v>
      </c>
      <c r="B734" s="28" t="s">
        <v>2</v>
      </c>
      <c r="C734" s="88">
        <f t="shared" si="91"/>
        <v>43789</v>
      </c>
      <c r="D734" s="88" t="s">
        <v>334</v>
      </c>
      <c r="E734" s="30">
        <v>0.38194444444444442</v>
      </c>
      <c r="F734" s="30">
        <v>0.75694444444444453</v>
      </c>
      <c r="G734" s="31">
        <v>3</v>
      </c>
      <c r="H734" s="32">
        <v>1</v>
      </c>
      <c r="I734" s="135">
        <f t="shared" si="95"/>
        <v>1.2499999999999956E-2</v>
      </c>
      <c r="J734" s="155">
        <f t="shared" si="93"/>
        <v>-1.2499999999999956E-2</v>
      </c>
      <c r="K734" s="39"/>
      <c r="L734" s="39"/>
      <c r="M734" s="156"/>
      <c r="N734" s="79"/>
      <c r="O734" s="159" t="str">
        <f t="shared" si="94"/>
        <v/>
      </c>
      <c r="Q734" s="157">
        <f>(SUM(E$2:E$21)+SUM(E$25:E$154)+SUM(E$156:E734))/(COUNTA(E$2:E734)-4)</f>
        <v>0.38069255479970099</v>
      </c>
      <c r="R734" s="158">
        <f>(SUM(H$2:H734)*E$1+A734)/SUM(H$2:H734)</f>
        <v>0.34788720538720536</v>
      </c>
      <c r="S734" s="64"/>
    </row>
    <row r="735" spans="1:19" x14ac:dyDescent="0.3">
      <c r="A735" s="220">
        <f>A734+J735</f>
        <v>1.2013888888888657</v>
      </c>
      <c r="B735" s="28" t="s">
        <v>3</v>
      </c>
      <c r="C735" s="88">
        <f t="shared" si="91"/>
        <v>43790</v>
      </c>
      <c r="D735" s="88" t="s">
        <v>335</v>
      </c>
      <c r="E735" s="30">
        <v>0.38194444444444442</v>
      </c>
      <c r="F735" s="30">
        <v>0.75694444444444453</v>
      </c>
      <c r="G735" s="31">
        <v>1</v>
      </c>
      <c r="H735" s="32">
        <v>1</v>
      </c>
      <c r="I735" s="135" t="str">
        <f t="shared" si="95"/>
        <v/>
      </c>
      <c r="J735" s="155">
        <f t="shared" si="93"/>
        <v>1.5277777777777835E-2</v>
      </c>
      <c r="K735" s="39"/>
      <c r="L735" s="39"/>
      <c r="M735" s="156"/>
      <c r="N735" s="79"/>
      <c r="O735" s="159" t="str">
        <f t="shared" si="94"/>
        <v/>
      </c>
      <c r="Q735" s="157">
        <f>(SUM(E$2:E$21)+SUM(E$25:E$154)+SUM(E$156:E735))/(COUNTA(E$2:E735)-4)</f>
        <v>0.38069468024901298</v>
      </c>
      <c r="R735" s="158">
        <f>(SUM(H$2:H735)*E$1+A735)/SUM(H$2:H735)</f>
        <v>0.3479100643426486</v>
      </c>
      <c r="S735" s="64"/>
    </row>
    <row r="736" spans="1:19" x14ac:dyDescent="0.3">
      <c r="A736" s="221">
        <f>A735+J736</f>
        <v>1.1055555555555325</v>
      </c>
      <c r="B736" s="19" t="s">
        <v>4</v>
      </c>
      <c r="C736" s="89">
        <f t="shared" si="91"/>
        <v>43791</v>
      </c>
      <c r="D736" s="89" t="s">
        <v>193</v>
      </c>
      <c r="E736" s="21">
        <v>0.38194444444444442</v>
      </c>
      <c r="F736" s="21">
        <v>0.64583333333333337</v>
      </c>
      <c r="G736" s="22">
        <v>0</v>
      </c>
      <c r="H736" s="23">
        <v>1</v>
      </c>
      <c r="I736" s="136">
        <f>IF(J736&lt;0,-J736,"")</f>
        <v>9.5833333333333326E-2</v>
      </c>
      <c r="J736" s="160">
        <f t="shared" si="93"/>
        <v>-9.5833333333333326E-2</v>
      </c>
      <c r="K736" s="37"/>
      <c r="L736" s="37"/>
      <c r="M736" s="161"/>
      <c r="N736" s="79"/>
      <c r="O736" s="159">
        <f t="shared" si="94"/>
        <v>7.638888888888884E-2</v>
      </c>
      <c r="P736" s="162">
        <f>A736-A731</f>
        <v>-7.638888888888884E-2</v>
      </c>
      <c r="Q736" s="157">
        <f>(SUM(E$2:E$21)+SUM(E$25:E$154)+SUM(E$156:E736))/(COUNTA(E$2:E736)-4)</f>
        <v>0.38069679849341204</v>
      </c>
      <c r="R736" s="158">
        <f>(SUM(H$2:H736)*E$1+A736)/SUM(H$2:H736)</f>
        <v>0.34774110823506854</v>
      </c>
      <c r="S736" s="57">
        <f>IF(COUNTA(M732:M736)=0,0,SUM(M732:M736)/COUNTA(M732:M736))</f>
        <v>0</v>
      </c>
    </row>
    <row r="737" spans="1:19" x14ac:dyDescent="0.3">
      <c r="A737" s="219">
        <f>A736+J737</f>
        <v>1.1069444444444214</v>
      </c>
      <c r="B737" s="24" t="s">
        <v>0</v>
      </c>
      <c r="C737" s="90">
        <f t="shared" si="91"/>
        <v>43794</v>
      </c>
      <c r="D737" s="90" t="s">
        <v>196</v>
      </c>
      <c r="E737" s="26">
        <v>0.38194444444444442</v>
      </c>
      <c r="F737" s="26">
        <v>0.75694444444444453</v>
      </c>
      <c r="G737" s="27">
        <v>2</v>
      </c>
      <c r="H737" s="24">
        <v>1</v>
      </c>
      <c r="I737" s="134" t="str">
        <f t="shared" si="95"/>
        <v/>
      </c>
      <c r="J737" s="163">
        <f t="shared" si="93"/>
        <v>1.3888888888889395E-3</v>
      </c>
      <c r="K737" s="38"/>
      <c r="L737" s="38"/>
      <c r="M737" s="164"/>
      <c r="N737" s="79"/>
      <c r="O737" s="159" t="str">
        <f t="shared" si="94"/>
        <v/>
      </c>
      <c r="Q737" s="157">
        <f>(SUM(E$2:E$21)+SUM(E$25:E$154)+SUM(E$156:E737))/(COUNTA(E$2:E737)-4)</f>
        <v>0.38069890956947133</v>
      </c>
      <c r="R737" s="158">
        <f>(SUM(H$2:H737)*E$1+A737)/SUM(H$2:H737)</f>
        <v>0.3477402143745813</v>
      </c>
      <c r="S737" s="63"/>
    </row>
    <row r="738" spans="1:19" x14ac:dyDescent="0.3">
      <c r="A738" s="220">
        <f>A737+J738</f>
        <v>1.1222222222221991</v>
      </c>
      <c r="B738" s="28" t="s">
        <v>1</v>
      </c>
      <c r="C738" s="88">
        <f t="shared" si="91"/>
        <v>43795</v>
      </c>
      <c r="D738" s="88" t="s">
        <v>197</v>
      </c>
      <c r="E738" s="30">
        <v>0.38194444444444442</v>
      </c>
      <c r="F738" s="30">
        <v>0.75694444444444453</v>
      </c>
      <c r="G738" s="31">
        <v>1</v>
      </c>
      <c r="H738" s="32">
        <v>1</v>
      </c>
      <c r="I738" s="135" t="str">
        <f t="shared" si="95"/>
        <v/>
      </c>
      <c r="J738" s="155">
        <f t="shared" si="93"/>
        <v>1.5277777777777835E-2</v>
      </c>
      <c r="K738" s="39"/>
      <c r="L738" s="39"/>
      <c r="M738" s="156"/>
      <c r="N738" s="79"/>
      <c r="O738" s="159" t="str">
        <f t="shared" si="94"/>
        <v/>
      </c>
      <c r="Q738" s="157">
        <f>(SUM(E$2:E$21)+SUM(E$25:E$154)+SUM(E$156:E738))/(COUNTA(E$2:E738)-4)</f>
        <v>0.38070101351351693</v>
      </c>
      <c r="R738" s="158">
        <f>(SUM(H$2:H738)*E$1+A738)/SUM(H$2:H738)</f>
        <v>0.34776320817808348</v>
      </c>
      <c r="S738" s="64"/>
    </row>
    <row r="739" spans="1:19" x14ac:dyDescent="0.3">
      <c r="A739" s="220">
        <f>A738+J739</f>
        <v>1.123611111111088</v>
      </c>
      <c r="B739" s="28" t="s">
        <v>2</v>
      </c>
      <c r="C739" s="88">
        <f t="shared" si="91"/>
        <v>43796</v>
      </c>
      <c r="D739" s="88" t="s">
        <v>336</v>
      </c>
      <c r="E739" s="30">
        <v>0.38194444444444442</v>
      </c>
      <c r="F739" s="30">
        <v>0.75694444444444453</v>
      </c>
      <c r="G739" s="31">
        <v>2</v>
      </c>
      <c r="H739" s="32">
        <v>1</v>
      </c>
      <c r="I739" s="135" t="str">
        <f t="shared" si="95"/>
        <v/>
      </c>
      <c r="J739" s="155">
        <f t="shared" si="93"/>
        <v>1.3888888888889395E-3</v>
      </c>
      <c r="K739" s="39"/>
      <c r="L739" s="39"/>
      <c r="M739" s="156"/>
      <c r="N739" s="79"/>
      <c r="O739" s="159" t="str">
        <f t="shared" si="94"/>
        <v/>
      </c>
      <c r="Q739" s="157">
        <f>(SUM(E$2:E$21)+SUM(E$25:E$154)+SUM(E$156:E739))/(COUNTA(E$2:E739)-4)</f>
        <v>0.38070311036162979</v>
      </c>
      <c r="R739" s="158">
        <f>(SUM(H$2:H739)*E$1+A739)/SUM(H$2:H739)</f>
        <v>0.34776227944682875</v>
      </c>
      <c r="S739" s="64"/>
    </row>
    <row r="740" spans="1:19" x14ac:dyDescent="0.3">
      <c r="A740" s="220">
        <f t="shared" ref="A740:A786" si="96">A739+J740</f>
        <v>1.0972222222221992</v>
      </c>
      <c r="B740" s="28" t="s">
        <v>3</v>
      </c>
      <c r="C740" s="88">
        <f t="shared" si="91"/>
        <v>43797</v>
      </c>
      <c r="D740" s="88" t="s">
        <v>406</v>
      </c>
      <c r="E740" s="30">
        <v>0.38194444444444442</v>
      </c>
      <c r="F740" s="30">
        <v>0.75694444444444453</v>
      </c>
      <c r="G740" s="31">
        <v>4</v>
      </c>
      <c r="H740" s="32">
        <v>1</v>
      </c>
      <c r="I740" s="135">
        <f t="shared" si="95"/>
        <v>2.6388888888888851E-2</v>
      </c>
      <c r="J740" s="155">
        <f t="shared" si="93"/>
        <v>-2.6388888888888851E-2</v>
      </c>
      <c r="K740" s="39"/>
      <c r="L740" s="39"/>
      <c r="M740" s="156"/>
      <c r="N740" s="79"/>
      <c r="O740" s="159" t="str">
        <f t="shared" si="94"/>
        <v/>
      </c>
      <c r="Q740" s="157">
        <f>(SUM(E$2:E$21)+SUM(E$25:E$154)+SUM(E$156:E740))/(COUNTA(E$2:E740)-4)</f>
        <v>0.38070520014964804</v>
      </c>
      <c r="R740" s="158">
        <f>(SUM(H$2:H740)*E$1+A740)/SUM(H$2:H740)</f>
        <v>0.34771374845282299</v>
      </c>
      <c r="S740" s="64"/>
    </row>
    <row r="741" spans="1:19" x14ac:dyDescent="0.3">
      <c r="A741" s="221">
        <f t="shared" si="96"/>
        <v>1.001388888888866</v>
      </c>
      <c r="B741" s="19" t="s">
        <v>4</v>
      </c>
      <c r="C741" s="89">
        <f t="shared" si="91"/>
        <v>43798</v>
      </c>
      <c r="D741" s="89" t="s">
        <v>338</v>
      </c>
      <c r="E741" s="21">
        <v>0.38194444444444442</v>
      </c>
      <c r="F741" s="21">
        <v>0.64583333333333337</v>
      </c>
      <c r="G741" s="22">
        <v>0</v>
      </c>
      <c r="H741" s="23">
        <v>1</v>
      </c>
      <c r="I741" s="136">
        <f>IF(J741&lt;0,-J741,"")</f>
        <v>9.5833333333333326E-2</v>
      </c>
      <c r="J741" s="160">
        <f t="shared" si="93"/>
        <v>-9.5833333333333326E-2</v>
      </c>
      <c r="K741" s="37"/>
      <c r="L741" s="37"/>
      <c r="M741" s="161"/>
      <c r="N741" s="79">
        <f>SUM(H722:H741)</f>
        <v>19</v>
      </c>
      <c r="O741" s="159">
        <f t="shared" si="94"/>
        <v>0.10416666666666652</v>
      </c>
      <c r="P741" s="162">
        <f>A741-A736</f>
        <v>-0.10416666666666652</v>
      </c>
      <c r="Q741" s="157">
        <f>(SUM(E$2:E$21)+SUM(E$25:E$154)+SUM(E$156:E741))/(COUNTA(E$2:E741)-4)</f>
        <v>0.38070728291316874</v>
      </c>
      <c r="R741" s="158">
        <f>(SUM(H$2:H741)*E$1+A741)/SUM(H$2:H741)</f>
        <v>0.34754657351962742</v>
      </c>
      <c r="S741" s="57">
        <f>IF(COUNTA(M737:M741)=0,0,SUM(M737:M741)/COUNTA(M737:M741))</f>
        <v>0</v>
      </c>
    </row>
    <row r="742" spans="1:19" x14ac:dyDescent="0.3">
      <c r="A742" s="219">
        <f t="shared" si="96"/>
        <v>1.0027777777777549</v>
      </c>
      <c r="B742" s="24" t="s">
        <v>0</v>
      </c>
      <c r="C742" s="90">
        <f t="shared" si="91"/>
        <v>43801</v>
      </c>
      <c r="D742" s="90" t="s">
        <v>200</v>
      </c>
      <c r="E742" s="26">
        <v>0.38194444444444442</v>
      </c>
      <c r="F742" s="26">
        <v>0.75694444444444453</v>
      </c>
      <c r="G742" s="27">
        <v>2</v>
      </c>
      <c r="H742" s="24">
        <v>1</v>
      </c>
      <c r="I742" s="134" t="str">
        <f t="shared" si="95"/>
        <v/>
      </c>
      <c r="J742" s="163">
        <f t="shared" si="93"/>
        <v>1.3888888888889395E-3</v>
      </c>
      <c r="K742" s="38"/>
      <c r="L742" s="38"/>
      <c r="M742" s="164"/>
      <c r="N742" s="79"/>
      <c r="O742" s="159" t="str">
        <f t="shared" si="94"/>
        <v/>
      </c>
      <c r="Q742" s="157">
        <f>(SUM(E$2:E$21)+SUM(E$25:E$154)+SUM(E$156:E742))/(COUNTA(E$2:E742)-4)</f>
        <v>0.38070935868755007</v>
      </c>
      <c r="R742" s="158">
        <f>(SUM(H$2:H742)*E$1+A742)/SUM(H$2:H742)</f>
        <v>0.34754601954644659</v>
      </c>
      <c r="S742" s="63"/>
    </row>
    <row r="743" spans="1:19" x14ac:dyDescent="0.3">
      <c r="A743" s="220">
        <f t="shared" si="96"/>
        <v>1.0180555555555326</v>
      </c>
      <c r="B743" s="28" t="s">
        <v>1</v>
      </c>
      <c r="C743" s="88">
        <f t="shared" si="91"/>
        <v>43802</v>
      </c>
      <c r="D743" s="88" t="s">
        <v>201</v>
      </c>
      <c r="E743" s="30">
        <v>0.38194444444444442</v>
      </c>
      <c r="F743" s="30">
        <v>0.75694444444444453</v>
      </c>
      <c r="G743" s="31">
        <v>1</v>
      </c>
      <c r="H743" s="32">
        <v>1</v>
      </c>
      <c r="I743" s="135" t="str">
        <f t="shared" si="95"/>
        <v/>
      </c>
      <c r="J743" s="155">
        <f t="shared" si="93"/>
        <v>1.5277777777777835E-2</v>
      </c>
      <c r="K743" s="39"/>
      <c r="L743" s="39"/>
      <c r="M743" s="156"/>
      <c r="N743" s="79"/>
      <c r="O743" s="159" t="str">
        <f t="shared" si="94"/>
        <v/>
      </c>
      <c r="Q743" s="157">
        <f>(SUM(E$2:E$21)+SUM(E$25:E$154)+SUM(E$156:E743))/(COUNTA(E$2:E743)-4)</f>
        <v>0.38071142750791342</v>
      </c>
      <c r="R743" s="158">
        <f>(SUM(H$2:H743)*E$1+A743)/SUM(H$2:H743)</f>
        <v>0.34756914843231979</v>
      </c>
      <c r="S743" s="64"/>
    </row>
    <row r="744" spans="1:19" x14ac:dyDescent="0.3">
      <c r="A744" s="220">
        <f t="shared" si="96"/>
        <v>1.0055555555555327</v>
      </c>
      <c r="B744" s="28" t="s">
        <v>2</v>
      </c>
      <c r="C744" s="88">
        <f t="shared" si="91"/>
        <v>43803</v>
      </c>
      <c r="D744" s="88" t="s">
        <v>202</v>
      </c>
      <c r="E744" s="30">
        <v>0.38194444444444442</v>
      </c>
      <c r="F744" s="30">
        <v>0.75694444444444453</v>
      </c>
      <c r="G744" s="31">
        <v>3</v>
      </c>
      <c r="H744" s="32">
        <v>1</v>
      </c>
      <c r="I744" s="135">
        <f t="shared" si="95"/>
        <v>1.2499999999999956E-2</v>
      </c>
      <c r="J744" s="155">
        <f t="shared" si="93"/>
        <v>-1.2499999999999956E-2</v>
      </c>
      <c r="K744" s="39"/>
      <c r="L744" s="39"/>
      <c r="M744" s="156"/>
      <c r="N744" s="79"/>
      <c r="O744" s="159" t="str">
        <f t="shared" si="94"/>
        <v/>
      </c>
      <c r="Q744" s="157">
        <f>(SUM(E$2:E$21)+SUM(E$25:E$154)+SUM(E$156:E744))/(COUNTA(E$2:E744)-4)</f>
        <v>0.38071348940914507</v>
      </c>
      <c r="R744" s="158">
        <f>(SUM(H$2:H744)*E$1+A744)/SUM(H$2:H744)</f>
        <v>0.34754491725768322</v>
      </c>
      <c r="S744" s="64"/>
    </row>
    <row r="745" spans="1:19" x14ac:dyDescent="0.3">
      <c r="A745" s="220">
        <f t="shared" si="96"/>
        <v>1.0208333333333104</v>
      </c>
      <c r="B745" s="28" t="s">
        <v>3</v>
      </c>
      <c r="C745" s="88">
        <f t="shared" si="91"/>
        <v>43804</v>
      </c>
      <c r="D745" s="88" t="s">
        <v>339</v>
      </c>
      <c r="E745" s="30">
        <v>0.38194444444444442</v>
      </c>
      <c r="F745" s="30">
        <v>0.75694444444444453</v>
      </c>
      <c r="G745" s="31">
        <v>1</v>
      </c>
      <c r="H745" s="32">
        <v>1</v>
      </c>
      <c r="I745" s="135" t="str">
        <f t="shared" si="95"/>
        <v/>
      </c>
      <c r="J745" s="155">
        <f t="shared" si="93"/>
        <v>1.5277777777777835E-2</v>
      </c>
      <c r="K745" s="39"/>
      <c r="L745" s="39"/>
      <c r="M745" s="156"/>
      <c r="N745" s="79"/>
      <c r="O745" s="159" t="str">
        <f t="shared" si="94"/>
        <v/>
      </c>
      <c r="Q745" s="157">
        <f>(SUM(E$2:E$21)+SUM(E$25:E$154)+SUM(E$156:E745))/(COUNTA(E$2:E745)-4)</f>
        <v>0.3807155444258985</v>
      </c>
      <c r="R745" s="158">
        <f>(SUM(H$2:H745)*E$1+A745)/SUM(H$2:H745)</f>
        <v>0.34756796941376383</v>
      </c>
      <c r="S745" s="64"/>
    </row>
    <row r="746" spans="1:19" x14ac:dyDescent="0.3">
      <c r="A746" s="221">
        <f t="shared" si="96"/>
        <v>0.91805555555553264</v>
      </c>
      <c r="B746" s="19" t="s">
        <v>4</v>
      </c>
      <c r="C746" s="89">
        <f t="shared" si="91"/>
        <v>43805</v>
      </c>
      <c r="D746" s="89" t="s">
        <v>340</v>
      </c>
      <c r="E746" s="21">
        <v>0.38194444444444442</v>
      </c>
      <c r="F746" s="21">
        <v>0.63888888888888895</v>
      </c>
      <c r="G746" s="22">
        <v>0</v>
      </c>
      <c r="H746" s="23">
        <v>1</v>
      </c>
      <c r="I746" s="136">
        <f>IF(J746&lt;0,-J746,"")</f>
        <v>0.10277777777777775</v>
      </c>
      <c r="J746" s="160">
        <f t="shared" si="93"/>
        <v>-0.10277777777777775</v>
      </c>
      <c r="K746" s="37"/>
      <c r="L746" s="37"/>
      <c r="M746" s="161"/>
      <c r="N746" s="79"/>
      <c r="O746" s="159">
        <f t="shared" si="94"/>
        <v>8.333333333333337E-2</v>
      </c>
      <c r="P746" s="162">
        <f>A746-A741</f>
        <v>-8.333333333333337E-2</v>
      </c>
      <c r="Q746" s="157">
        <f>(SUM(E$2:E$21)+SUM(E$25:E$154)+SUM(E$156:E746))/(COUNTA(E$2:E746)-4)</f>
        <v>0.38071759259259613</v>
      </c>
      <c r="R746" s="158">
        <f>(SUM(H$2:H746)*E$1+A746)/SUM(H$2:H746)</f>
        <v>0.34739067948355479</v>
      </c>
      <c r="S746" s="57">
        <f>IF(COUNTA(M742:M746)=0,0,SUM(M742:M746)/COUNTA(M742:M746))</f>
        <v>0</v>
      </c>
    </row>
    <row r="747" spans="1:19" x14ac:dyDescent="0.3">
      <c r="A747" s="219">
        <f t="shared" si="96"/>
        <v>0.91944444444442164</v>
      </c>
      <c r="B747" s="24" t="s">
        <v>0</v>
      </c>
      <c r="C747" s="90">
        <f t="shared" si="91"/>
        <v>43808</v>
      </c>
      <c r="D747" s="90" t="s">
        <v>205</v>
      </c>
      <c r="E747" s="26">
        <v>0.38194444444444442</v>
      </c>
      <c r="F747" s="26">
        <v>0.75694444444444453</v>
      </c>
      <c r="G747" s="27">
        <v>2</v>
      </c>
      <c r="H747" s="24">
        <v>1</v>
      </c>
      <c r="I747" s="134" t="str">
        <f t="shared" si="95"/>
        <v/>
      </c>
      <c r="J747" s="163">
        <f t="shared" si="93"/>
        <v>1.3888888888889395E-3</v>
      </c>
      <c r="K747" s="38"/>
      <c r="L747" s="38"/>
      <c r="M747" s="164"/>
      <c r="N747" s="79"/>
      <c r="O747" s="159" t="str">
        <f t="shared" si="94"/>
        <v/>
      </c>
      <c r="Q747" s="157">
        <f>(SUM(E$2:E$21)+SUM(E$25:E$154)+SUM(E$156:E747))/(COUNTA(E$2:E747)-4)</f>
        <v>0.38071963394343117</v>
      </c>
      <c r="R747" s="158">
        <f>(SUM(H$2:H747)*E$1+A747)/SUM(H$2:H747)</f>
        <v>0.34739039420453477</v>
      </c>
      <c r="S747" s="63"/>
    </row>
    <row r="748" spans="1:19" x14ac:dyDescent="0.3">
      <c r="A748" s="220">
        <f t="shared" si="96"/>
        <v>0.93472222222219947</v>
      </c>
      <c r="B748" s="28" t="s">
        <v>1</v>
      </c>
      <c r="C748" s="88">
        <f t="shared" si="91"/>
        <v>43809</v>
      </c>
      <c r="D748" s="88" t="s">
        <v>206</v>
      </c>
      <c r="E748" s="30">
        <v>0.38194444444444442</v>
      </c>
      <c r="F748" s="30">
        <v>0.75694444444444453</v>
      </c>
      <c r="G748" s="31">
        <v>1</v>
      </c>
      <c r="H748" s="32">
        <v>1</v>
      </c>
      <c r="I748" s="135" t="str">
        <f t="shared" si="95"/>
        <v/>
      </c>
      <c r="J748" s="155">
        <f t="shared" si="93"/>
        <v>1.5277777777777835E-2</v>
      </c>
      <c r="K748" s="39"/>
      <c r="L748" s="39"/>
      <c r="M748" s="156"/>
      <c r="N748" s="79"/>
      <c r="O748" s="159" t="str">
        <f t="shared" si="94"/>
        <v/>
      </c>
      <c r="Q748" s="157">
        <f>(SUM(E$2:E$21)+SUM(E$25:E$154)+SUM(E$156:E748))/(COUNTA(E$2:E748)-4)</f>
        <v>0.38072166851236977</v>
      </c>
      <c r="R748" s="158">
        <f>(SUM(H$2:H748)*E$1+A748)/SUM(H$2:H748)</f>
        <v>0.34741359068282146</v>
      </c>
      <c r="S748" s="64"/>
    </row>
    <row r="749" spans="1:19" x14ac:dyDescent="0.3">
      <c r="A749" s="220">
        <f t="shared" si="96"/>
        <v>0.93611111111108847</v>
      </c>
      <c r="B749" s="28" t="s">
        <v>2</v>
      </c>
      <c r="C749" s="88">
        <f t="shared" si="91"/>
        <v>43810</v>
      </c>
      <c r="D749" s="88" t="s">
        <v>207</v>
      </c>
      <c r="E749" s="30">
        <v>0.38194444444444442</v>
      </c>
      <c r="F749" s="30">
        <v>0.75694444444444453</v>
      </c>
      <c r="G749" s="31">
        <v>2</v>
      </c>
      <c r="H749" s="32">
        <v>1</v>
      </c>
      <c r="I749" s="135" t="str">
        <f t="shared" si="95"/>
        <v/>
      </c>
      <c r="J749" s="155">
        <f t="shared" si="93"/>
        <v>1.3888888888889395E-3</v>
      </c>
      <c r="K749" s="39"/>
      <c r="L749" s="39"/>
      <c r="M749" s="156"/>
      <c r="N749" s="79"/>
      <c r="O749" s="159" t="str">
        <f t="shared" si="94"/>
        <v/>
      </c>
      <c r="Q749" s="157">
        <f>(SUM(E$2:E$21)+SUM(E$25:E$154)+SUM(E$156:E749))/(COUNTA(E$2:E749)-4)</f>
        <v>0.38072369633315267</v>
      </c>
      <c r="R749" s="158">
        <f>(SUM(H$2:H749)*E$1+A749)/SUM(H$2:H749)</f>
        <v>0.34741326769807779</v>
      </c>
      <c r="S749" s="64"/>
    </row>
    <row r="750" spans="1:19" x14ac:dyDescent="0.3">
      <c r="A750" s="220">
        <f t="shared" si="96"/>
        <v>0.90972222222219967</v>
      </c>
      <c r="B750" s="28" t="s">
        <v>3</v>
      </c>
      <c r="C750" s="88">
        <f t="shared" si="91"/>
        <v>43811</v>
      </c>
      <c r="D750" s="88" t="s">
        <v>341</v>
      </c>
      <c r="E750" s="30">
        <v>0.38194444444444442</v>
      </c>
      <c r="F750" s="30">
        <v>0.75694444444444453</v>
      </c>
      <c r="G750" s="31">
        <v>4</v>
      </c>
      <c r="H750" s="32">
        <v>1</v>
      </c>
      <c r="I750" s="135">
        <f t="shared" si="95"/>
        <v>2.6388888888888851E-2</v>
      </c>
      <c r="J750" s="155">
        <f t="shared" si="93"/>
        <v>-2.6388888888888851E-2</v>
      </c>
      <c r="K750" s="39"/>
      <c r="L750" s="39"/>
      <c r="M750" s="156"/>
      <c r="N750" s="79"/>
      <c r="O750" s="159" t="str">
        <f t="shared" si="94"/>
        <v/>
      </c>
      <c r="Q750" s="157">
        <f>(SUM(E$2:E$21)+SUM(E$25:E$154)+SUM(E$156:E750))/(COUNTA(E$2:E750)-4)</f>
        <v>0.38072571743929717</v>
      </c>
      <c r="R750" s="158">
        <f>(SUM(H$2:H750)*E$1+A750)/SUM(H$2:H750)</f>
        <v>0.34736614246934383</v>
      </c>
      <c r="S750" s="64"/>
    </row>
    <row r="751" spans="1:19" x14ac:dyDescent="0.3">
      <c r="A751" s="221">
        <f t="shared" si="96"/>
        <v>0.80694444444442193</v>
      </c>
      <c r="B751" s="19" t="s">
        <v>4</v>
      </c>
      <c r="C751" s="89">
        <f t="shared" si="91"/>
        <v>43812</v>
      </c>
      <c r="D751" s="89" t="s">
        <v>342</v>
      </c>
      <c r="E751" s="21">
        <v>0.38194444444444442</v>
      </c>
      <c r="F751" s="21">
        <v>0.63888888888888895</v>
      </c>
      <c r="G751" s="22">
        <v>0</v>
      </c>
      <c r="H751" s="23">
        <v>1</v>
      </c>
      <c r="I751" s="136">
        <f>IF(J751&lt;0,-J751,"")</f>
        <v>0.10277777777777775</v>
      </c>
      <c r="J751" s="160">
        <f t="shared" si="93"/>
        <v>-0.10277777777777775</v>
      </c>
      <c r="K751" s="37"/>
      <c r="L751" s="37"/>
      <c r="M751" s="161"/>
      <c r="N751" s="79"/>
      <c r="O751" s="159">
        <f t="shared" si="94"/>
        <v>0.11111111111111072</v>
      </c>
      <c r="P751" s="162">
        <f>A751-A746</f>
        <v>-0.11111111111111072</v>
      </c>
      <c r="Q751" s="157">
        <f>(SUM(E$2:E$21)+SUM(E$25:E$154)+SUM(E$156:E751))/(COUNTA(E$2:E751)-4)</f>
        <v>0.38072773186409908</v>
      </c>
      <c r="R751" s="158">
        <f>(SUM(H$2:H751)*E$1+A751)/SUM(H$2:H751)</f>
        <v>0.34719068311372769</v>
      </c>
      <c r="S751" s="57">
        <f>IF(COUNTA(M747:M751)=0,0,SUM(M747:M751)/COUNTA(M747:M751))</f>
        <v>0</v>
      </c>
    </row>
    <row r="752" spans="1:19" x14ac:dyDescent="0.3">
      <c r="A752" s="219">
        <f t="shared" si="96"/>
        <v>0.80833333333331092</v>
      </c>
      <c r="B752" s="24" t="s">
        <v>0</v>
      </c>
      <c r="C752" s="90">
        <f t="shared" si="91"/>
        <v>43815</v>
      </c>
      <c r="D752" s="90" t="s">
        <v>210</v>
      </c>
      <c r="E752" s="26">
        <v>0.38194444444444442</v>
      </c>
      <c r="F752" s="26">
        <v>0.75694444444444453</v>
      </c>
      <c r="G752" s="27">
        <v>2</v>
      </c>
      <c r="H752" s="24">
        <v>1</v>
      </c>
      <c r="I752" s="134" t="str">
        <f t="shared" ref="I752:I770" si="97">IF(J752&lt;0,-J752,"")</f>
        <v/>
      </c>
      <c r="J752" s="163">
        <f t="shared" si="93"/>
        <v>1.3888888888889395E-3</v>
      </c>
      <c r="K752" s="38"/>
      <c r="L752" s="38"/>
      <c r="M752" s="164"/>
      <c r="N752" s="79"/>
      <c r="O752" s="159" t="str">
        <f t="shared" si="94"/>
        <v/>
      </c>
      <c r="Q752" s="157">
        <f>(SUM(E$2:E$21)+SUM(E$25:E$154)+SUM(E$156:E752))/(COUNTA(E$2:E752)-4)</f>
        <v>0.38072973964063433</v>
      </c>
      <c r="R752" s="158">
        <f>(SUM(H$2:H752)*E$1+A752)/SUM(H$2:H752)</f>
        <v>0.34719073607612649</v>
      </c>
      <c r="S752" s="63"/>
    </row>
    <row r="753" spans="1:19" x14ac:dyDescent="0.3">
      <c r="A753" s="220">
        <f t="shared" si="96"/>
        <v>0.82361111111108876</v>
      </c>
      <c r="B753" s="28" t="s">
        <v>1</v>
      </c>
      <c r="C753" s="88">
        <f t="shared" si="91"/>
        <v>43816</v>
      </c>
      <c r="D753" s="88" t="s">
        <v>211</v>
      </c>
      <c r="E753" s="30">
        <v>0.38194444444444442</v>
      </c>
      <c r="F753" s="30">
        <v>0.75694444444444453</v>
      </c>
      <c r="G753" s="31">
        <v>1</v>
      </c>
      <c r="H753" s="32">
        <v>1</v>
      </c>
      <c r="I753" s="135" t="str">
        <f t="shared" si="97"/>
        <v/>
      </c>
      <c r="J753" s="155">
        <f t="shared" si="93"/>
        <v>1.5277777777777835E-2</v>
      </c>
      <c r="K753" s="39"/>
      <c r="L753" s="39"/>
      <c r="M753" s="156"/>
      <c r="N753" s="79"/>
      <c r="O753" s="159" t="str">
        <f t="shared" si="94"/>
        <v/>
      </c>
      <c r="Q753" s="157">
        <f>(SUM(E$2:E$21)+SUM(E$25:E$154)+SUM(E$156:E753))/(COUNTA(E$2:E753)-4)</f>
        <v>0.38073174080176092</v>
      </c>
      <c r="R753" s="158">
        <f>(SUM(H$2:H753)*E$1+A753)/SUM(H$2:H753)</f>
        <v>0.3472140728322623</v>
      </c>
      <c r="S753" s="64"/>
    </row>
    <row r="754" spans="1:19" x14ac:dyDescent="0.3">
      <c r="A754" s="220">
        <f t="shared" si="96"/>
        <v>0.8111111111110888</v>
      </c>
      <c r="B754" s="28" t="s">
        <v>2</v>
      </c>
      <c r="C754" s="88">
        <f t="shared" si="91"/>
        <v>43817</v>
      </c>
      <c r="D754" s="88" t="s">
        <v>212</v>
      </c>
      <c r="E754" s="30">
        <v>0.38194444444444442</v>
      </c>
      <c r="F754" s="30">
        <v>0.75694444444444453</v>
      </c>
      <c r="G754" s="31">
        <v>3</v>
      </c>
      <c r="H754" s="32">
        <v>1</v>
      </c>
      <c r="I754" s="135">
        <f t="shared" si="97"/>
        <v>1.2499999999999956E-2</v>
      </c>
      <c r="J754" s="155">
        <f t="shared" si="93"/>
        <v>-1.2499999999999956E-2</v>
      </c>
      <c r="K754" s="39"/>
      <c r="L754" s="39"/>
      <c r="M754" s="156"/>
      <c r="N754" s="79"/>
      <c r="O754" s="159" t="str">
        <f t="shared" si="94"/>
        <v/>
      </c>
      <c r="Q754" s="157">
        <f>(SUM(E$2:E$21)+SUM(E$25:E$154)+SUM(E$156:E754))/(COUNTA(E$2:E754)-4)</f>
        <v>0.38073373538012062</v>
      </c>
      <c r="R754" s="158">
        <f>(SUM(H$2:H754)*E$1+A754)/SUM(H$2:H754)</f>
        <v>0.34719084146908419</v>
      </c>
      <c r="S754" s="64"/>
    </row>
    <row r="755" spans="1:19" x14ac:dyDescent="0.3">
      <c r="A755" s="220">
        <f t="shared" si="96"/>
        <v>0.82638888888886664</v>
      </c>
      <c r="B755" s="28" t="s">
        <v>3</v>
      </c>
      <c r="C755" s="88">
        <f t="shared" si="91"/>
        <v>43818</v>
      </c>
      <c r="D755" s="88" t="s">
        <v>343</v>
      </c>
      <c r="E755" s="30">
        <v>0.38194444444444442</v>
      </c>
      <c r="F755" s="30">
        <v>0.75694444444444453</v>
      </c>
      <c r="G755" s="31">
        <v>1</v>
      </c>
      <c r="H755" s="32">
        <v>1</v>
      </c>
      <c r="I755" s="135" t="str">
        <f t="shared" si="97"/>
        <v/>
      </c>
      <c r="J755" s="155">
        <f t="shared" si="93"/>
        <v>1.5277777777777835E-2</v>
      </c>
      <c r="K755" s="39"/>
      <c r="L755" s="39"/>
      <c r="M755" s="156"/>
      <c r="N755" s="79"/>
      <c r="O755" s="159" t="str">
        <f t="shared" si="94"/>
        <v/>
      </c>
      <c r="Q755" s="157">
        <f>(SUM(E$2:E$21)+SUM(E$25:E$154)+SUM(E$156:E755))/(COUNTA(E$2:E755)-4)</f>
        <v>0.38073572340814088</v>
      </c>
      <c r="R755" s="158">
        <f>(SUM(H$2:H755)*E$1+A755)/SUM(H$2:H755)</f>
        <v>0.34721410006497722</v>
      </c>
      <c r="S755" s="64"/>
    </row>
    <row r="756" spans="1:19" x14ac:dyDescent="0.3">
      <c r="A756" s="221">
        <f t="shared" si="96"/>
        <v>0.73055555555553331</v>
      </c>
      <c r="B756" s="19" t="s">
        <v>4</v>
      </c>
      <c r="C756" s="89">
        <f t="shared" si="91"/>
        <v>43819</v>
      </c>
      <c r="D756" s="89" t="s">
        <v>344</v>
      </c>
      <c r="E756" s="21">
        <v>0.38194444444444442</v>
      </c>
      <c r="F756" s="21">
        <v>0.64583333333333337</v>
      </c>
      <c r="G756" s="22">
        <v>0</v>
      </c>
      <c r="H756" s="23">
        <v>1</v>
      </c>
      <c r="I756" s="136">
        <f>IF(J756&lt;0,-J756,"")</f>
        <v>9.5833333333333326E-2</v>
      </c>
      <c r="J756" s="160">
        <f t="shared" si="93"/>
        <v>-9.5833333333333326E-2</v>
      </c>
      <c r="K756" s="37"/>
      <c r="L756" s="37"/>
      <c r="M756" s="161"/>
      <c r="N756" s="79"/>
      <c r="O756" s="159">
        <f t="shared" si="94"/>
        <v>7.6388888888888618E-2</v>
      </c>
      <c r="P756" s="162">
        <f>A756-A751</f>
        <v>-7.6388888888888618E-2</v>
      </c>
      <c r="Q756" s="157">
        <f>(SUM(E$2:E$21)+SUM(E$25:E$154)+SUM(E$156:E756))/(COUNTA(E$2:E756)-4)</f>
        <v>0.38073770491803649</v>
      </c>
      <c r="R756" s="158">
        <f>(SUM(H$2:H756)*E$1+A756)/SUM(H$2:H756)</f>
        <v>0.34705194143267537</v>
      </c>
      <c r="S756" s="57">
        <f>IF(COUNTA(M752:M756)=0,0,SUM(M752:M756)/COUNTA(M752:M756))</f>
        <v>0</v>
      </c>
    </row>
    <row r="757" spans="1:19" x14ac:dyDescent="0.3">
      <c r="A757" s="219">
        <f t="shared" si="96"/>
        <v>0.73055555555553331</v>
      </c>
      <c r="B757" s="24" t="s">
        <v>0</v>
      </c>
      <c r="C757" s="90">
        <f t="shared" si="91"/>
        <v>43822</v>
      </c>
      <c r="D757" s="90" t="s">
        <v>215</v>
      </c>
      <c r="E757" s="26"/>
      <c r="F757" s="26"/>
      <c r="G757" s="27"/>
      <c r="H757" s="24"/>
      <c r="I757" s="134" t="str">
        <f t="shared" si="97"/>
        <v/>
      </c>
      <c r="J757" s="163">
        <f t="shared" si="93"/>
        <v>0</v>
      </c>
      <c r="K757" s="38"/>
      <c r="L757" s="38"/>
      <c r="M757" s="164"/>
      <c r="N757" s="79"/>
      <c r="O757" s="159" t="str">
        <f t="shared" si="94"/>
        <v/>
      </c>
      <c r="Q757" s="157">
        <f>(SUM(E$2:E$21)+SUM(E$25:E$154)+SUM(E$156:E757))/(COUNTA(E$2:E757)-4)</f>
        <v>0.38073770491803649</v>
      </c>
      <c r="R757" s="158">
        <f>(SUM(H$2:H757)*E$1+A757)/SUM(H$2:H757)</f>
        <v>0.34705194143267537</v>
      </c>
      <c r="S757" s="63"/>
    </row>
    <row r="758" spans="1:19" x14ac:dyDescent="0.3">
      <c r="A758" s="220">
        <f t="shared" si="96"/>
        <v>0.73055555555553331</v>
      </c>
      <c r="B758" s="28" t="s">
        <v>1</v>
      </c>
      <c r="C758" s="88">
        <f t="shared" si="91"/>
        <v>43823</v>
      </c>
      <c r="D758" s="88" t="s">
        <v>216</v>
      </c>
      <c r="E758" s="30"/>
      <c r="F758" s="30"/>
      <c r="G758" s="31"/>
      <c r="H758" s="32"/>
      <c r="I758" s="135" t="str">
        <f t="shared" si="97"/>
        <v/>
      </c>
      <c r="J758" s="155">
        <f t="shared" si="93"/>
        <v>0</v>
      </c>
      <c r="K758" s="39"/>
      <c r="L758" s="39"/>
      <c r="M758" s="156"/>
      <c r="N758" s="79"/>
      <c r="O758" s="159" t="str">
        <f t="shared" si="94"/>
        <v/>
      </c>
      <c r="Q758" s="157">
        <f>(SUM(E$2:E$21)+SUM(E$25:E$154)+SUM(E$156:E758))/(COUNTA(E$2:E758)-4)</f>
        <v>0.38073770491803649</v>
      </c>
      <c r="R758" s="158">
        <f>(SUM(H$2:H758)*E$1+A758)/SUM(H$2:H758)</f>
        <v>0.34705194143267537</v>
      </c>
      <c r="S758" s="64"/>
    </row>
    <row r="759" spans="1:19" x14ac:dyDescent="0.3">
      <c r="A759" s="220">
        <f t="shared" si="96"/>
        <v>0.73055555555553331</v>
      </c>
      <c r="B759" s="28" t="s">
        <v>2</v>
      </c>
      <c r="C759" s="60">
        <f t="shared" si="91"/>
        <v>43824</v>
      </c>
      <c r="D759" s="60" t="s">
        <v>217</v>
      </c>
      <c r="E759" s="30"/>
      <c r="F759" s="30"/>
      <c r="G759" s="31"/>
      <c r="H759" s="32"/>
      <c r="I759" s="135" t="str">
        <f t="shared" si="97"/>
        <v/>
      </c>
      <c r="J759" s="155">
        <f t="shared" si="93"/>
        <v>0</v>
      </c>
      <c r="K759" s="39"/>
      <c r="L759" s="39"/>
      <c r="M759" s="156"/>
      <c r="N759" s="79"/>
      <c r="O759" s="159" t="str">
        <f t="shared" si="94"/>
        <v/>
      </c>
      <c r="Q759" s="157">
        <f>(SUM(E$2:E$21)+SUM(E$25:E$154)+SUM(E$156:E759))/(COUNTA(E$2:E759)-4)</f>
        <v>0.38073770491803649</v>
      </c>
      <c r="R759" s="158">
        <f>(SUM(H$2:H759)*E$1+A759)/SUM(H$2:H759)</f>
        <v>0.34705194143267537</v>
      </c>
      <c r="S759" s="64"/>
    </row>
    <row r="760" spans="1:19" x14ac:dyDescent="0.3">
      <c r="A760" s="220">
        <f t="shared" si="96"/>
        <v>0.73055555555553331</v>
      </c>
      <c r="B760" s="28" t="s">
        <v>3</v>
      </c>
      <c r="C760" s="88">
        <f t="shared" si="91"/>
        <v>43825</v>
      </c>
      <c r="D760" s="88" t="s">
        <v>345</v>
      </c>
      <c r="E760" s="30"/>
      <c r="F760" s="30"/>
      <c r="G760" s="31"/>
      <c r="H760" s="32"/>
      <c r="I760" s="135" t="str">
        <f t="shared" si="97"/>
        <v/>
      </c>
      <c r="J760" s="155">
        <f t="shared" si="93"/>
        <v>0</v>
      </c>
      <c r="K760" s="39"/>
      <c r="L760" s="39"/>
      <c r="M760" s="156"/>
      <c r="N760" s="79"/>
      <c r="O760" s="159" t="str">
        <f t="shared" si="94"/>
        <v/>
      </c>
      <c r="Q760" s="157">
        <f>(SUM(E$2:E$21)+SUM(E$25:E$154)+SUM(E$156:E760))/(COUNTA(E$2:E760)-4)</f>
        <v>0.38073770491803649</v>
      </c>
      <c r="R760" s="158">
        <f>(SUM(H$2:H760)*E$1+A760)/SUM(H$2:H760)</f>
        <v>0.34705194143267537</v>
      </c>
      <c r="S760" s="64"/>
    </row>
    <row r="761" spans="1:19" x14ac:dyDescent="0.3">
      <c r="A761" s="221">
        <f t="shared" si="96"/>
        <v>0.73055555555553331</v>
      </c>
      <c r="B761" s="19" t="s">
        <v>4</v>
      </c>
      <c r="C761" s="89">
        <f t="shared" si="91"/>
        <v>43826</v>
      </c>
      <c r="D761" s="89" t="s">
        <v>346</v>
      </c>
      <c r="E761" s="21"/>
      <c r="F761" s="21"/>
      <c r="G761" s="22"/>
      <c r="H761" s="23"/>
      <c r="I761" s="136" t="str">
        <f>IF(J761&lt;0,-J761,"")</f>
        <v/>
      </c>
      <c r="J761" s="160">
        <f t="shared" si="93"/>
        <v>0</v>
      </c>
      <c r="K761" s="37"/>
      <c r="L761" s="37"/>
      <c r="M761" s="161"/>
      <c r="N761" s="79"/>
      <c r="O761" s="159" t="str">
        <f t="shared" si="94"/>
        <v/>
      </c>
      <c r="P761" s="162">
        <f>A761-A756</f>
        <v>0</v>
      </c>
      <c r="Q761" s="157">
        <f>(SUM(E$2:E$21)+SUM(E$25:E$154)+SUM(E$156:E761))/(COUNTA(E$2:E761)-4)</f>
        <v>0.38073770491803649</v>
      </c>
      <c r="R761" s="158">
        <f>(SUM(H$2:H761)*E$1+A761)/SUM(H$2:H761)</f>
        <v>0.34705194143267537</v>
      </c>
      <c r="S761" s="57">
        <f>IF(COUNTA(M757:M761)=0,0,SUM(M757:M761)/COUNTA(M757:M761))</f>
        <v>0</v>
      </c>
    </row>
    <row r="762" spans="1:19" x14ac:dyDescent="0.3">
      <c r="A762" s="219">
        <f t="shared" si="96"/>
        <v>0.73055555555553331</v>
      </c>
      <c r="B762" s="24" t="s">
        <v>0</v>
      </c>
      <c r="C762" s="90">
        <f t="shared" si="91"/>
        <v>43829</v>
      </c>
      <c r="D762" s="90" t="s">
        <v>220</v>
      </c>
      <c r="E762" s="26"/>
      <c r="F762" s="26"/>
      <c r="G762" s="27"/>
      <c r="H762" s="24"/>
      <c r="I762" s="134" t="str">
        <f t="shared" si="97"/>
        <v/>
      </c>
      <c r="J762" s="163">
        <f t="shared" si="93"/>
        <v>0</v>
      </c>
      <c r="K762" s="38"/>
      <c r="L762" s="38"/>
      <c r="M762" s="164"/>
      <c r="N762" s="79"/>
      <c r="O762" s="159" t="str">
        <f t="shared" si="94"/>
        <v/>
      </c>
      <c r="Q762" s="157">
        <f>(SUM(E$2:E$21)+SUM(E$25:E$154)+SUM(E$156:E762))/(COUNTA(E$2:E762)-4)</f>
        <v>0.38073770491803649</v>
      </c>
      <c r="R762" s="158">
        <f>(SUM(H$2:H762)*E$1+A762)/SUM(H$2:H762)</f>
        <v>0.34705194143267537</v>
      </c>
      <c r="S762" s="63"/>
    </row>
    <row r="763" spans="1:19" x14ac:dyDescent="0.3">
      <c r="A763" s="220">
        <f t="shared" si="96"/>
        <v>0.73055555555553331</v>
      </c>
      <c r="B763" s="28" t="s">
        <v>1</v>
      </c>
      <c r="C763" s="88">
        <f t="shared" si="91"/>
        <v>43830</v>
      </c>
      <c r="D763" s="88" t="s">
        <v>221</v>
      </c>
      <c r="E763" s="30"/>
      <c r="F763" s="30"/>
      <c r="G763" s="31"/>
      <c r="H763" s="32"/>
      <c r="I763" s="135" t="str">
        <f t="shared" si="97"/>
        <v/>
      </c>
      <c r="J763" s="155">
        <f t="shared" si="93"/>
        <v>0</v>
      </c>
      <c r="K763" s="39"/>
      <c r="L763" s="39"/>
      <c r="M763" s="156"/>
      <c r="N763" s="79">
        <f>SUM(H744:H763)</f>
        <v>13</v>
      </c>
      <c r="O763" s="159" t="str">
        <f t="shared" si="94"/>
        <v/>
      </c>
      <c r="Q763" s="157">
        <f>(SUM(E$2:E$21)+SUM(E$25:E$154)+SUM(E$156:E763))/(COUNTA(E$2:E763)-4)</f>
        <v>0.38073770491803649</v>
      </c>
      <c r="R763" s="158">
        <f>(SUM(H$2:H763)*E$1+A763)/SUM(H$2:H763)</f>
        <v>0.34705194143267537</v>
      </c>
      <c r="S763" s="64"/>
    </row>
    <row r="764" spans="1:19" x14ac:dyDescent="0.3">
      <c r="A764" s="220">
        <f t="shared" si="96"/>
        <v>0.73055555555553331</v>
      </c>
      <c r="B764" s="28" t="s">
        <v>2</v>
      </c>
      <c r="C764" s="60">
        <f t="shared" si="91"/>
        <v>43831</v>
      </c>
      <c r="D764" s="60" t="s">
        <v>222</v>
      </c>
      <c r="E764" s="30"/>
      <c r="F764" s="30"/>
      <c r="G764" s="31"/>
      <c r="H764" s="32"/>
      <c r="I764" s="135" t="str">
        <f t="shared" si="97"/>
        <v/>
      </c>
      <c r="J764" s="155">
        <f t="shared" si="93"/>
        <v>0</v>
      </c>
      <c r="K764" s="39"/>
      <c r="L764" s="39"/>
      <c r="M764" s="156"/>
      <c r="N764" s="79"/>
      <c r="O764" s="159" t="str">
        <f t="shared" si="94"/>
        <v/>
      </c>
      <c r="Q764" s="157">
        <f>(SUM(E$2:E$21)+SUM(E$25:E$154)+SUM(E$156:E764))/(COUNTA(E$2:E764)-4)</f>
        <v>0.38073770491803649</v>
      </c>
      <c r="R764" s="158">
        <f>(SUM(H$2:H764)*E$1+A764)/SUM(H$2:H764)</f>
        <v>0.34705194143267537</v>
      </c>
      <c r="S764" s="64"/>
    </row>
    <row r="765" spans="1:19" x14ac:dyDescent="0.3">
      <c r="A765" s="220">
        <f t="shared" si="96"/>
        <v>0.73194444444442208</v>
      </c>
      <c r="B765" s="28" t="s">
        <v>3</v>
      </c>
      <c r="C765" s="88">
        <f t="shared" si="91"/>
        <v>43832</v>
      </c>
      <c r="D765" s="88" t="s">
        <v>347</v>
      </c>
      <c r="E765" s="30">
        <v>0.38194444444444442</v>
      </c>
      <c r="F765" s="30">
        <v>0.74305555555555547</v>
      </c>
      <c r="G765" s="31">
        <v>1</v>
      </c>
      <c r="H765" s="32">
        <v>1</v>
      </c>
      <c r="I765" s="135" t="str">
        <f t="shared" si="97"/>
        <v/>
      </c>
      <c r="J765" s="155">
        <f t="shared" si="93"/>
        <v>1.3888888888887729E-3</v>
      </c>
      <c r="K765" s="39"/>
      <c r="L765" s="39"/>
      <c r="M765" s="156"/>
      <c r="N765" s="79"/>
      <c r="O765" s="159" t="str">
        <f t="shared" si="94"/>
        <v/>
      </c>
      <c r="Q765" s="157">
        <f>(SUM(E$2:E$21)+SUM(E$25:E$154)+SUM(E$156:E765))/(COUNTA(E$2:E765)-4)</f>
        <v>0.38073967994181129</v>
      </c>
      <c r="R765" s="158">
        <f>(SUM(H$2:H765)*E$1+A765)/SUM(H$2:H765)</f>
        <v>0.34705222499768712</v>
      </c>
      <c r="S765" s="64"/>
    </row>
    <row r="766" spans="1:19" x14ac:dyDescent="0.3">
      <c r="A766" s="221">
        <f t="shared" si="96"/>
        <v>0.64305555555553318</v>
      </c>
      <c r="B766" s="19" t="s">
        <v>4</v>
      </c>
      <c r="C766" s="89">
        <f t="shared" si="91"/>
        <v>43833</v>
      </c>
      <c r="D766" s="89" t="s">
        <v>348</v>
      </c>
      <c r="E766" s="21">
        <v>0.38194444444444442</v>
      </c>
      <c r="F766" s="21">
        <v>0.65277777777777779</v>
      </c>
      <c r="G766" s="22">
        <v>0</v>
      </c>
      <c r="H766" s="23">
        <v>1</v>
      </c>
      <c r="I766" s="136">
        <f>IF(J766&lt;0,-J766,"")</f>
        <v>8.8888888888888906E-2</v>
      </c>
      <c r="J766" s="160">
        <f t="shared" si="93"/>
        <v>-8.8888888888888906E-2</v>
      </c>
      <c r="K766" s="37"/>
      <c r="L766" s="37"/>
      <c r="M766" s="161"/>
      <c r="N766" s="79"/>
      <c r="O766" s="159">
        <f t="shared" si="94"/>
        <v>8.7500000000000133E-2</v>
      </c>
      <c r="P766" s="162">
        <f>A766-A761</f>
        <v>-8.7500000000000133E-2</v>
      </c>
      <c r="Q766" s="157">
        <f>(SUM(E$2:E$21)+SUM(E$25:E$154)+SUM(E$156:E766))/(COUNTA(E$2:E766)-4)</f>
        <v>0.38074164851126008</v>
      </c>
      <c r="R766" s="158">
        <f>(SUM(H$2:H766)*E$1+A766)/SUM(H$2:H766)</f>
        <v>0.34690241987623532</v>
      </c>
      <c r="S766" s="57">
        <f>IF(COUNTA(M762:M766)=0,0,SUM(M762:M766)/COUNTA(M762:M766))</f>
        <v>0</v>
      </c>
    </row>
    <row r="767" spans="1:19" x14ac:dyDescent="0.3">
      <c r="A767" s="219">
        <f t="shared" si="96"/>
        <v>0.64444444444442217</v>
      </c>
      <c r="B767" s="24" t="s">
        <v>0</v>
      </c>
      <c r="C767" s="90">
        <f t="shared" si="91"/>
        <v>43836</v>
      </c>
      <c r="D767" s="90" t="s">
        <v>225</v>
      </c>
      <c r="E767" s="26">
        <v>0.38194444444444442</v>
      </c>
      <c r="F767" s="26">
        <v>0.75694444444444453</v>
      </c>
      <c r="G767" s="27">
        <v>2</v>
      </c>
      <c r="H767" s="24">
        <v>1</v>
      </c>
      <c r="I767" s="134" t="str">
        <f t="shared" si="97"/>
        <v/>
      </c>
      <c r="J767" s="163">
        <f t="shared" si="93"/>
        <v>1.3888888888889395E-3</v>
      </c>
      <c r="K767" s="38"/>
      <c r="L767" s="38"/>
      <c r="M767" s="164"/>
      <c r="N767" s="79"/>
      <c r="O767" s="159" t="str">
        <f t="shared" si="94"/>
        <v/>
      </c>
      <c r="Q767" s="157">
        <f>(SUM(E$2:E$21)+SUM(E$25:E$154)+SUM(E$156:E767))/(COUNTA(E$2:E767)-4)</f>
        <v>0.38074361065797002</v>
      </c>
      <c r="R767" s="158">
        <f>(SUM(H$2:H767)*E$1+A767)/SUM(H$2:H767)</f>
        <v>0.34690295066851085</v>
      </c>
      <c r="S767" s="63"/>
    </row>
    <row r="768" spans="1:19" x14ac:dyDescent="0.3">
      <c r="A768" s="220">
        <f t="shared" si="96"/>
        <v>0.65972222222220001</v>
      </c>
      <c r="B768" s="28" t="s">
        <v>1</v>
      </c>
      <c r="C768" s="88">
        <f t="shared" si="91"/>
        <v>43837</v>
      </c>
      <c r="D768" s="88" t="s">
        <v>226</v>
      </c>
      <c r="E768" s="30">
        <v>0.38194444444444442</v>
      </c>
      <c r="F768" s="30">
        <v>0.75694444444444453</v>
      </c>
      <c r="G768" s="31">
        <v>1</v>
      </c>
      <c r="H768" s="32">
        <v>1</v>
      </c>
      <c r="I768" s="135" t="str">
        <f t="shared" si="97"/>
        <v/>
      </c>
      <c r="J768" s="155">
        <f t="shared" si="93"/>
        <v>1.5277777777777835E-2</v>
      </c>
      <c r="K768" s="39"/>
      <c r="L768" s="39"/>
      <c r="M768" s="156"/>
      <c r="N768" s="79"/>
      <c r="O768" s="159" t="str">
        <f t="shared" si="94"/>
        <v/>
      </c>
      <c r="Q768" s="157">
        <f>(SUM(E$2:E$21)+SUM(E$25:E$154)+SUM(E$156:E768))/(COUNTA(E$2:E768)-4)</f>
        <v>0.38074556641332258</v>
      </c>
      <c r="R768" s="158">
        <f>(SUM(H$2:H768)*E$1+A768)/SUM(H$2:H768)</f>
        <v>0.34692649360213573</v>
      </c>
      <c r="S768" s="64"/>
    </row>
    <row r="769" spans="1:19" x14ac:dyDescent="0.3">
      <c r="A769" s="220">
        <f t="shared" si="96"/>
        <v>0.661111111111089</v>
      </c>
      <c r="B769" s="28" t="s">
        <v>2</v>
      </c>
      <c r="C769" s="88">
        <f t="shared" si="91"/>
        <v>43838</v>
      </c>
      <c r="D769" s="88" t="s">
        <v>227</v>
      </c>
      <c r="E769" s="30">
        <v>0.38194444444444442</v>
      </c>
      <c r="F769" s="30">
        <v>0.75694444444444453</v>
      </c>
      <c r="G769" s="31">
        <v>2</v>
      </c>
      <c r="H769" s="32">
        <v>1</v>
      </c>
      <c r="I769" s="135" t="str">
        <f t="shared" si="97"/>
        <v/>
      </c>
      <c r="J769" s="155">
        <f t="shared" si="93"/>
        <v>1.3888888888889395E-3</v>
      </c>
      <c r="K769" s="39"/>
      <c r="L769" s="39"/>
      <c r="M769" s="156"/>
      <c r="N769" s="79"/>
      <c r="O769" s="159" t="str">
        <f t="shared" si="94"/>
        <v/>
      </c>
      <c r="Q769" s="157">
        <f>(SUM(E$2:E$21)+SUM(E$25:E$154)+SUM(E$156:E769))/(COUNTA(E$2:E769)-4)</f>
        <v>0.3807475158084952</v>
      </c>
      <c r="R769" s="158">
        <f>(SUM(H$2:H769)*E$1+A769)/SUM(H$2:H769)</f>
        <v>0.34692698281407963</v>
      </c>
      <c r="S769" s="64"/>
    </row>
    <row r="770" spans="1:19" x14ac:dyDescent="0.3">
      <c r="A770" s="220">
        <f t="shared" si="96"/>
        <v>0.63472222222220021</v>
      </c>
      <c r="B770" s="28" t="s">
        <v>3</v>
      </c>
      <c r="C770" s="88">
        <f t="shared" si="91"/>
        <v>43839</v>
      </c>
      <c r="D770" s="88" t="s">
        <v>349</v>
      </c>
      <c r="E770" s="30">
        <v>0.38194444444444442</v>
      </c>
      <c r="F770" s="30">
        <v>0.75694444444444453</v>
      </c>
      <c r="G770" s="31">
        <v>4</v>
      </c>
      <c r="H770" s="32">
        <v>1</v>
      </c>
      <c r="I770" s="135">
        <f t="shared" si="97"/>
        <v>2.6388888888888851E-2</v>
      </c>
      <c r="J770" s="155">
        <f t="shared" si="93"/>
        <v>-2.6388888888888851E-2</v>
      </c>
      <c r="K770" s="39"/>
      <c r="L770" s="39"/>
      <c r="M770" s="156"/>
      <c r="N770" s="79"/>
      <c r="O770" s="159" t="str">
        <f t="shared" si="94"/>
        <v/>
      </c>
      <c r="Q770" s="157">
        <f>(SUM(E$2:E$21)+SUM(E$25:E$154)+SUM(E$156:E770))/(COUNTA(E$2:E770)-4)</f>
        <v>0.38074945887446265</v>
      </c>
      <c r="R770" s="158">
        <f>(SUM(H$2:H770)*E$1+A770)/SUM(H$2:H770)</f>
        <v>0.34688159464171026</v>
      </c>
      <c r="S770" s="64"/>
    </row>
    <row r="771" spans="1:19" x14ac:dyDescent="0.3">
      <c r="A771" s="221">
        <f t="shared" si="96"/>
        <v>0.55277777777775572</v>
      </c>
      <c r="B771" s="19" t="s">
        <v>4</v>
      </c>
      <c r="C771" s="89">
        <f t="shared" si="91"/>
        <v>43840</v>
      </c>
      <c r="D771" s="89" t="s">
        <v>350</v>
      </c>
      <c r="E771" s="21">
        <v>0.38194444444444442</v>
      </c>
      <c r="F771" s="21">
        <v>0.65972222222222221</v>
      </c>
      <c r="G771" s="22">
        <v>0</v>
      </c>
      <c r="H771" s="23">
        <v>1</v>
      </c>
      <c r="I771" s="136">
        <f>IF(J771&lt;0,-J771,"")</f>
        <v>8.1944444444444486E-2</v>
      </c>
      <c r="J771" s="160">
        <f t="shared" si="93"/>
        <v>-8.1944444444444486E-2</v>
      </c>
      <c r="K771" s="37"/>
      <c r="L771" s="37"/>
      <c r="M771" s="161"/>
      <c r="N771" s="79"/>
      <c r="O771" s="159">
        <f t="shared" si="94"/>
        <v>9.0277777777777457E-2</v>
      </c>
      <c r="P771" s="162">
        <f>A771-A766</f>
        <v>-9.0277777777777457E-2</v>
      </c>
      <c r="Q771" s="157">
        <f>(SUM(E$2:E$21)+SUM(E$25:E$154)+SUM(E$156:E771))/(COUNTA(E$2:E771)-4)</f>
        <v>0.38075139564199911</v>
      </c>
      <c r="R771" s="158">
        <f>(SUM(H$2:H771)*E$1+A771)/SUM(H$2:H771)</f>
        <v>0.3467447558853165</v>
      </c>
      <c r="S771" s="57">
        <f>IF(COUNTA(M767:M771)=0,0,SUM(M767:M771)/COUNTA(M767:M771))</f>
        <v>0</v>
      </c>
    </row>
    <row r="772" spans="1:19" x14ac:dyDescent="0.3">
      <c r="A772" s="219">
        <f t="shared" si="96"/>
        <v>0.55416666666664471</v>
      </c>
      <c r="B772" s="24" t="s">
        <v>0</v>
      </c>
      <c r="C772" s="90">
        <f t="shared" si="91"/>
        <v>43843</v>
      </c>
      <c r="D772" s="90" t="s">
        <v>230</v>
      </c>
      <c r="E772" s="26">
        <v>0.38194444444444442</v>
      </c>
      <c r="F772" s="26">
        <v>0.75694444444444453</v>
      </c>
      <c r="G772" s="27">
        <v>2</v>
      </c>
      <c r="H772" s="24">
        <v>1</v>
      </c>
      <c r="I772" s="134" t="str">
        <f t="shared" ref="I772:I785" si="98">IF(J772&lt;0,-J772,"")</f>
        <v/>
      </c>
      <c r="J772" s="163">
        <f t="shared" si="93"/>
        <v>1.3888888888889395E-3</v>
      </c>
      <c r="K772" s="38"/>
      <c r="L772" s="38"/>
      <c r="M772" s="164"/>
      <c r="N772" s="79"/>
      <c r="O772" s="159" t="str">
        <f t="shared" si="94"/>
        <v/>
      </c>
      <c r="Q772" s="157">
        <f>(SUM(E$2:E$21)+SUM(E$25:E$154)+SUM(E$156:E772))/(COUNTA(E$2:E772)-4)</f>
        <v>0.38075332614167945</v>
      </c>
      <c r="R772" s="158">
        <f>(SUM(H$2:H772)*E$1+A772)/SUM(H$2:H772)</f>
        <v>0.34674554183813444</v>
      </c>
      <c r="S772" s="63"/>
    </row>
    <row r="773" spans="1:19" x14ac:dyDescent="0.3">
      <c r="A773" s="220">
        <f t="shared" si="96"/>
        <v>0.56944444444442255</v>
      </c>
      <c r="B773" s="28" t="s">
        <v>1</v>
      </c>
      <c r="C773" s="88">
        <f t="shared" si="91"/>
        <v>43844</v>
      </c>
      <c r="D773" s="88" t="s">
        <v>231</v>
      </c>
      <c r="E773" s="30">
        <v>0.38194444444444442</v>
      </c>
      <c r="F773" s="30">
        <v>0.75694444444444453</v>
      </c>
      <c r="G773" s="31">
        <v>1</v>
      </c>
      <c r="H773" s="32">
        <v>1</v>
      </c>
      <c r="I773" s="135" t="str">
        <f t="shared" si="98"/>
        <v/>
      </c>
      <c r="J773" s="155">
        <f t="shared" si="93"/>
        <v>1.5277777777777835E-2</v>
      </c>
      <c r="K773" s="39"/>
      <c r="L773" s="39"/>
      <c r="M773" s="156"/>
      <c r="N773" s="79"/>
      <c r="O773" s="159" t="str">
        <f t="shared" si="94"/>
        <v/>
      </c>
      <c r="Q773" s="157">
        <f>(SUM(E$2:E$21)+SUM(E$25:E$154)+SUM(E$156:E773))/(COUNTA(E$2:E773)-4)</f>
        <v>0.38075525040388103</v>
      </c>
      <c r="R773" s="158">
        <f>(SUM(H$2:H773)*E$1+A773)/SUM(H$2:H773)</f>
        <v>0.34676915000456499</v>
      </c>
      <c r="S773" s="64"/>
    </row>
    <row r="774" spans="1:19" x14ac:dyDescent="0.3">
      <c r="A774" s="220">
        <f t="shared" si="96"/>
        <v>0.55694444444442259</v>
      </c>
      <c r="B774" s="28" t="s">
        <v>2</v>
      </c>
      <c r="C774" s="88">
        <f t="shared" si="91"/>
        <v>43845</v>
      </c>
      <c r="D774" s="88" t="s">
        <v>232</v>
      </c>
      <c r="E774" s="30">
        <v>0.38194444444444442</v>
      </c>
      <c r="F774" s="30">
        <v>0.75694444444444453</v>
      </c>
      <c r="G774" s="31">
        <v>3</v>
      </c>
      <c r="H774" s="32">
        <v>1</v>
      </c>
      <c r="I774" s="135">
        <f t="shared" si="98"/>
        <v>1.2499999999999956E-2</v>
      </c>
      <c r="J774" s="155">
        <f t="shared" si="93"/>
        <v>-1.2499999999999956E-2</v>
      </c>
      <c r="K774" s="39"/>
      <c r="L774" s="39"/>
      <c r="M774" s="156"/>
      <c r="N774" s="79"/>
      <c r="O774" s="159" t="str">
        <f t="shared" si="94"/>
        <v/>
      </c>
      <c r="Q774" s="157">
        <f>(SUM(E$2:E$21)+SUM(E$25:E$154)+SUM(E$156:E774))/(COUNTA(E$2:E774)-4)</f>
        <v>0.38075716845878521</v>
      </c>
      <c r="R774" s="158">
        <f>(SUM(H$2:H774)*E$1+A774)/SUM(H$2:H774)</f>
        <v>0.34674710600674502</v>
      </c>
      <c r="S774" s="64"/>
    </row>
    <row r="775" spans="1:19" x14ac:dyDescent="0.3">
      <c r="A775" s="220">
        <f t="shared" si="96"/>
        <v>0.57222222222220043</v>
      </c>
      <c r="B775" s="28" t="s">
        <v>3</v>
      </c>
      <c r="C775" s="88">
        <f t="shared" si="91"/>
        <v>43846</v>
      </c>
      <c r="D775" s="88" t="s">
        <v>351</v>
      </c>
      <c r="E775" s="30">
        <v>0.38194444444444442</v>
      </c>
      <c r="F775" s="30">
        <v>0.75694444444444453</v>
      </c>
      <c r="G775" s="31">
        <v>1</v>
      </c>
      <c r="H775" s="32">
        <v>1</v>
      </c>
      <c r="I775" s="135" t="str">
        <f t="shared" si="98"/>
        <v/>
      </c>
      <c r="J775" s="155">
        <f t="shared" si="93"/>
        <v>1.5277777777777835E-2</v>
      </c>
      <c r="K775" s="39"/>
      <c r="L775" s="39"/>
      <c r="M775" s="156"/>
      <c r="N775" s="79"/>
      <c r="O775" s="159" t="str">
        <f t="shared" si="94"/>
        <v/>
      </c>
      <c r="Q775" s="157">
        <f>(SUM(E$2:E$21)+SUM(E$25:E$154)+SUM(E$156:E775))/(COUNTA(E$2:E775)-4)</f>
        <v>0.38075908033637884</v>
      </c>
      <c r="R775" s="158">
        <f>(SUM(H$2:H775)*E$1+A775)/SUM(H$2:H775)</f>
        <v>0.34677063427063426</v>
      </c>
      <c r="S775" s="64"/>
    </row>
    <row r="776" spans="1:19" x14ac:dyDescent="0.3">
      <c r="A776" s="221">
        <f t="shared" si="96"/>
        <v>0.49722222222220036</v>
      </c>
      <c r="B776" s="19" t="s">
        <v>4</v>
      </c>
      <c r="C776" s="89">
        <f t="shared" ref="C776:C782" si="99">C771+7</f>
        <v>43847</v>
      </c>
      <c r="D776" s="89" t="s">
        <v>352</v>
      </c>
      <c r="E776" s="21">
        <v>0.38194444444444442</v>
      </c>
      <c r="F776" s="21">
        <v>0.66666666666666663</v>
      </c>
      <c r="G776" s="22">
        <v>0</v>
      </c>
      <c r="H776" s="23">
        <v>1</v>
      </c>
      <c r="I776" s="136">
        <f>IF(J776&lt;0,-J776,"")</f>
        <v>7.5000000000000067E-2</v>
      </c>
      <c r="J776" s="160">
        <f t="shared" ref="J776:J786" si="100">IF(H776=1,F776-E776-MAX(G776,1)*$F$1-$E$1,F776-E776-$E$1*H776)</f>
        <v>-7.5000000000000067E-2</v>
      </c>
      <c r="K776" s="37"/>
      <c r="L776" s="37"/>
      <c r="M776" s="161"/>
      <c r="N776" s="79"/>
      <c r="O776" s="159">
        <f t="shared" si="94"/>
        <v>5.5555555555555358E-2</v>
      </c>
      <c r="P776" s="162">
        <f>A776-A771</f>
        <v>-5.5555555555555358E-2</v>
      </c>
      <c r="Q776" s="157">
        <f>(SUM(E$2:E$21)+SUM(E$25:E$154)+SUM(E$156:E776))/(COUNTA(E$2:E776)-4)</f>
        <v>0.38076098606645614</v>
      </c>
      <c r="R776" s="158">
        <f>(SUM(H$2:H776)*E$1+A776)/SUM(H$2:H776)</f>
        <v>0.34664645225765423</v>
      </c>
      <c r="S776" s="57">
        <f>IF(COUNTA(M772:M776)=0,0,SUM(M772:M776)/COUNTA(M772:M776))</f>
        <v>0</v>
      </c>
    </row>
    <row r="777" spans="1:19" x14ac:dyDescent="0.3">
      <c r="A777" s="219">
        <f t="shared" si="96"/>
        <v>0.4986111111110893</v>
      </c>
      <c r="B777" s="24" t="s">
        <v>0</v>
      </c>
      <c r="C777" s="90">
        <f t="shared" si="99"/>
        <v>43850</v>
      </c>
      <c r="D777" s="90" t="s">
        <v>235</v>
      </c>
      <c r="E777" s="26">
        <v>0.38194444444444442</v>
      </c>
      <c r="F777" s="26">
        <v>0.75694444444444453</v>
      </c>
      <c r="G777" s="27">
        <v>2</v>
      </c>
      <c r="H777" s="24">
        <v>1</v>
      </c>
      <c r="I777" s="134" t="str">
        <f t="shared" si="98"/>
        <v/>
      </c>
      <c r="J777" s="163">
        <f t="shared" si="100"/>
        <v>1.3888888888889395E-3</v>
      </c>
      <c r="K777" s="38"/>
      <c r="L777" s="38"/>
      <c r="M777" s="164"/>
      <c r="N777" s="79"/>
      <c r="O777" s="159" t="str">
        <f t="shared" si="94"/>
        <v/>
      </c>
      <c r="Q777" s="157">
        <f>(SUM(E$2:E$21)+SUM(E$25:E$154)+SUM(E$156:E777))/(COUNTA(E$2:E777)-4)</f>
        <v>0.38076288567861988</v>
      </c>
      <c r="R777" s="158">
        <f>(SUM(H$2:H777)*E$1+A777)/SUM(H$2:H777)</f>
        <v>0.34664739229024943</v>
      </c>
      <c r="S777" s="63"/>
    </row>
    <row r="778" spans="1:19" x14ac:dyDescent="0.3">
      <c r="A778" s="220">
        <f t="shared" si="96"/>
        <v>0.51388888888886708</v>
      </c>
      <c r="B778" s="28" t="s">
        <v>1</v>
      </c>
      <c r="C778" s="88">
        <f t="shared" si="99"/>
        <v>43851</v>
      </c>
      <c r="D778" s="88" t="s">
        <v>236</v>
      </c>
      <c r="E778" s="30">
        <v>0.38194444444444442</v>
      </c>
      <c r="F778" s="30">
        <v>0.75694444444444453</v>
      </c>
      <c r="G778" s="31">
        <v>1</v>
      </c>
      <c r="H778" s="32">
        <v>1</v>
      </c>
      <c r="I778" s="135" t="str">
        <f t="shared" si="98"/>
        <v/>
      </c>
      <c r="J778" s="155">
        <f t="shared" si="100"/>
        <v>1.5277777777777835E-2</v>
      </c>
      <c r="K778" s="39"/>
      <c r="L778" s="39"/>
      <c r="M778" s="156"/>
      <c r="N778" s="79"/>
      <c r="O778" s="159" t="str">
        <f t="shared" si="94"/>
        <v/>
      </c>
      <c r="Q778" s="157">
        <f>(SUM(E$2:E$21)+SUM(E$25:E$154)+SUM(E$156:E778))/(COUNTA(E$2:E778)-4)</f>
        <v>0.38076477920228308</v>
      </c>
      <c r="R778" s="158">
        <f>(SUM(H$2:H778)*E$1+A778)/SUM(H$2:H778)</f>
        <v>0.34667096803404868</v>
      </c>
      <c r="S778" s="64"/>
    </row>
    <row r="779" spans="1:19" x14ac:dyDescent="0.3">
      <c r="A779" s="220">
        <f t="shared" si="96"/>
        <v>0.51527777777775596</v>
      </c>
      <c r="B779" s="28" t="s">
        <v>2</v>
      </c>
      <c r="C779" s="88">
        <f t="shared" si="99"/>
        <v>43852</v>
      </c>
      <c r="D779" s="88" t="s">
        <v>237</v>
      </c>
      <c r="E779" s="30">
        <v>0.38194444444444442</v>
      </c>
      <c r="F779" s="30">
        <v>0.75694444444444453</v>
      </c>
      <c r="G779" s="31">
        <v>2</v>
      </c>
      <c r="H779" s="32">
        <v>1</v>
      </c>
      <c r="I779" s="135" t="str">
        <f t="shared" si="98"/>
        <v/>
      </c>
      <c r="J779" s="155">
        <f t="shared" si="100"/>
        <v>1.3888888888889395E-3</v>
      </c>
      <c r="K779" s="39"/>
      <c r="L779" s="39"/>
      <c r="M779" s="156"/>
      <c r="N779" s="79"/>
      <c r="O779" s="159" t="str">
        <f t="shared" si="94"/>
        <v/>
      </c>
      <c r="Q779" s="157">
        <f>(SUM(E$2:E$21)+SUM(E$25:E$154)+SUM(E$156:E779))/(COUNTA(E$2:E779)-4)</f>
        <v>0.38076666666667058</v>
      </c>
      <c r="R779" s="158">
        <f>(SUM(H$2:H779)*E$1+A779)/SUM(H$2:H779)</f>
        <v>0.3466718651116536</v>
      </c>
      <c r="S779" s="64"/>
    </row>
    <row r="780" spans="1:19" x14ac:dyDescent="0.3">
      <c r="A780" s="220">
        <f t="shared" si="96"/>
        <v>0.48888888888886711</v>
      </c>
      <c r="B780" s="28" t="s">
        <v>3</v>
      </c>
      <c r="C780" s="88">
        <f t="shared" si="99"/>
        <v>43853</v>
      </c>
      <c r="D780" s="88" t="s">
        <v>353</v>
      </c>
      <c r="E780" s="30">
        <v>0.38194444444444442</v>
      </c>
      <c r="F780" s="30">
        <v>0.75694444444444453</v>
      </c>
      <c r="G780" s="31">
        <v>4</v>
      </c>
      <c r="H780" s="32">
        <v>1</v>
      </c>
      <c r="I780" s="135">
        <f t="shared" si="98"/>
        <v>2.6388888888888851E-2</v>
      </c>
      <c r="J780" s="155">
        <f t="shared" si="100"/>
        <v>-2.6388888888888851E-2</v>
      </c>
      <c r="K780" s="39"/>
      <c r="L780" s="39"/>
      <c r="M780" s="156"/>
      <c r="N780" s="79"/>
      <c r="O780" s="159" t="str">
        <f t="shared" si="94"/>
        <v/>
      </c>
      <c r="Q780" s="157">
        <f>(SUM(E$2:E$21)+SUM(E$25:E$154)+SUM(E$156:E780))/(COUNTA(E$2:E780)-4)</f>
        <v>0.38076854810082039</v>
      </c>
      <c r="R780" s="158">
        <f>(SUM(H$2:H780)*E$1+A780)/SUM(H$2:H780)</f>
        <v>0.34662762884736897</v>
      </c>
      <c r="S780" s="64"/>
    </row>
    <row r="781" spans="1:19" x14ac:dyDescent="0.3">
      <c r="A781" s="221">
        <f t="shared" si="96"/>
        <v>0.42083333333331158</v>
      </c>
      <c r="B781" s="19" t="s">
        <v>4</v>
      </c>
      <c r="C781" s="89">
        <f t="shared" si="99"/>
        <v>43854</v>
      </c>
      <c r="D781" s="89" t="s">
        <v>354</v>
      </c>
      <c r="E781" s="21">
        <v>0.38194444444444442</v>
      </c>
      <c r="F781" s="21">
        <v>0.67361111111111116</v>
      </c>
      <c r="G781" s="22">
        <v>0</v>
      </c>
      <c r="H781" s="23">
        <v>1</v>
      </c>
      <c r="I781" s="136">
        <f>IF(J781&lt;0,-J781,"")</f>
        <v>6.8055555555555536E-2</v>
      </c>
      <c r="J781" s="160">
        <f t="shared" si="100"/>
        <v>-6.8055555555555536E-2</v>
      </c>
      <c r="K781" s="37"/>
      <c r="L781" s="37"/>
      <c r="M781" s="161"/>
      <c r="N781" s="79"/>
      <c r="O781" s="159">
        <f t="shared" si="94"/>
        <v>7.6388888888888784E-2</v>
      </c>
      <c r="P781" s="162">
        <f>A781-A776</f>
        <v>-7.6388888888888784E-2</v>
      </c>
      <c r="Q781" s="157">
        <f>(SUM(E$2:E$21)+SUM(E$25:E$154)+SUM(E$156:E781))/(COUNTA(E$2:E781)-4)</f>
        <v>0.38077042353358537</v>
      </c>
      <c r="R781" s="158">
        <f>(SUM(H$2:H781)*E$1+A781)/SUM(H$2:H781)</f>
        <v>0.34651595025682619</v>
      </c>
      <c r="S781" s="57">
        <f>IF(COUNTA(M777:M781)=0,0,SUM(M777:M781)/COUNTA(M777:M781))</f>
        <v>0</v>
      </c>
    </row>
    <row r="782" spans="1:19" x14ac:dyDescent="0.3">
      <c r="A782" s="219">
        <f t="shared" si="96"/>
        <v>0.42222222222220052</v>
      </c>
      <c r="B782" s="24" t="s">
        <v>0</v>
      </c>
      <c r="C782" s="90">
        <f t="shared" si="99"/>
        <v>43857</v>
      </c>
      <c r="D782" s="90" t="s">
        <v>240</v>
      </c>
      <c r="E782" s="26">
        <v>0.38194444444444442</v>
      </c>
      <c r="F782" s="26">
        <v>0.75694444444444453</v>
      </c>
      <c r="G782" s="27">
        <v>2</v>
      </c>
      <c r="H782" s="24">
        <v>1</v>
      </c>
      <c r="I782" s="134" t="str">
        <f t="shared" si="98"/>
        <v/>
      </c>
      <c r="J782" s="163">
        <f t="shared" si="100"/>
        <v>1.3888888888889395E-3</v>
      </c>
      <c r="K782" s="38"/>
      <c r="L782" s="38"/>
      <c r="M782" s="164"/>
      <c r="N782" s="79"/>
      <c r="O782" s="159" t="str">
        <f t="shared" si="94"/>
        <v/>
      </c>
      <c r="Q782" s="157">
        <f>(SUM(E$2:E$21)+SUM(E$25:E$154)+SUM(E$156:E782))/(COUNTA(E$2:E782)-4)</f>
        <v>0.38077229299363452</v>
      </c>
      <c r="R782" s="158">
        <f>(SUM(H$2:H782)*E$1+A782)/SUM(H$2:H782)</f>
        <v>0.34651709401709402</v>
      </c>
      <c r="S782" s="63"/>
    </row>
    <row r="783" spans="1:19" x14ac:dyDescent="0.3">
      <c r="A783" s="220">
        <f t="shared" si="96"/>
        <v>0.43749999999997835</v>
      </c>
      <c r="B783" s="28" t="s">
        <v>1</v>
      </c>
      <c r="C783" s="88">
        <f>C778+7</f>
        <v>43858</v>
      </c>
      <c r="D783" s="88" t="s">
        <v>241</v>
      </c>
      <c r="E783" s="30">
        <v>0.38194444444444442</v>
      </c>
      <c r="F783" s="30">
        <v>0.75694444444444453</v>
      </c>
      <c r="G783" s="31">
        <v>1</v>
      </c>
      <c r="H783" s="32">
        <v>1</v>
      </c>
      <c r="I783" s="135" t="str">
        <f t="shared" si="98"/>
        <v/>
      </c>
      <c r="J783" s="155">
        <f t="shared" si="100"/>
        <v>1.5277777777777835E-2</v>
      </c>
      <c r="K783" s="39"/>
      <c r="L783" s="39"/>
      <c r="M783" s="156"/>
      <c r="N783" s="79"/>
      <c r="O783" s="159" t="str">
        <f>IF(P783&lt;0,-P783,"")</f>
        <v/>
      </c>
      <c r="Q783" s="157">
        <f>(SUM(E$2:E$21)+SUM(E$25:E$154)+SUM(E$156:E783))/(COUNTA(E$2:E783)-4)</f>
        <v>0.38077415650945456</v>
      </c>
      <c r="R783" s="158">
        <f>(SUM(H$2:H783)*E$1+A783)/SUM(H$2:H783)</f>
        <v>0.34654068984101322</v>
      </c>
      <c r="S783" s="64"/>
    </row>
    <row r="784" spans="1:19" x14ac:dyDescent="0.3">
      <c r="A784" s="220">
        <f t="shared" si="96"/>
        <v>0.4249999999999784</v>
      </c>
      <c r="B784" s="28" t="s">
        <v>2</v>
      </c>
      <c r="C784" s="88">
        <f>C779+7</f>
        <v>43859</v>
      </c>
      <c r="D784" s="88" t="s">
        <v>242</v>
      </c>
      <c r="E784" s="30">
        <v>0.38194444444444442</v>
      </c>
      <c r="F784" s="30">
        <v>0.75694444444444453</v>
      </c>
      <c r="G784" s="31">
        <v>3</v>
      </c>
      <c r="H784" s="32">
        <v>1</v>
      </c>
      <c r="I784" s="135">
        <f t="shared" si="98"/>
        <v>1.2499999999999956E-2</v>
      </c>
      <c r="J784" s="155">
        <f t="shared" si="100"/>
        <v>-1.2499999999999956E-2</v>
      </c>
      <c r="K784" s="39"/>
      <c r="L784" s="39"/>
      <c r="M784" s="156"/>
      <c r="N784" s="79"/>
      <c r="O784" s="159" t="str">
        <f>IF(P784&lt;0,-P784,"")</f>
        <v/>
      </c>
      <c r="Q784" s="157">
        <f>(SUM(E$2:E$21)+SUM(E$25:E$154)+SUM(E$156:E784))/(COUNTA(E$2:E784)-4)</f>
        <v>0.38077601410935141</v>
      </c>
      <c r="R784" s="158">
        <f>(SUM(H$2:H784)*E$1+A784)/SUM(H$2:H784)</f>
        <v>0.34651937046004844</v>
      </c>
      <c r="S784" s="64"/>
    </row>
    <row r="785" spans="1:19" x14ac:dyDescent="0.3">
      <c r="A785" s="220">
        <f t="shared" si="96"/>
        <v>0.44027777777775623</v>
      </c>
      <c r="B785" s="28" t="s">
        <v>3</v>
      </c>
      <c r="C785" s="88">
        <f>C780+7</f>
        <v>43860</v>
      </c>
      <c r="D785" s="88" t="s">
        <v>355</v>
      </c>
      <c r="E785" s="30">
        <v>0.38194444444444442</v>
      </c>
      <c r="F785" s="30">
        <v>0.75694444444444453</v>
      </c>
      <c r="G785" s="31">
        <v>1</v>
      </c>
      <c r="H785" s="32">
        <v>1</v>
      </c>
      <c r="I785" s="135" t="str">
        <f t="shared" si="98"/>
        <v/>
      </c>
      <c r="J785" s="155">
        <f t="shared" si="100"/>
        <v>1.5277777777777835E-2</v>
      </c>
      <c r="K785" s="39"/>
      <c r="L785" s="39"/>
      <c r="M785" s="156"/>
      <c r="N785" s="79"/>
      <c r="O785" s="159" t="str">
        <f>IF(P785&lt;0,-P785,"")</f>
        <v/>
      </c>
      <c r="Q785" s="157">
        <f>(SUM(E$2:E$21)+SUM(E$25:E$154)+SUM(E$156:E785))/(COUNTA(E$2:E785)-4)</f>
        <v>0.3807778658214514</v>
      </c>
      <c r="R785" s="158">
        <f>(SUM(H$2:H785)*E$1+A785)/SUM(H$2:H785)</f>
        <v>0.34654288656101712</v>
      </c>
      <c r="S785" s="64"/>
    </row>
    <row r="786" spans="1:19" x14ac:dyDescent="0.3">
      <c r="A786" s="221">
        <f t="shared" si="96"/>
        <v>0.379166666666645</v>
      </c>
      <c r="B786" s="19" t="s">
        <v>4</v>
      </c>
      <c r="C786" s="89">
        <f>C781+7</f>
        <v>43861</v>
      </c>
      <c r="D786" s="89" t="s">
        <v>356</v>
      </c>
      <c r="E786" s="21">
        <v>0.38194444444444442</v>
      </c>
      <c r="F786" s="21">
        <v>0.68055555555555547</v>
      </c>
      <c r="G786" s="22">
        <v>0</v>
      </c>
      <c r="H786" s="23">
        <v>1</v>
      </c>
      <c r="I786" s="136">
        <f>IF(J786&lt;0,-J786,"")</f>
        <v>6.1111111111111227E-2</v>
      </c>
      <c r="J786" s="160">
        <f t="shared" si="100"/>
        <v>-6.1111111111111227E-2</v>
      </c>
      <c r="K786" s="37"/>
      <c r="L786" s="37"/>
      <c r="M786" s="161"/>
      <c r="N786" s="79">
        <f>SUM(H767:H786)</f>
        <v>20</v>
      </c>
      <c r="O786" s="159">
        <f>IF(P786&lt;0,-P786,"")</f>
        <v>4.1666666666666574E-2</v>
      </c>
      <c r="P786" s="162">
        <f>A786-A781</f>
        <v>-4.1666666666666574E-2</v>
      </c>
      <c r="Q786" s="157">
        <f>(SUM(E$2:E$21)+SUM(E$25:E$154)+SUM(E$156:E786))/(COUNTA(E$2:E786)-4)</f>
        <v>0.380779711673703</v>
      </c>
      <c r="R786" s="158">
        <f>(SUM(H$2:H786)*E$1+A786)/SUM(H$2:H786)</f>
        <v>0.34644341646554033</v>
      </c>
      <c r="S786" s="57">
        <f>IF(COUNTA(M782:M786)=0,0,SUM(M782:M786)/COUNTA(M782:M786))</f>
        <v>0</v>
      </c>
    </row>
    <row r="790" spans="1:19" x14ac:dyDescent="0.3">
      <c r="P790" s="137"/>
    </row>
    <row r="795" spans="1:19" x14ac:dyDescent="0.3">
      <c r="P795" s="137"/>
    </row>
    <row r="800" spans="1:19" x14ac:dyDescent="0.3">
      <c r="P800" s="137"/>
    </row>
  </sheetData>
  <conditionalFormatting sqref="P1:P1048576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F541"/>
  <sheetViews>
    <sheetView topLeftCell="A483" workbookViewId="0">
      <selection activeCell="H531" sqref="H531"/>
    </sheetView>
  </sheetViews>
  <sheetFormatPr baseColWidth="10" defaultRowHeight="14.4" x14ac:dyDescent="0.3"/>
  <cols>
    <col min="1" max="1" width="8" style="79" bestFit="1" customWidth="1"/>
    <col min="2" max="4" width="4" style="80" bestFit="1" customWidth="1"/>
    <col min="5" max="6" width="4" style="33" bestFit="1" customWidth="1"/>
  </cols>
  <sheetData>
    <row r="1" spans="1:6" x14ac:dyDescent="0.3">
      <c r="A1" s="80"/>
      <c r="B1" s="80" t="s">
        <v>7</v>
      </c>
      <c r="C1" s="80" t="s">
        <v>6</v>
      </c>
    </row>
    <row r="2" spans="1:6" hidden="1" x14ac:dyDescent="0.3">
      <c r="A2" s="25">
        <v>42765</v>
      </c>
      <c r="B2" s="38">
        <f>IF(Horo!K2&lt;&gt;"",Horo!K2,"")</f>
        <v>118</v>
      </c>
      <c r="C2" s="38">
        <f>IF(Horo!L2&lt;&gt;"",Horo!L2,"")</f>
        <v>112</v>
      </c>
      <c r="D2" s="80">
        <f>MIN(B$2:C2)</f>
        <v>112</v>
      </c>
      <c r="E2" s="33">
        <f>MAX(B$2:C2)</f>
        <v>118</v>
      </c>
      <c r="F2" s="33">
        <f>(D2+E2)/2</f>
        <v>115</v>
      </c>
    </row>
    <row r="3" spans="1:6" hidden="1" x14ac:dyDescent="0.3">
      <c r="A3" s="29">
        <v>42766</v>
      </c>
      <c r="B3" s="39" t="str">
        <f>IF(Horo!K3&lt;&gt;"",Horo!K3,"")</f>
        <v/>
      </c>
      <c r="C3" s="39">
        <f>IF(Horo!L3&lt;&gt;"",Horo!L3,"")</f>
        <v>106</v>
      </c>
      <c r="D3" s="80">
        <f>MIN(B$2:C3)</f>
        <v>106</v>
      </c>
      <c r="E3" s="33">
        <f>MAX(B$2:C3)</f>
        <v>118</v>
      </c>
      <c r="F3" s="33">
        <f t="shared" ref="F3:F66" si="0">(D3+E3)/2</f>
        <v>112</v>
      </c>
    </row>
    <row r="4" spans="1:6" hidden="1" x14ac:dyDescent="0.3">
      <c r="A4" s="29">
        <v>42767</v>
      </c>
      <c r="B4" s="39" t="str">
        <f>IF(Horo!K4&lt;&gt;"",Horo!K4,"")</f>
        <v/>
      </c>
      <c r="C4" s="39">
        <f>IF(Horo!L4&lt;&gt;"",Horo!L4,"")</f>
        <v>106</v>
      </c>
      <c r="D4" s="80">
        <f>MIN(B$2:C4)</f>
        <v>106</v>
      </c>
      <c r="E4" s="33">
        <f>MAX(B$2:C4)</f>
        <v>118</v>
      </c>
      <c r="F4" s="33">
        <f t="shared" si="0"/>
        <v>112</v>
      </c>
    </row>
    <row r="5" spans="1:6" hidden="1" x14ac:dyDescent="0.3">
      <c r="A5" s="29">
        <v>42768</v>
      </c>
      <c r="B5" s="39" t="str">
        <f>IF(Horo!K5&lt;&gt;"",Horo!K5,"")</f>
        <v/>
      </c>
      <c r="C5" s="39">
        <f>IF(Horo!L5&lt;&gt;"",Horo!L5,"")</f>
        <v>112</v>
      </c>
      <c r="D5" s="80">
        <f>MIN(B$2:C5)</f>
        <v>106</v>
      </c>
      <c r="E5" s="33">
        <f>MAX(B$2:C5)</f>
        <v>118</v>
      </c>
      <c r="F5" s="33">
        <f t="shared" si="0"/>
        <v>112</v>
      </c>
    </row>
    <row r="6" spans="1:6" hidden="1" x14ac:dyDescent="0.3">
      <c r="A6" s="20">
        <v>42769</v>
      </c>
      <c r="B6" s="37" t="str">
        <f>IF(Horo!K6&lt;&gt;"",Horo!K6,"")</f>
        <v/>
      </c>
      <c r="C6" s="37">
        <f>IF(Horo!L6&lt;&gt;"",Horo!L6,"")</f>
        <v>112</v>
      </c>
      <c r="D6" s="80">
        <f>MIN(B$2:C6)</f>
        <v>106</v>
      </c>
      <c r="E6" s="33">
        <f>MAX(B$2:C6)</f>
        <v>118</v>
      </c>
      <c r="F6" s="33">
        <f t="shared" si="0"/>
        <v>112</v>
      </c>
    </row>
    <row r="7" spans="1:6" hidden="1" x14ac:dyDescent="0.3">
      <c r="A7" s="25">
        <v>42772</v>
      </c>
      <c r="B7" s="38" t="str">
        <f>IF(Horo!K7&lt;&gt;"",Horo!K7,"")</f>
        <v/>
      </c>
      <c r="C7" s="38">
        <f>IF(Horo!L7&lt;&gt;"",Horo!L7,"")</f>
        <v>109</v>
      </c>
      <c r="D7" s="80">
        <f>MIN(B$2:C7)</f>
        <v>106</v>
      </c>
      <c r="E7" s="33">
        <f>MAX(B$2:C7)</f>
        <v>118</v>
      </c>
      <c r="F7" s="33">
        <f t="shared" si="0"/>
        <v>112</v>
      </c>
    </row>
    <row r="8" spans="1:6" hidden="1" x14ac:dyDescent="0.3">
      <c r="A8" s="29">
        <v>42773</v>
      </c>
      <c r="B8" s="39" t="str">
        <f>IF(Horo!K8&lt;&gt;"",Horo!K8,"")</f>
        <v/>
      </c>
      <c r="C8" s="39">
        <f>IF(Horo!L8&lt;&gt;"",Horo!L8,"")</f>
        <v>107</v>
      </c>
      <c r="D8" s="80">
        <f>MIN(B$2:C8)</f>
        <v>106</v>
      </c>
      <c r="E8" s="33">
        <f>MAX(B$2:C8)</f>
        <v>118</v>
      </c>
      <c r="F8" s="33">
        <f t="shared" si="0"/>
        <v>112</v>
      </c>
    </row>
    <row r="9" spans="1:6" hidden="1" x14ac:dyDescent="0.3">
      <c r="A9" s="29">
        <v>42774</v>
      </c>
      <c r="B9" s="39" t="str">
        <f>IF(Horo!K9&lt;&gt;"",Horo!K9,"")</f>
        <v/>
      </c>
      <c r="C9" s="39" t="str">
        <f>IF(Horo!L9&lt;&gt;"",Horo!L9,"")</f>
        <v/>
      </c>
      <c r="D9" s="80">
        <f t="shared" ref="D9:D11" si="1">MIN(B2:C12)</f>
        <v>106</v>
      </c>
      <c r="E9" s="33">
        <f t="shared" ref="E9:E73" si="2">MAX(B2:C12)</f>
        <v>123</v>
      </c>
      <c r="F9" s="33">
        <f t="shared" si="0"/>
        <v>114.5</v>
      </c>
    </row>
    <row r="10" spans="1:6" hidden="1" x14ac:dyDescent="0.3">
      <c r="A10" s="29">
        <v>42775</v>
      </c>
      <c r="B10" s="39" t="str">
        <f>IF(Horo!K10&lt;&gt;"",Horo!K10,"")</f>
        <v/>
      </c>
      <c r="C10" s="39">
        <f>IF(Horo!L10&lt;&gt;"",Horo!L10,"")</f>
        <v>115</v>
      </c>
      <c r="D10" s="80">
        <f t="shared" si="1"/>
        <v>106</v>
      </c>
      <c r="E10" s="33">
        <f t="shared" si="2"/>
        <v>123</v>
      </c>
      <c r="F10" s="33">
        <f t="shared" si="0"/>
        <v>114.5</v>
      </c>
    </row>
    <row r="11" spans="1:6" hidden="1" x14ac:dyDescent="0.3">
      <c r="A11" s="20">
        <v>42776</v>
      </c>
      <c r="B11" s="37">
        <f>IF(Horo!K11&lt;&gt;"",Horo!K11,"")</f>
        <v>115</v>
      </c>
      <c r="C11" s="37">
        <f>IF(Horo!L11&lt;&gt;"",Horo!L11,"")</f>
        <v>112</v>
      </c>
      <c r="D11" s="80">
        <f t="shared" si="1"/>
        <v>106</v>
      </c>
      <c r="E11" s="33">
        <f t="shared" si="2"/>
        <v>123</v>
      </c>
      <c r="F11" s="33">
        <f t="shared" si="0"/>
        <v>114.5</v>
      </c>
    </row>
    <row r="12" spans="1:6" hidden="1" x14ac:dyDescent="0.3">
      <c r="A12" s="25">
        <v>42779</v>
      </c>
      <c r="B12" s="38">
        <f>IF(Horo!K12&lt;&gt;"",Horo!K12,"")</f>
        <v>123</v>
      </c>
      <c r="C12" s="38">
        <f>IF(Horo!L12&lt;&gt;"",Horo!L12,"")</f>
        <v>118</v>
      </c>
      <c r="D12" s="80">
        <f t="shared" ref="D12:D66" si="3">MIN(B5:C15)</f>
        <v>104</v>
      </c>
      <c r="E12" s="33">
        <f t="shared" si="2"/>
        <v>123</v>
      </c>
      <c r="F12" s="33">
        <f t="shared" si="0"/>
        <v>113.5</v>
      </c>
    </row>
    <row r="13" spans="1:6" hidden="1" x14ac:dyDescent="0.3">
      <c r="A13" s="29">
        <v>42780</v>
      </c>
      <c r="B13" s="39">
        <f>IF(Horo!K13&lt;&gt;"",Horo!K13,"")</f>
        <v>118</v>
      </c>
      <c r="C13" s="39" t="str">
        <f>IF(Horo!L13&lt;&gt;"",Horo!L13,"")</f>
        <v/>
      </c>
      <c r="D13" s="80">
        <f t="shared" si="3"/>
        <v>104</v>
      </c>
      <c r="E13" s="33">
        <f t="shared" si="2"/>
        <v>123</v>
      </c>
      <c r="F13" s="33">
        <f t="shared" si="0"/>
        <v>113.5</v>
      </c>
    </row>
    <row r="14" spans="1:6" hidden="1" x14ac:dyDescent="0.3">
      <c r="A14" s="29">
        <v>42781</v>
      </c>
      <c r="B14" s="39">
        <f>IF(Horo!K14&lt;&gt;"",Horo!K14,"")</f>
        <v>112</v>
      </c>
      <c r="C14" s="39">
        <f>IF(Horo!L14&lt;&gt;"",Horo!L14,"")</f>
        <v>112</v>
      </c>
      <c r="D14" s="80">
        <f t="shared" si="3"/>
        <v>104</v>
      </c>
      <c r="E14" s="33">
        <f t="shared" si="2"/>
        <v>123</v>
      </c>
      <c r="F14" s="33">
        <f t="shared" si="0"/>
        <v>113.5</v>
      </c>
    </row>
    <row r="15" spans="1:6" hidden="1" x14ac:dyDescent="0.3">
      <c r="A15" s="29">
        <v>42782</v>
      </c>
      <c r="B15" s="39" t="str">
        <f>IF(Horo!K15&lt;&gt;"",Horo!K15,"")</f>
        <v/>
      </c>
      <c r="C15" s="39">
        <f>IF(Horo!L15&lt;&gt;"",Horo!L15,"")</f>
        <v>104</v>
      </c>
      <c r="D15" s="80">
        <f t="shared" si="3"/>
        <v>104</v>
      </c>
      <c r="E15" s="33">
        <f t="shared" si="2"/>
        <v>123</v>
      </c>
      <c r="F15" s="33">
        <f t="shared" si="0"/>
        <v>113.5</v>
      </c>
    </row>
    <row r="16" spans="1:6" hidden="1" x14ac:dyDescent="0.3">
      <c r="A16" s="20">
        <v>42783</v>
      </c>
      <c r="B16" s="37" t="str">
        <f>IF(Horo!K16&lt;&gt;"",Horo!K16,"")</f>
        <v/>
      </c>
      <c r="C16" s="37">
        <f>IF(Horo!L16&lt;&gt;"",Horo!L16,"")</f>
        <v>119</v>
      </c>
      <c r="D16" s="80">
        <f t="shared" si="3"/>
        <v>103</v>
      </c>
      <c r="E16" s="33">
        <f t="shared" si="2"/>
        <v>123</v>
      </c>
      <c r="F16" s="33">
        <f t="shared" si="0"/>
        <v>113</v>
      </c>
    </row>
    <row r="17" spans="1:6" hidden="1" x14ac:dyDescent="0.3">
      <c r="A17" s="25">
        <v>42786</v>
      </c>
      <c r="B17" s="38" t="str">
        <f>IF(Horo!K17&lt;&gt;"",Horo!K17,"")</f>
        <v/>
      </c>
      <c r="C17" s="38">
        <f>IF(Horo!L17&lt;&gt;"",Horo!L17,"")</f>
        <v>105</v>
      </c>
      <c r="D17" s="80">
        <f t="shared" si="3"/>
        <v>96</v>
      </c>
      <c r="E17" s="33">
        <f t="shared" si="2"/>
        <v>123</v>
      </c>
      <c r="F17" s="33">
        <f t="shared" si="0"/>
        <v>109.5</v>
      </c>
    </row>
    <row r="18" spans="1:6" hidden="1" x14ac:dyDescent="0.3">
      <c r="A18" s="29">
        <v>42787</v>
      </c>
      <c r="B18" s="39">
        <f>IF(Horo!K18&lt;&gt;"",Horo!K18,"")</f>
        <v>105</v>
      </c>
      <c r="C18" s="39">
        <f>IF(Horo!L18&lt;&gt;"",Horo!L18,"")</f>
        <v>105</v>
      </c>
      <c r="D18" s="80">
        <f t="shared" si="3"/>
        <v>96</v>
      </c>
      <c r="E18" s="33">
        <f t="shared" si="2"/>
        <v>123</v>
      </c>
      <c r="F18" s="33">
        <f t="shared" si="0"/>
        <v>109.5</v>
      </c>
    </row>
    <row r="19" spans="1:6" hidden="1" x14ac:dyDescent="0.3">
      <c r="A19" s="29">
        <v>42788</v>
      </c>
      <c r="B19" s="39">
        <f>IF(Horo!K19&lt;&gt;"",Horo!K19,"")</f>
        <v>103</v>
      </c>
      <c r="C19" s="39">
        <f>IF(Horo!L19&lt;&gt;"",Horo!L19,"")</f>
        <v>103</v>
      </c>
      <c r="D19" s="80">
        <f t="shared" si="3"/>
        <v>94</v>
      </c>
      <c r="E19" s="33">
        <f t="shared" si="2"/>
        <v>123</v>
      </c>
      <c r="F19" s="33">
        <f t="shared" si="0"/>
        <v>108.5</v>
      </c>
    </row>
    <row r="20" spans="1:6" hidden="1" x14ac:dyDescent="0.3">
      <c r="A20" s="29">
        <v>42789</v>
      </c>
      <c r="B20" s="39">
        <f>IF(Horo!K20&lt;&gt;"",Horo!K20,"")</f>
        <v>96</v>
      </c>
      <c r="C20" s="39" t="str">
        <f>IF(Horo!L20&lt;&gt;"",Horo!L20,"")</f>
        <v/>
      </c>
      <c r="D20" s="80">
        <f t="shared" si="3"/>
        <v>94</v>
      </c>
      <c r="E20" s="33">
        <f t="shared" si="2"/>
        <v>119</v>
      </c>
      <c r="F20" s="33">
        <f t="shared" si="0"/>
        <v>106.5</v>
      </c>
    </row>
    <row r="21" spans="1:6" hidden="1" x14ac:dyDescent="0.3">
      <c r="A21" s="81">
        <v>42790</v>
      </c>
      <c r="B21" s="37" t="str">
        <f>IF(Horo!K21&lt;&gt;"",Horo!K21,"")</f>
        <v/>
      </c>
      <c r="C21" s="37" t="str">
        <f>IF(Horo!L21&lt;&gt;"",Horo!L21,"")</f>
        <v/>
      </c>
      <c r="D21" s="80">
        <f t="shared" si="3"/>
        <v>94</v>
      </c>
      <c r="E21" s="33">
        <f t="shared" si="2"/>
        <v>119</v>
      </c>
      <c r="F21" s="33">
        <f t="shared" si="0"/>
        <v>106.5</v>
      </c>
    </row>
    <row r="22" spans="1:6" hidden="1" x14ac:dyDescent="0.3">
      <c r="A22" s="59">
        <v>42793</v>
      </c>
      <c r="B22" s="38" t="str">
        <f>IF(Horo!K22&lt;&gt;"",Horo!K22,"")</f>
        <v/>
      </c>
      <c r="C22" s="38">
        <f>IF(Horo!L22&lt;&gt;"",Horo!L22,"")</f>
        <v>94</v>
      </c>
      <c r="D22" s="80">
        <f t="shared" si="3"/>
        <v>90</v>
      </c>
      <c r="E22" s="33">
        <f t="shared" si="2"/>
        <v>119</v>
      </c>
      <c r="F22" s="33">
        <f t="shared" si="0"/>
        <v>104.5</v>
      </c>
    </row>
    <row r="23" spans="1:6" hidden="1" x14ac:dyDescent="0.3">
      <c r="A23" s="60">
        <v>42794</v>
      </c>
      <c r="B23" s="39" t="str">
        <f>IF(Horo!K23&lt;&gt;"",Horo!K23,"")</f>
        <v/>
      </c>
      <c r="C23" s="39" t="str">
        <f>IF(Horo!L23&lt;&gt;"",Horo!L23,"")</f>
        <v/>
      </c>
      <c r="D23" s="80">
        <f t="shared" si="3"/>
        <v>90</v>
      </c>
      <c r="E23" s="33">
        <f t="shared" si="2"/>
        <v>119</v>
      </c>
      <c r="F23" s="33">
        <f t="shared" si="0"/>
        <v>104.5</v>
      </c>
    </row>
    <row r="24" spans="1:6" hidden="1" x14ac:dyDescent="0.3">
      <c r="A24" s="60">
        <v>42795</v>
      </c>
      <c r="B24" s="39" t="str">
        <f>IF(Horo!K24&lt;&gt;"",Horo!K24,"")</f>
        <v/>
      </c>
      <c r="C24" s="39">
        <f>IF(Horo!L24&lt;&gt;"",Horo!L24,"")</f>
        <v>95</v>
      </c>
      <c r="D24" s="80">
        <f t="shared" si="3"/>
        <v>90</v>
      </c>
      <c r="E24" s="33">
        <f t="shared" si="2"/>
        <v>106</v>
      </c>
      <c r="F24" s="33">
        <f t="shared" si="0"/>
        <v>98</v>
      </c>
    </row>
    <row r="25" spans="1:6" hidden="1" x14ac:dyDescent="0.3">
      <c r="A25" s="29">
        <v>42796</v>
      </c>
      <c r="B25" s="39">
        <f>IF(Horo!K25&lt;&gt;"",Horo!K25,"")</f>
        <v>90</v>
      </c>
      <c r="C25" s="39">
        <f>IF(Horo!L25&lt;&gt;"",Horo!L25,"")</f>
        <v>90</v>
      </c>
      <c r="D25" s="80">
        <f t="shared" si="3"/>
        <v>90</v>
      </c>
      <c r="E25" s="33">
        <f t="shared" si="2"/>
        <v>106</v>
      </c>
      <c r="F25" s="33">
        <f t="shared" si="0"/>
        <v>98</v>
      </c>
    </row>
    <row r="26" spans="1:6" hidden="1" x14ac:dyDescent="0.3">
      <c r="A26" s="20">
        <v>42797</v>
      </c>
      <c r="B26" s="37">
        <f>IF(Horo!K26&lt;&gt;"",Horo!K26,"")</f>
        <v>90</v>
      </c>
      <c r="C26" s="37">
        <f>IF(Horo!L26&lt;&gt;"",Horo!L26,"")</f>
        <v>92</v>
      </c>
      <c r="D26" s="80">
        <f t="shared" si="3"/>
        <v>90</v>
      </c>
      <c r="E26" s="33">
        <f t="shared" si="2"/>
        <v>106</v>
      </c>
      <c r="F26" s="33">
        <f t="shared" si="0"/>
        <v>98</v>
      </c>
    </row>
    <row r="27" spans="1:6" hidden="1" x14ac:dyDescent="0.3">
      <c r="A27" s="25">
        <v>42800</v>
      </c>
      <c r="B27" s="38">
        <f>IF(Horo!K27&lt;&gt;"",Horo!K27,"")</f>
        <v>106</v>
      </c>
      <c r="C27" s="38">
        <f>IF(Horo!L27&lt;&gt;"",Horo!L27,"")</f>
        <v>102</v>
      </c>
      <c r="D27" s="80">
        <f t="shared" si="3"/>
        <v>74</v>
      </c>
      <c r="E27" s="33">
        <f t="shared" si="2"/>
        <v>106</v>
      </c>
      <c r="F27" s="33">
        <f t="shared" si="0"/>
        <v>90</v>
      </c>
    </row>
    <row r="28" spans="1:6" hidden="1" x14ac:dyDescent="0.3">
      <c r="A28" s="29">
        <v>42801</v>
      </c>
      <c r="B28" s="39">
        <f>IF(Horo!K28&lt;&gt;"",Horo!K28,"")</f>
        <v>93</v>
      </c>
      <c r="C28" s="39">
        <f>IF(Horo!L28&lt;&gt;"",Horo!L28,"")</f>
        <v>93</v>
      </c>
      <c r="D28" s="80">
        <f t="shared" si="3"/>
        <v>74</v>
      </c>
      <c r="E28" s="33">
        <f t="shared" si="2"/>
        <v>106</v>
      </c>
      <c r="F28" s="33">
        <f t="shared" si="0"/>
        <v>90</v>
      </c>
    </row>
    <row r="29" spans="1:6" hidden="1" x14ac:dyDescent="0.3">
      <c r="A29" s="29">
        <v>42802</v>
      </c>
      <c r="B29" s="39">
        <f>IF(Horo!K29&lt;&gt;"",Horo!K29,"")</f>
        <v>93</v>
      </c>
      <c r="C29" s="39">
        <f>IF(Horo!L29&lt;&gt;"",Horo!L29,"")</f>
        <v>97</v>
      </c>
      <c r="D29" s="80">
        <f t="shared" si="3"/>
        <v>74</v>
      </c>
      <c r="E29" s="33">
        <f t="shared" si="2"/>
        <v>106</v>
      </c>
      <c r="F29" s="33">
        <f t="shared" si="0"/>
        <v>90</v>
      </c>
    </row>
    <row r="30" spans="1:6" hidden="1" x14ac:dyDescent="0.3">
      <c r="A30" s="29">
        <v>42803</v>
      </c>
      <c r="B30" s="39" t="str">
        <f>IF(Horo!K30&lt;&gt;"",Horo!K30,"")</f>
        <v/>
      </c>
      <c r="C30" s="39">
        <f>IF(Horo!L30&lt;&gt;"",Horo!L30,"")</f>
        <v>74</v>
      </c>
      <c r="D30" s="80">
        <f t="shared" si="3"/>
        <v>74</v>
      </c>
      <c r="E30" s="33">
        <f t="shared" si="2"/>
        <v>106</v>
      </c>
      <c r="F30" s="33">
        <f t="shared" si="0"/>
        <v>90</v>
      </c>
    </row>
    <row r="31" spans="1:6" hidden="1" x14ac:dyDescent="0.3">
      <c r="A31" s="20">
        <v>42804</v>
      </c>
      <c r="B31" s="37">
        <f>IF(Horo!K31&lt;&gt;"",Horo!K31,"")</f>
        <v>86</v>
      </c>
      <c r="C31" s="37">
        <f>IF(Horo!L31&lt;&gt;"",Horo!L31,"")</f>
        <v>85</v>
      </c>
      <c r="D31" s="80">
        <f t="shared" si="3"/>
        <v>74</v>
      </c>
      <c r="E31" s="33">
        <f t="shared" si="2"/>
        <v>106</v>
      </c>
      <c r="F31" s="33">
        <f t="shared" si="0"/>
        <v>90</v>
      </c>
    </row>
    <row r="32" spans="1:6" hidden="1" x14ac:dyDescent="0.3">
      <c r="A32" s="25">
        <v>42807</v>
      </c>
      <c r="B32" s="38">
        <f>IF(Horo!K32&lt;&gt;"",Horo!K32,"")</f>
        <v>94</v>
      </c>
      <c r="C32" s="38">
        <f>IF(Horo!L32&lt;&gt;"",Horo!L32,"")</f>
        <v>94</v>
      </c>
      <c r="D32" s="80">
        <f t="shared" si="3"/>
        <v>74</v>
      </c>
      <c r="E32" s="33">
        <f t="shared" si="2"/>
        <v>106</v>
      </c>
      <c r="F32" s="33">
        <f t="shared" si="0"/>
        <v>90</v>
      </c>
    </row>
    <row r="33" spans="1:6" hidden="1" x14ac:dyDescent="0.3">
      <c r="A33" s="29">
        <v>42808</v>
      </c>
      <c r="B33" s="39">
        <f>IF(Horo!K33&lt;&gt;"",Horo!K33,"")</f>
        <v>89</v>
      </c>
      <c r="C33" s="39" t="str">
        <f>IF(Horo!L33&lt;&gt;"",Horo!L33,"")</f>
        <v/>
      </c>
      <c r="D33" s="80">
        <f t="shared" si="3"/>
        <v>74</v>
      </c>
      <c r="E33" s="33">
        <f t="shared" si="2"/>
        <v>106</v>
      </c>
      <c r="F33" s="33">
        <f t="shared" si="0"/>
        <v>90</v>
      </c>
    </row>
    <row r="34" spans="1:6" hidden="1" x14ac:dyDescent="0.3">
      <c r="A34" s="29">
        <v>42809</v>
      </c>
      <c r="B34" s="39">
        <f>IF(Horo!K34&lt;&gt;"",Horo!K34,"")</f>
        <v>92</v>
      </c>
      <c r="C34" s="39">
        <f>IF(Horo!L34&lt;&gt;"",Horo!L34,"")</f>
        <v>83</v>
      </c>
      <c r="D34" s="80">
        <f t="shared" si="3"/>
        <v>74</v>
      </c>
      <c r="E34" s="33">
        <f t="shared" si="2"/>
        <v>106</v>
      </c>
      <c r="F34" s="33">
        <f t="shared" si="0"/>
        <v>90</v>
      </c>
    </row>
    <row r="35" spans="1:6" hidden="1" x14ac:dyDescent="0.3">
      <c r="A35" s="29">
        <v>42810</v>
      </c>
      <c r="B35" s="39">
        <f>IF(Horo!K35&lt;&gt;"",Horo!K35,"")</f>
        <v>83</v>
      </c>
      <c r="C35" s="39">
        <f>IF(Horo!L35&lt;&gt;"",Horo!L35,"")</f>
        <v>83</v>
      </c>
      <c r="D35" s="80">
        <f t="shared" si="3"/>
        <v>74</v>
      </c>
      <c r="E35" s="33">
        <f t="shared" si="2"/>
        <v>97</v>
      </c>
      <c r="F35" s="33">
        <f t="shared" si="0"/>
        <v>85.5</v>
      </c>
    </row>
    <row r="36" spans="1:6" hidden="1" x14ac:dyDescent="0.3">
      <c r="A36" s="20">
        <v>42811</v>
      </c>
      <c r="B36" s="37" t="str">
        <f>IF(Horo!K36&lt;&gt;"",Horo!K36,"")</f>
        <v/>
      </c>
      <c r="C36" s="37">
        <f>IF(Horo!L36&lt;&gt;"",Horo!L36,"")</f>
        <v>79</v>
      </c>
      <c r="D36" s="80">
        <f t="shared" si="3"/>
        <v>74</v>
      </c>
      <c r="E36" s="33">
        <f t="shared" si="2"/>
        <v>97</v>
      </c>
      <c r="F36" s="33">
        <f t="shared" si="0"/>
        <v>85.5</v>
      </c>
    </row>
    <row r="37" spans="1:6" hidden="1" x14ac:dyDescent="0.3">
      <c r="A37" s="25">
        <v>42814</v>
      </c>
      <c r="B37" s="38">
        <f>IF(Horo!K37&lt;&gt;"",Horo!K37,"")</f>
        <v>90</v>
      </c>
      <c r="C37" s="38">
        <f>IF(Horo!L37&lt;&gt;"",Horo!L37,"")</f>
        <v>80</v>
      </c>
      <c r="D37" s="80">
        <f t="shared" si="3"/>
        <v>74</v>
      </c>
      <c r="E37" s="33">
        <f t="shared" si="2"/>
        <v>94</v>
      </c>
      <c r="F37" s="33">
        <f t="shared" si="0"/>
        <v>84</v>
      </c>
    </row>
    <row r="38" spans="1:6" hidden="1" x14ac:dyDescent="0.3">
      <c r="A38" s="29">
        <v>42815</v>
      </c>
      <c r="B38" s="39" t="str">
        <f>IF(Horo!K38&lt;&gt;"",Horo!K38,"")</f>
        <v/>
      </c>
      <c r="C38" s="39">
        <f>IF(Horo!L38&lt;&gt;"",Horo!L38,"")</f>
        <v>78</v>
      </c>
      <c r="D38" s="80">
        <f t="shared" si="3"/>
        <v>78</v>
      </c>
      <c r="E38" s="33">
        <f t="shared" si="2"/>
        <v>94</v>
      </c>
      <c r="F38" s="33">
        <f t="shared" si="0"/>
        <v>86</v>
      </c>
    </row>
    <row r="39" spans="1:6" hidden="1" x14ac:dyDescent="0.3">
      <c r="A39" s="29">
        <v>42816</v>
      </c>
      <c r="B39" s="39" t="str">
        <f>IF(Horo!K39&lt;&gt;"",Horo!K39,"")</f>
        <v/>
      </c>
      <c r="C39" s="39" t="str">
        <f>IF(Horo!L39&lt;&gt;"",Horo!L39,"")</f>
        <v/>
      </c>
      <c r="D39" s="80">
        <f t="shared" si="3"/>
        <v>78</v>
      </c>
      <c r="E39" s="33">
        <f t="shared" si="2"/>
        <v>94</v>
      </c>
      <c r="F39" s="33">
        <f t="shared" si="0"/>
        <v>86</v>
      </c>
    </row>
    <row r="40" spans="1:6" hidden="1" x14ac:dyDescent="0.3">
      <c r="A40" s="29">
        <v>42817</v>
      </c>
      <c r="B40" s="39" t="str">
        <f>IF(Horo!K40&lt;&gt;"",Horo!K40,"")</f>
        <v/>
      </c>
      <c r="C40" s="39">
        <f>IF(Horo!L40&lt;&gt;"",Horo!L40,"")</f>
        <v>80</v>
      </c>
      <c r="D40" s="80">
        <f t="shared" si="3"/>
        <v>78</v>
      </c>
      <c r="E40" s="33">
        <f t="shared" si="2"/>
        <v>92</v>
      </c>
      <c r="F40" s="33">
        <f t="shared" si="0"/>
        <v>85</v>
      </c>
    </row>
    <row r="41" spans="1:6" hidden="1" x14ac:dyDescent="0.3">
      <c r="A41" s="20">
        <v>42818</v>
      </c>
      <c r="B41" s="37">
        <f>IF(Horo!K41&lt;&gt;"",Horo!K41,"")</f>
        <v>80</v>
      </c>
      <c r="C41" s="37">
        <f>IF(Horo!L41&lt;&gt;"",Horo!L41,"")</f>
        <v>80</v>
      </c>
      <c r="D41" s="80">
        <f t="shared" si="3"/>
        <v>68</v>
      </c>
      <c r="E41" s="33">
        <f t="shared" si="2"/>
        <v>92</v>
      </c>
      <c r="F41" s="33">
        <f t="shared" si="0"/>
        <v>80</v>
      </c>
    </row>
    <row r="42" spans="1:6" hidden="1" x14ac:dyDescent="0.3">
      <c r="A42" s="25">
        <v>42821</v>
      </c>
      <c r="B42" s="38">
        <f>IF(Horo!K42&lt;&gt;"",Horo!K42,"")</f>
        <v>90</v>
      </c>
      <c r="C42" s="38">
        <f>IF(Horo!L42&lt;&gt;"",Horo!L42,"")</f>
        <v>88</v>
      </c>
      <c r="D42" s="80">
        <f t="shared" si="3"/>
        <v>68</v>
      </c>
      <c r="E42" s="33">
        <f t="shared" si="2"/>
        <v>90</v>
      </c>
      <c r="F42" s="33">
        <f t="shared" si="0"/>
        <v>79</v>
      </c>
    </row>
    <row r="43" spans="1:6" hidden="1" x14ac:dyDescent="0.3">
      <c r="A43" s="29">
        <v>42822</v>
      </c>
      <c r="B43" s="39">
        <f>IF(Horo!K43&lt;&gt;"",Horo!K43,"")</f>
        <v>81</v>
      </c>
      <c r="C43" s="39">
        <f>IF(Horo!L43&lt;&gt;"",Horo!L43,"")</f>
        <v>80</v>
      </c>
      <c r="D43" s="80">
        <f t="shared" si="3"/>
        <v>68</v>
      </c>
      <c r="E43" s="33">
        <f t="shared" si="2"/>
        <v>90</v>
      </c>
      <c r="F43" s="33">
        <f t="shared" si="0"/>
        <v>79</v>
      </c>
    </row>
    <row r="44" spans="1:6" hidden="1" x14ac:dyDescent="0.3">
      <c r="A44" s="29">
        <v>42823</v>
      </c>
      <c r="B44" s="39">
        <f>IF(Horo!K44&lt;&gt;"",Horo!K44,"")</f>
        <v>74</v>
      </c>
      <c r="C44" s="39">
        <f>IF(Horo!L44&lt;&gt;"",Horo!L44,"")</f>
        <v>68</v>
      </c>
      <c r="D44" s="80">
        <f t="shared" si="3"/>
        <v>52</v>
      </c>
      <c r="E44" s="33">
        <f t="shared" si="2"/>
        <v>90</v>
      </c>
      <c r="F44" s="33">
        <f t="shared" si="0"/>
        <v>71</v>
      </c>
    </row>
    <row r="45" spans="1:6" hidden="1" x14ac:dyDescent="0.3">
      <c r="A45" s="29">
        <v>42824</v>
      </c>
      <c r="B45" s="39" t="str">
        <f>IF(Horo!K45&lt;&gt;"",Horo!K45,"")</f>
        <v/>
      </c>
      <c r="C45" s="39">
        <f>IF(Horo!L45&lt;&gt;"",Horo!L45,"")</f>
        <v>73</v>
      </c>
      <c r="D45" s="80">
        <f t="shared" si="3"/>
        <v>52</v>
      </c>
      <c r="E45" s="33">
        <f t="shared" si="2"/>
        <v>90</v>
      </c>
      <c r="F45" s="33">
        <f t="shared" si="0"/>
        <v>71</v>
      </c>
    </row>
    <row r="46" spans="1:6" hidden="1" x14ac:dyDescent="0.3">
      <c r="A46" s="20">
        <v>42825</v>
      </c>
      <c r="B46" s="37" t="str">
        <f>IF(Horo!K46&lt;&gt;"",Horo!K46,"")</f>
        <v/>
      </c>
      <c r="C46" s="37">
        <f>IF(Horo!L46&lt;&gt;"",Horo!L46,"")</f>
        <v>73</v>
      </c>
      <c r="D46" s="80">
        <f t="shared" si="3"/>
        <v>52</v>
      </c>
      <c r="E46" s="33">
        <f t="shared" si="2"/>
        <v>90</v>
      </c>
      <c r="F46" s="33">
        <f t="shared" si="0"/>
        <v>71</v>
      </c>
    </row>
    <row r="47" spans="1:6" hidden="1" x14ac:dyDescent="0.3">
      <c r="A47" s="25">
        <v>42828</v>
      </c>
      <c r="B47" s="38">
        <f>IF(Horo!K47&lt;&gt;"",Horo!K47,"")</f>
        <v>52</v>
      </c>
      <c r="C47" s="38" t="str">
        <f>IF(Horo!L47&lt;&gt;"",Horo!L47,"")</f>
        <v/>
      </c>
      <c r="D47" s="80">
        <f t="shared" si="3"/>
        <v>52</v>
      </c>
      <c r="E47" s="33">
        <f t="shared" si="2"/>
        <v>90</v>
      </c>
      <c r="F47" s="33">
        <f t="shared" si="0"/>
        <v>71</v>
      </c>
    </row>
    <row r="48" spans="1:6" hidden="1" x14ac:dyDescent="0.3">
      <c r="A48" s="29">
        <v>42829</v>
      </c>
      <c r="B48" s="39">
        <f>IF(Horo!K48&lt;&gt;"",Horo!K48,"")</f>
        <v>55</v>
      </c>
      <c r="C48" s="39">
        <f>IF(Horo!L48&lt;&gt;"",Horo!L48,"")</f>
        <v>58</v>
      </c>
      <c r="D48" s="80">
        <f t="shared" si="3"/>
        <v>52</v>
      </c>
      <c r="E48" s="33">
        <f t="shared" si="2"/>
        <v>90</v>
      </c>
      <c r="F48" s="33">
        <f t="shared" si="0"/>
        <v>71</v>
      </c>
    </row>
    <row r="49" spans="1:6" hidden="1" x14ac:dyDescent="0.3">
      <c r="A49" s="29">
        <v>42830</v>
      </c>
      <c r="B49" s="39">
        <f>IF(Horo!K49&lt;&gt;"",Horo!K49,"")</f>
        <v>58</v>
      </c>
      <c r="C49" s="39" t="str">
        <f>IF(Horo!L49&lt;&gt;"",Horo!L49,"")</f>
        <v/>
      </c>
      <c r="D49" s="80">
        <f t="shared" si="3"/>
        <v>52</v>
      </c>
      <c r="E49" s="33">
        <f t="shared" si="2"/>
        <v>90</v>
      </c>
      <c r="F49" s="33">
        <f t="shared" si="0"/>
        <v>71</v>
      </c>
    </row>
    <row r="50" spans="1:6" hidden="1" x14ac:dyDescent="0.3">
      <c r="A50" s="29">
        <v>42831</v>
      </c>
      <c r="B50" s="39" t="str">
        <f>IF(Horo!K50&lt;&gt;"",Horo!K50,"")</f>
        <v/>
      </c>
      <c r="C50" s="39" t="str">
        <f>IF(Horo!L50&lt;&gt;"",Horo!L50,"")</f>
        <v/>
      </c>
      <c r="D50" s="80">
        <f t="shared" si="3"/>
        <v>52</v>
      </c>
      <c r="E50" s="33">
        <f t="shared" si="2"/>
        <v>81</v>
      </c>
      <c r="F50" s="33">
        <f t="shared" si="0"/>
        <v>66.5</v>
      </c>
    </row>
    <row r="51" spans="1:6" hidden="1" x14ac:dyDescent="0.3">
      <c r="A51" s="20">
        <v>42832</v>
      </c>
      <c r="B51" s="37" t="str">
        <f>IF(Horo!K51&lt;&gt;"",Horo!K51,"")</f>
        <v/>
      </c>
      <c r="C51" s="37">
        <f>IF(Horo!L51&lt;&gt;"",Horo!L51,"")</f>
        <v>58</v>
      </c>
      <c r="D51" s="80">
        <f t="shared" si="3"/>
        <v>52</v>
      </c>
      <c r="E51" s="33">
        <f t="shared" si="2"/>
        <v>74</v>
      </c>
      <c r="F51" s="33">
        <f t="shared" si="0"/>
        <v>63</v>
      </c>
    </row>
    <row r="52" spans="1:6" hidden="1" x14ac:dyDescent="0.3">
      <c r="A52" s="47">
        <v>42835</v>
      </c>
      <c r="B52" s="38" t="str">
        <f>IF(Horo!K52&lt;&gt;"",Horo!K52,"")</f>
        <v/>
      </c>
      <c r="C52" s="38" t="str">
        <f>IF(Horo!L52&lt;&gt;"",Horo!L52,"")</f>
        <v/>
      </c>
      <c r="D52" s="80">
        <f t="shared" si="3"/>
        <v>52</v>
      </c>
      <c r="E52" s="33">
        <f t="shared" si="2"/>
        <v>73</v>
      </c>
      <c r="F52" s="33">
        <f t="shared" si="0"/>
        <v>62.5</v>
      </c>
    </row>
    <row r="53" spans="1:6" hidden="1" x14ac:dyDescent="0.3">
      <c r="A53" s="48">
        <v>42836</v>
      </c>
      <c r="B53" s="39" t="str">
        <f>IF(Horo!K53&lt;&gt;"",Horo!K53,"")</f>
        <v/>
      </c>
      <c r="C53" s="39" t="str">
        <f>IF(Horo!L53&lt;&gt;"",Horo!L53,"")</f>
        <v/>
      </c>
      <c r="D53" s="80">
        <f t="shared" si="3"/>
        <v>52</v>
      </c>
      <c r="E53" s="33">
        <f t="shared" si="2"/>
        <v>73</v>
      </c>
      <c r="F53" s="33">
        <f t="shared" si="0"/>
        <v>62.5</v>
      </c>
    </row>
    <row r="54" spans="1:6" hidden="1" x14ac:dyDescent="0.3">
      <c r="A54" s="48">
        <v>42837</v>
      </c>
      <c r="B54" s="39" t="str">
        <f>IF(Horo!K54&lt;&gt;"",Horo!K54,"")</f>
        <v/>
      </c>
      <c r="C54" s="39">
        <f>IF(Horo!L54&lt;&gt;"",Horo!L54,"")</f>
        <v>63</v>
      </c>
      <c r="D54" s="80">
        <f t="shared" si="3"/>
        <v>52</v>
      </c>
      <c r="E54" s="33">
        <f t="shared" si="2"/>
        <v>63</v>
      </c>
      <c r="F54" s="33">
        <f t="shared" si="0"/>
        <v>57.5</v>
      </c>
    </row>
    <row r="55" spans="1:6" hidden="1" x14ac:dyDescent="0.3">
      <c r="A55" s="48">
        <v>42838</v>
      </c>
      <c r="B55" s="39" t="str">
        <f>IF(Horo!K55&lt;&gt;"",Horo!K55,"")</f>
        <v/>
      </c>
      <c r="C55" s="39" t="str">
        <f>IF(Horo!L55&lt;&gt;"",Horo!L55,"")</f>
        <v/>
      </c>
      <c r="D55" s="80">
        <f t="shared" si="3"/>
        <v>55</v>
      </c>
      <c r="E55" s="33">
        <f t="shared" si="2"/>
        <v>63</v>
      </c>
      <c r="F55" s="33">
        <f t="shared" si="0"/>
        <v>59</v>
      </c>
    </row>
    <row r="56" spans="1:6" hidden="1" x14ac:dyDescent="0.3">
      <c r="A56" s="49">
        <v>42839</v>
      </c>
      <c r="B56" s="37" t="str">
        <f>IF(Horo!K56&lt;&gt;"",Horo!K56,"")</f>
        <v/>
      </c>
      <c r="C56" s="37">
        <f>IF(Horo!L56&lt;&gt;"",Horo!L56,"")</f>
        <v>62</v>
      </c>
      <c r="D56" s="80">
        <f t="shared" si="3"/>
        <v>58</v>
      </c>
      <c r="E56" s="33">
        <f t="shared" si="2"/>
        <v>73</v>
      </c>
      <c r="F56" s="33">
        <f t="shared" si="0"/>
        <v>65.5</v>
      </c>
    </row>
    <row r="57" spans="1:6" hidden="1" x14ac:dyDescent="0.3">
      <c r="A57" s="47">
        <v>42842</v>
      </c>
      <c r="B57" s="38" t="str">
        <f>IF(Horo!K57&lt;&gt;"",Horo!K57,"")</f>
        <v/>
      </c>
      <c r="C57" s="38" t="str">
        <f>IF(Horo!L57&lt;&gt;"",Horo!L57,"")</f>
        <v/>
      </c>
      <c r="D57" s="80">
        <f t="shared" si="3"/>
        <v>58</v>
      </c>
      <c r="E57" s="33">
        <f t="shared" si="2"/>
        <v>73</v>
      </c>
      <c r="F57" s="33">
        <f t="shared" si="0"/>
        <v>65.5</v>
      </c>
    </row>
    <row r="58" spans="1:6" hidden="1" x14ac:dyDescent="0.3">
      <c r="A58" s="48">
        <v>42843</v>
      </c>
      <c r="B58" s="39" t="str">
        <f>IF(Horo!K58&lt;&gt;"",Horo!K58,"")</f>
        <v/>
      </c>
      <c r="C58" s="39" t="str">
        <f>IF(Horo!L58&lt;&gt;"",Horo!L58,"")</f>
        <v/>
      </c>
      <c r="D58" s="80">
        <f t="shared" si="3"/>
        <v>56</v>
      </c>
      <c r="E58" s="33">
        <f t="shared" si="2"/>
        <v>73</v>
      </c>
      <c r="F58" s="33">
        <f t="shared" si="0"/>
        <v>64.5</v>
      </c>
    </row>
    <row r="59" spans="1:6" hidden="1" x14ac:dyDescent="0.3">
      <c r="A59" s="29">
        <v>42844</v>
      </c>
      <c r="B59" s="39">
        <f>IF(Horo!K59&lt;&gt;"",Horo!K59,"")</f>
        <v>73</v>
      </c>
      <c r="C59" s="39">
        <f>IF(Horo!L59&lt;&gt;"",Horo!L59,"")</f>
        <v>67</v>
      </c>
      <c r="D59" s="80">
        <f t="shared" si="3"/>
        <v>56</v>
      </c>
      <c r="E59" s="33">
        <f t="shared" si="2"/>
        <v>73</v>
      </c>
      <c r="F59" s="33">
        <f t="shared" si="0"/>
        <v>64.5</v>
      </c>
    </row>
    <row r="60" spans="1:6" hidden="1" x14ac:dyDescent="0.3">
      <c r="A60" s="29">
        <v>42845</v>
      </c>
      <c r="B60" s="39">
        <f>IF(Horo!K60&lt;&gt;"",Horo!K60,"")</f>
        <v>67</v>
      </c>
      <c r="C60" s="39">
        <f>IF(Horo!L60&lt;&gt;"",Horo!L60,"")</f>
        <v>63</v>
      </c>
      <c r="D60" s="80">
        <f t="shared" si="3"/>
        <v>44</v>
      </c>
      <c r="E60" s="33">
        <f t="shared" si="2"/>
        <v>73</v>
      </c>
      <c r="F60" s="33">
        <f t="shared" si="0"/>
        <v>58.5</v>
      </c>
    </row>
    <row r="61" spans="1:6" hidden="1" x14ac:dyDescent="0.3">
      <c r="A61" s="20">
        <v>42846</v>
      </c>
      <c r="B61" s="37">
        <f>IF(Horo!K61&lt;&gt;"",Horo!K61,"")</f>
        <v>56</v>
      </c>
      <c r="C61" s="37" t="str">
        <f>IF(Horo!L61&lt;&gt;"",Horo!L61,"")</f>
        <v/>
      </c>
      <c r="D61" s="80">
        <f t="shared" si="3"/>
        <v>36</v>
      </c>
      <c r="E61" s="33">
        <f t="shared" si="2"/>
        <v>73</v>
      </c>
      <c r="F61" s="33">
        <f t="shared" si="0"/>
        <v>54.5</v>
      </c>
    </row>
    <row r="62" spans="1:6" hidden="1" x14ac:dyDescent="0.3">
      <c r="A62" s="25">
        <v>42849</v>
      </c>
      <c r="B62" s="38">
        <f>IF(Horo!K62&lt;&gt;"",Horo!K62,"")</f>
        <v>62</v>
      </c>
      <c r="C62" s="38">
        <f>IF(Horo!L62&lt;&gt;"",Horo!L62,"")</f>
        <v>56</v>
      </c>
      <c r="D62" s="80">
        <f t="shared" si="3"/>
        <v>36</v>
      </c>
      <c r="E62" s="33">
        <f t="shared" si="2"/>
        <v>73</v>
      </c>
      <c r="F62" s="33">
        <f t="shared" si="0"/>
        <v>54.5</v>
      </c>
    </row>
    <row r="63" spans="1:6" hidden="1" x14ac:dyDescent="0.3">
      <c r="A63" s="29">
        <v>42850</v>
      </c>
      <c r="B63" s="39">
        <f>IF(Horo!K63&lt;&gt;"",Horo!K63,"")</f>
        <v>54</v>
      </c>
      <c r="C63" s="39">
        <f>IF(Horo!L63&lt;&gt;"",Horo!L63,"")</f>
        <v>44</v>
      </c>
      <c r="D63" s="80">
        <f t="shared" si="3"/>
        <v>31</v>
      </c>
      <c r="E63" s="33">
        <f t="shared" si="2"/>
        <v>73</v>
      </c>
      <c r="F63" s="33">
        <f t="shared" si="0"/>
        <v>52</v>
      </c>
    </row>
    <row r="64" spans="1:6" hidden="1" x14ac:dyDescent="0.3">
      <c r="A64" s="29">
        <v>42851</v>
      </c>
      <c r="B64" s="39">
        <f>IF(Horo!K64&lt;&gt;"",Horo!K64,"")</f>
        <v>44</v>
      </c>
      <c r="C64" s="39">
        <f>IF(Horo!L64&lt;&gt;"",Horo!L64,"")</f>
        <v>36</v>
      </c>
      <c r="D64" s="80">
        <f t="shared" si="3"/>
        <v>31</v>
      </c>
      <c r="E64" s="33">
        <f t="shared" si="2"/>
        <v>73</v>
      </c>
      <c r="F64" s="33">
        <f t="shared" si="0"/>
        <v>52</v>
      </c>
    </row>
    <row r="65" spans="1:6" hidden="1" x14ac:dyDescent="0.3">
      <c r="A65" s="29">
        <v>42852</v>
      </c>
      <c r="B65" s="39">
        <f>IF(Horo!K65&lt;&gt;"",Horo!K65,"")</f>
        <v>36</v>
      </c>
      <c r="C65" s="39">
        <f>IF(Horo!L65&lt;&gt;"",Horo!L65,"")</f>
        <v>36</v>
      </c>
      <c r="D65" s="80">
        <f t="shared" si="3"/>
        <v>31</v>
      </c>
      <c r="E65" s="33">
        <f t="shared" si="2"/>
        <v>73</v>
      </c>
      <c r="F65" s="33">
        <f t="shared" si="0"/>
        <v>52</v>
      </c>
    </row>
    <row r="66" spans="1:6" hidden="1" x14ac:dyDescent="0.3">
      <c r="A66" s="20">
        <v>42853</v>
      </c>
      <c r="B66" s="37">
        <f>IF(Horo!K66&lt;&gt;"",Horo!K66,"")</f>
        <v>31</v>
      </c>
      <c r="C66" s="37" t="str">
        <f>IF(Horo!L66&lt;&gt;"",Horo!L66,"")</f>
        <v/>
      </c>
      <c r="D66" s="80">
        <f t="shared" si="3"/>
        <v>31</v>
      </c>
      <c r="E66" s="33">
        <f t="shared" si="2"/>
        <v>73</v>
      </c>
      <c r="F66" s="33">
        <f t="shared" si="0"/>
        <v>52</v>
      </c>
    </row>
    <row r="67" spans="1:6" hidden="1" x14ac:dyDescent="0.3">
      <c r="A67" s="59">
        <v>42856</v>
      </c>
      <c r="B67" s="38">
        <f>IF(Horo!K67&lt;&gt;"",Horo!K67,"")</f>
        <v>40</v>
      </c>
      <c r="C67" s="38" t="str">
        <f>IF(Horo!L67&lt;&gt;"",Horo!L67,"")</f>
        <v/>
      </c>
      <c r="D67" s="80">
        <f>MIN(B60:C70)</f>
        <v>31</v>
      </c>
      <c r="E67" s="33">
        <f t="shared" si="2"/>
        <v>67</v>
      </c>
      <c r="F67" s="33">
        <f t="shared" ref="F67:F130" si="4">(D67+E67)/2</f>
        <v>49</v>
      </c>
    </row>
    <row r="68" spans="1:6" hidden="1" x14ac:dyDescent="0.3">
      <c r="A68" s="29">
        <v>42857</v>
      </c>
      <c r="B68" s="39">
        <f>IF(Horo!K68&lt;&gt;"",Horo!K68,"")</f>
        <v>40</v>
      </c>
      <c r="C68" s="39">
        <f>IF(Horo!L68&lt;&gt;"",Horo!L68,"")</f>
        <v>33</v>
      </c>
      <c r="D68" s="80">
        <f t="shared" ref="D68:D131" si="5">MIN(B61:C71)</f>
        <v>31</v>
      </c>
      <c r="E68" s="33">
        <f t="shared" si="2"/>
        <v>62</v>
      </c>
      <c r="F68" s="33">
        <f t="shared" si="4"/>
        <v>46.5</v>
      </c>
    </row>
    <row r="69" spans="1:6" hidden="1" x14ac:dyDescent="0.3">
      <c r="A69" s="29">
        <v>42858</v>
      </c>
      <c r="B69" s="39">
        <f>IF(Horo!K69&lt;&gt;"",Horo!K69,"")</f>
        <v>36</v>
      </c>
      <c r="C69" s="39">
        <f>IF(Horo!L69&lt;&gt;"",Horo!L69,"")</f>
        <v>36</v>
      </c>
      <c r="D69" s="80">
        <f t="shared" si="5"/>
        <v>31</v>
      </c>
      <c r="E69" s="33">
        <f t="shared" si="2"/>
        <v>62</v>
      </c>
      <c r="F69" s="33">
        <f t="shared" si="4"/>
        <v>46.5</v>
      </c>
    </row>
    <row r="70" spans="1:6" hidden="1" x14ac:dyDescent="0.3">
      <c r="A70" s="29">
        <v>42859</v>
      </c>
      <c r="B70" s="39">
        <f>IF(Horo!K70&lt;&gt;"",Horo!K70,"")</f>
        <v>44</v>
      </c>
      <c r="C70" s="39">
        <f>IF(Horo!L70&lt;&gt;"",Horo!L70,"")</f>
        <v>38</v>
      </c>
      <c r="D70" s="80">
        <f t="shared" si="5"/>
        <v>31</v>
      </c>
      <c r="E70" s="33">
        <f t="shared" si="2"/>
        <v>54</v>
      </c>
      <c r="F70" s="33">
        <f t="shared" si="4"/>
        <v>42.5</v>
      </c>
    </row>
    <row r="71" spans="1:6" hidden="1" x14ac:dyDescent="0.3">
      <c r="A71" s="20">
        <v>42860</v>
      </c>
      <c r="B71" s="37">
        <f>IF(Horo!K71&lt;&gt;"",Horo!K71,"")</f>
        <v>38</v>
      </c>
      <c r="C71" s="37">
        <f>IF(Horo!L71&lt;&gt;"",Horo!L71,"")</f>
        <v>38</v>
      </c>
      <c r="D71" s="80">
        <f t="shared" si="5"/>
        <v>31</v>
      </c>
      <c r="E71" s="33">
        <f t="shared" si="2"/>
        <v>44</v>
      </c>
      <c r="F71" s="33">
        <f t="shared" si="4"/>
        <v>37.5</v>
      </c>
    </row>
    <row r="72" spans="1:6" hidden="1" x14ac:dyDescent="0.3">
      <c r="A72" s="59">
        <v>42863</v>
      </c>
      <c r="B72" s="38">
        <f>IF(Horo!K72&lt;&gt;"",Horo!K72,"")</f>
        <v>37</v>
      </c>
      <c r="C72" s="38" t="str">
        <f>IF(Horo!L72&lt;&gt;"",Horo!L72,"")</f>
        <v/>
      </c>
      <c r="D72" s="80">
        <f t="shared" si="5"/>
        <v>26</v>
      </c>
      <c r="E72" s="33">
        <f t="shared" si="2"/>
        <v>44</v>
      </c>
      <c r="F72" s="33">
        <f t="shared" si="4"/>
        <v>35</v>
      </c>
    </row>
    <row r="73" spans="1:6" hidden="1" x14ac:dyDescent="0.3">
      <c r="A73" s="29">
        <v>42864</v>
      </c>
      <c r="B73" s="39" t="str">
        <f>IF(Horo!K73&lt;&gt;"",Horo!K73,"")</f>
        <v/>
      </c>
      <c r="C73" s="39">
        <f>IF(Horo!L73&lt;&gt;"",Horo!L73,"")</f>
        <v>39</v>
      </c>
      <c r="D73" s="80">
        <f t="shared" si="5"/>
        <v>18</v>
      </c>
      <c r="E73" s="33">
        <f t="shared" si="2"/>
        <v>44</v>
      </c>
      <c r="F73" s="33">
        <f t="shared" si="4"/>
        <v>31</v>
      </c>
    </row>
    <row r="74" spans="1:6" hidden="1" x14ac:dyDescent="0.3">
      <c r="A74" s="29">
        <v>42865</v>
      </c>
      <c r="B74" s="39">
        <f>IF(Horo!K74&lt;&gt;"",Horo!K74,"")</f>
        <v>33</v>
      </c>
      <c r="C74" s="39">
        <f>IF(Horo!L74&lt;&gt;"",Horo!L74,"")</f>
        <v>37</v>
      </c>
      <c r="D74" s="80">
        <f t="shared" si="5"/>
        <v>18</v>
      </c>
      <c r="E74" s="33">
        <f t="shared" ref="E74:E107" si="6">MAX(B67:C77)</f>
        <v>44</v>
      </c>
      <c r="F74" s="33">
        <f t="shared" si="4"/>
        <v>31</v>
      </c>
    </row>
    <row r="75" spans="1:6" hidden="1" x14ac:dyDescent="0.3">
      <c r="A75" s="29">
        <v>42866</v>
      </c>
      <c r="B75" s="39">
        <f>IF(Horo!K75&lt;&gt;"",Horo!K75,"")</f>
        <v>26</v>
      </c>
      <c r="C75" s="39">
        <f>IF(Horo!L75&lt;&gt;"",Horo!L75,"")</f>
        <v>26</v>
      </c>
      <c r="D75" s="80">
        <f t="shared" si="5"/>
        <v>18</v>
      </c>
      <c r="E75" s="33">
        <f t="shared" si="6"/>
        <v>44</v>
      </c>
      <c r="F75" s="33">
        <f t="shared" si="4"/>
        <v>31</v>
      </c>
    </row>
    <row r="76" spans="1:6" hidden="1" x14ac:dyDescent="0.3">
      <c r="A76" s="20">
        <v>42867</v>
      </c>
      <c r="B76" s="37">
        <f>IF(Horo!K76&lt;&gt;"",Horo!K76,"")</f>
        <v>26</v>
      </c>
      <c r="C76" s="37">
        <f>IF(Horo!L76&lt;&gt;"",Horo!L76,"")</f>
        <v>18</v>
      </c>
      <c r="D76" s="80">
        <f t="shared" si="5"/>
        <v>18</v>
      </c>
      <c r="E76" s="33">
        <f t="shared" si="6"/>
        <v>44</v>
      </c>
      <c r="F76" s="33">
        <f t="shared" si="4"/>
        <v>31</v>
      </c>
    </row>
    <row r="77" spans="1:6" hidden="1" x14ac:dyDescent="0.3">
      <c r="A77" s="25">
        <v>42870</v>
      </c>
      <c r="B77" s="38">
        <f>IF(Horo!K77&lt;&gt;"",Horo!K77,"")</f>
        <v>36</v>
      </c>
      <c r="C77" s="38">
        <f>IF(Horo!L77&lt;&gt;"",Horo!L77,"")</f>
        <v>30</v>
      </c>
      <c r="D77" s="80">
        <f t="shared" si="5"/>
        <v>18</v>
      </c>
      <c r="E77" s="33">
        <f t="shared" si="6"/>
        <v>44</v>
      </c>
      <c r="F77" s="33">
        <f t="shared" si="4"/>
        <v>31</v>
      </c>
    </row>
    <row r="78" spans="1:6" hidden="1" x14ac:dyDescent="0.3">
      <c r="A78" s="29">
        <v>42871</v>
      </c>
      <c r="B78" s="39">
        <f>IF(Horo!K78&lt;&gt;"",Horo!K78,"")</f>
        <v>34</v>
      </c>
      <c r="C78" s="39">
        <f>IF(Horo!L78&lt;&gt;"",Horo!L78,"")</f>
        <v>27</v>
      </c>
      <c r="D78" s="80">
        <f t="shared" si="5"/>
        <v>18</v>
      </c>
      <c r="E78" s="33">
        <f t="shared" si="6"/>
        <v>39</v>
      </c>
      <c r="F78" s="33">
        <f t="shared" si="4"/>
        <v>28.5</v>
      </c>
    </row>
    <row r="79" spans="1:6" hidden="1" x14ac:dyDescent="0.3">
      <c r="A79" s="29">
        <v>42872</v>
      </c>
      <c r="B79" s="39">
        <f>IF(Horo!K79&lt;&gt;"",Horo!K79,"")</f>
        <v>27</v>
      </c>
      <c r="C79" s="39">
        <f>IF(Horo!L79&lt;&gt;"",Horo!L79,"")</f>
        <v>27</v>
      </c>
      <c r="D79" s="80">
        <f t="shared" si="5"/>
        <v>18</v>
      </c>
      <c r="E79" s="33">
        <f t="shared" si="6"/>
        <v>39</v>
      </c>
      <c r="F79" s="33">
        <f t="shared" si="4"/>
        <v>28.5</v>
      </c>
    </row>
    <row r="80" spans="1:6" hidden="1" x14ac:dyDescent="0.3">
      <c r="A80" s="29">
        <v>42873</v>
      </c>
      <c r="B80" s="39" t="str">
        <f>IF(Horo!K80&lt;&gt;"",Horo!K80,"")</f>
        <v/>
      </c>
      <c r="C80" s="39">
        <f>IF(Horo!L80&lt;&gt;"",Horo!L80,"")</f>
        <v>25</v>
      </c>
      <c r="D80" s="80">
        <f t="shared" si="5"/>
        <v>17</v>
      </c>
      <c r="E80" s="33">
        <f t="shared" si="6"/>
        <v>39</v>
      </c>
      <c r="F80" s="33">
        <f t="shared" si="4"/>
        <v>28</v>
      </c>
    </row>
    <row r="81" spans="1:6" hidden="1" x14ac:dyDescent="0.3">
      <c r="A81" s="20">
        <v>42874</v>
      </c>
      <c r="B81" s="37">
        <f>IF(Horo!K81&lt;&gt;"",Horo!K81,"")</f>
        <v>25</v>
      </c>
      <c r="C81" s="37">
        <f>IF(Horo!L81&lt;&gt;"",Horo!L81,"")</f>
        <v>18</v>
      </c>
      <c r="D81" s="80">
        <f t="shared" si="5"/>
        <v>17</v>
      </c>
      <c r="E81" s="33">
        <f t="shared" si="6"/>
        <v>37</v>
      </c>
      <c r="F81" s="33">
        <f t="shared" si="4"/>
        <v>27</v>
      </c>
    </row>
    <row r="82" spans="1:6" hidden="1" x14ac:dyDescent="0.3">
      <c r="A82" s="25">
        <v>42877</v>
      </c>
      <c r="B82" s="38">
        <f>IF(Horo!K82&lt;&gt;"",Horo!K82,"")</f>
        <v>33</v>
      </c>
      <c r="C82" s="38">
        <f>IF(Horo!L82&lt;&gt;"",Horo!L82,"")</f>
        <v>29</v>
      </c>
      <c r="D82" s="80">
        <f t="shared" si="5"/>
        <v>11</v>
      </c>
      <c r="E82" s="33">
        <f t="shared" si="6"/>
        <v>36</v>
      </c>
      <c r="F82" s="33">
        <f t="shared" si="4"/>
        <v>23.5</v>
      </c>
    </row>
    <row r="83" spans="1:6" hidden="1" x14ac:dyDescent="0.3">
      <c r="A83" s="29">
        <v>42878</v>
      </c>
      <c r="B83" s="39">
        <f>IF(Horo!K83&lt;&gt;"",Horo!K83,"")</f>
        <v>27</v>
      </c>
      <c r="C83" s="39">
        <f>IF(Horo!L83&lt;&gt;"",Horo!L83,"")</f>
        <v>17</v>
      </c>
      <c r="D83" s="80">
        <f t="shared" si="5"/>
        <v>11</v>
      </c>
      <c r="E83" s="33">
        <f t="shared" si="6"/>
        <v>36</v>
      </c>
      <c r="F83" s="33">
        <f t="shared" si="4"/>
        <v>23.5</v>
      </c>
    </row>
    <row r="84" spans="1:6" hidden="1" x14ac:dyDescent="0.3">
      <c r="A84" s="29">
        <v>42879</v>
      </c>
      <c r="B84" s="39">
        <f>IF(Horo!K84&lt;&gt;"",Horo!K84,"")</f>
        <v>17</v>
      </c>
      <c r="C84" s="39">
        <f>IF(Horo!L84&lt;&gt;"",Horo!L84,"")</f>
        <v>17</v>
      </c>
      <c r="D84" s="80">
        <f t="shared" si="5"/>
        <v>11</v>
      </c>
      <c r="E84" s="33">
        <f t="shared" si="6"/>
        <v>36</v>
      </c>
      <c r="F84" s="33">
        <f t="shared" si="4"/>
        <v>23.5</v>
      </c>
    </row>
    <row r="85" spans="1:6" hidden="1" x14ac:dyDescent="0.3">
      <c r="A85" s="60">
        <v>42880</v>
      </c>
      <c r="B85" s="39">
        <f>IF(Horo!K85&lt;&gt;"",Horo!K85,"")</f>
        <v>15</v>
      </c>
      <c r="C85" s="39">
        <f>IF(Horo!L85&lt;&gt;"",Horo!L85,"")</f>
        <v>11</v>
      </c>
      <c r="D85" s="80">
        <f t="shared" si="5"/>
        <v>11</v>
      </c>
      <c r="E85" s="33">
        <f t="shared" si="6"/>
        <v>34</v>
      </c>
      <c r="F85" s="33">
        <f t="shared" si="4"/>
        <v>22.5</v>
      </c>
    </row>
    <row r="86" spans="1:6" hidden="1" x14ac:dyDescent="0.3">
      <c r="A86" s="20">
        <v>42881</v>
      </c>
      <c r="B86" s="37">
        <f>IF(Horo!K86&lt;&gt;"",Horo!K86,"")</f>
        <v>25</v>
      </c>
      <c r="C86" s="37">
        <f>IF(Horo!L86&lt;&gt;"",Horo!L86,"")</f>
        <v>21</v>
      </c>
      <c r="D86" s="80">
        <f t="shared" si="5"/>
        <v>11</v>
      </c>
      <c r="E86" s="33">
        <f t="shared" si="6"/>
        <v>33</v>
      </c>
      <c r="F86" s="33">
        <f t="shared" si="4"/>
        <v>22</v>
      </c>
    </row>
    <row r="87" spans="1:6" hidden="1" x14ac:dyDescent="0.3">
      <c r="A87" s="25">
        <v>42884</v>
      </c>
      <c r="B87" s="38">
        <f>IF(Horo!K87&lt;&gt;"",Horo!K87,"")</f>
        <v>33</v>
      </c>
      <c r="C87" s="38" t="str">
        <f>IF(Horo!L87&lt;&gt;"",Horo!L87,"")</f>
        <v/>
      </c>
      <c r="D87" s="80">
        <f t="shared" si="5"/>
        <v>11</v>
      </c>
      <c r="E87" s="33">
        <f t="shared" si="6"/>
        <v>33</v>
      </c>
      <c r="F87" s="33">
        <f t="shared" si="4"/>
        <v>22</v>
      </c>
    </row>
    <row r="88" spans="1:6" hidden="1" x14ac:dyDescent="0.3">
      <c r="A88" s="29">
        <v>42885</v>
      </c>
      <c r="B88" s="39">
        <f>IF(Horo!K88&lt;&gt;"",Horo!K88,"")</f>
        <v>33</v>
      </c>
      <c r="C88" s="39">
        <f>IF(Horo!L88&lt;&gt;"",Horo!L88,"")</f>
        <v>21</v>
      </c>
      <c r="D88" s="80">
        <f t="shared" si="5"/>
        <v>11</v>
      </c>
      <c r="E88" s="33">
        <f t="shared" si="6"/>
        <v>33</v>
      </c>
      <c r="F88" s="33">
        <f t="shared" si="4"/>
        <v>22</v>
      </c>
    </row>
    <row r="89" spans="1:6" hidden="1" x14ac:dyDescent="0.3">
      <c r="A89" s="48">
        <v>42886</v>
      </c>
      <c r="B89" s="39" t="str">
        <f>IF(Horo!K89&lt;&gt;"",Horo!K89,"")</f>
        <v/>
      </c>
      <c r="C89" s="39" t="str">
        <f>IF(Horo!L89&lt;&gt;"",Horo!L89,"")</f>
        <v/>
      </c>
      <c r="D89" s="80">
        <f t="shared" si="5"/>
        <v>11</v>
      </c>
      <c r="E89" s="33">
        <f t="shared" si="6"/>
        <v>33</v>
      </c>
      <c r="F89" s="33">
        <f t="shared" si="4"/>
        <v>22</v>
      </c>
    </row>
    <row r="90" spans="1:6" hidden="1" x14ac:dyDescent="0.3">
      <c r="A90" s="48">
        <v>42887</v>
      </c>
      <c r="B90" s="39" t="str">
        <f>IF(Horo!K90&lt;&gt;"",Horo!K90,"")</f>
        <v/>
      </c>
      <c r="C90" s="39" t="str">
        <f>IF(Horo!L90&lt;&gt;"",Horo!L90,"")</f>
        <v/>
      </c>
      <c r="D90" s="80">
        <f t="shared" si="5"/>
        <v>11</v>
      </c>
      <c r="E90" s="33">
        <f t="shared" si="6"/>
        <v>33</v>
      </c>
      <c r="F90" s="33">
        <f t="shared" si="4"/>
        <v>22</v>
      </c>
    </row>
    <row r="91" spans="1:6" hidden="1" x14ac:dyDescent="0.3">
      <c r="A91" s="20">
        <v>42888</v>
      </c>
      <c r="B91" s="37">
        <f>IF(Horo!K91&lt;&gt;"",Horo!K91,"")</f>
        <v>30</v>
      </c>
      <c r="C91" s="37">
        <f>IF(Horo!L91&lt;&gt;"",Horo!L91,"")</f>
        <v>18</v>
      </c>
      <c r="D91" s="80">
        <f t="shared" si="5"/>
        <v>5</v>
      </c>
      <c r="E91" s="33">
        <f t="shared" si="6"/>
        <v>33</v>
      </c>
      <c r="F91" s="33">
        <f t="shared" si="4"/>
        <v>19</v>
      </c>
    </row>
    <row r="92" spans="1:6" hidden="1" x14ac:dyDescent="0.3">
      <c r="A92" s="59">
        <v>42891</v>
      </c>
      <c r="B92" s="38">
        <f>IF(Horo!K92&lt;&gt;"",Horo!K92,"")</f>
        <v>27</v>
      </c>
      <c r="C92" s="38">
        <f>IF(Horo!L92&lt;&gt;"",Horo!L92,"")</f>
        <v>20</v>
      </c>
      <c r="D92" s="80">
        <f t="shared" si="5"/>
        <v>4</v>
      </c>
      <c r="E92" s="33">
        <f t="shared" si="6"/>
        <v>33</v>
      </c>
      <c r="F92" s="33">
        <f t="shared" si="4"/>
        <v>18.5</v>
      </c>
    </row>
    <row r="93" spans="1:6" hidden="1" x14ac:dyDescent="0.3">
      <c r="A93" s="29">
        <v>42892</v>
      </c>
      <c r="B93" s="39">
        <f>IF(Horo!K93&lt;&gt;"",Horo!K93,"")</f>
        <v>20</v>
      </c>
      <c r="C93" s="39">
        <f>IF(Horo!L93&lt;&gt;"",Horo!L93,"")</f>
        <v>20</v>
      </c>
      <c r="D93" s="80">
        <f t="shared" si="5"/>
        <v>4</v>
      </c>
      <c r="E93" s="33">
        <f t="shared" si="6"/>
        <v>33</v>
      </c>
      <c r="F93" s="33">
        <f t="shared" si="4"/>
        <v>18.5</v>
      </c>
    </row>
    <row r="94" spans="1:6" hidden="1" x14ac:dyDescent="0.3">
      <c r="A94" s="29">
        <v>42893</v>
      </c>
      <c r="B94" s="39">
        <f>IF(Horo!K94&lt;&gt;"",Horo!K94,"")</f>
        <v>5</v>
      </c>
      <c r="C94" s="39">
        <f>IF(Horo!L94&lt;&gt;"",Horo!L94,"")</f>
        <v>15</v>
      </c>
      <c r="D94" s="80">
        <f t="shared" si="5"/>
        <v>4</v>
      </c>
      <c r="E94" s="33">
        <f t="shared" si="6"/>
        <v>33</v>
      </c>
      <c r="F94" s="33">
        <f t="shared" si="4"/>
        <v>18.5</v>
      </c>
    </row>
    <row r="95" spans="1:6" hidden="1" x14ac:dyDescent="0.3">
      <c r="A95" s="29">
        <v>42894</v>
      </c>
      <c r="B95" s="39">
        <f>IF(Horo!K95&lt;&gt;"",Horo!K95,"")</f>
        <v>10</v>
      </c>
      <c r="C95" s="39">
        <f>IF(Horo!L95&lt;&gt;"",Horo!L95,"")</f>
        <v>4</v>
      </c>
      <c r="D95" s="80">
        <f t="shared" si="5"/>
        <v>4</v>
      </c>
      <c r="E95" s="33">
        <f t="shared" si="6"/>
        <v>33</v>
      </c>
      <c r="F95" s="33">
        <f t="shared" si="4"/>
        <v>18.5</v>
      </c>
    </row>
    <row r="96" spans="1:6" hidden="1" x14ac:dyDescent="0.3">
      <c r="A96" s="20">
        <v>42895</v>
      </c>
      <c r="B96" s="37">
        <f>IF(Horo!K96&lt;&gt;"",Horo!K96,"")</f>
        <v>4</v>
      </c>
      <c r="C96" s="37">
        <f>IF(Horo!L96&lt;&gt;"",Horo!L96,"")</f>
        <v>9</v>
      </c>
      <c r="D96" s="80">
        <f t="shared" si="5"/>
        <v>4</v>
      </c>
      <c r="E96" s="33">
        <f t="shared" si="6"/>
        <v>30</v>
      </c>
      <c r="F96" s="33">
        <f t="shared" si="4"/>
        <v>17</v>
      </c>
    </row>
    <row r="97" spans="1:6" hidden="1" x14ac:dyDescent="0.3">
      <c r="A97" s="25">
        <v>42898</v>
      </c>
      <c r="B97" s="38">
        <f>IF(Horo!K97&lt;&gt;"",Horo!K97,"")</f>
        <v>19</v>
      </c>
      <c r="C97" s="38">
        <f>IF(Horo!L97&lt;&gt;"",Horo!L97,"")</f>
        <v>20</v>
      </c>
      <c r="D97" s="80">
        <f t="shared" si="5"/>
        <v>4</v>
      </c>
      <c r="E97" s="33">
        <f t="shared" si="6"/>
        <v>30</v>
      </c>
      <c r="F97" s="33">
        <f t="shared" si="4"/>
        <v>17</v>
      </c>
    </row>
    <row r="98" spans="1:6" hidden="1" x14ac:dyDescent="0.3">
      <c r="A98" s="29">
        <v>42899</v>
      </c>
      <c r="B98" s="39">
        <f>IF(Horo!K98&lt;&gt;"",Horo!K98,"")</f>
        <v>20</v>
      </c>
      <c r="C98" s="39">
        <f>IF(Horo!L98&lt;&gt;"",Horo!L98,"")</f>
        <v>15</v>
      </c>
      <c r="D98" s="80">
        <f t="shared" si="5"/>
        <v>3</v>
      </c>
      <c r="E98" s="33">
        <f t="shared" si="6"/>
        <v>30</v>
      </c>
      <c r="F98" s="33">
        <f t="shared" si="4"/>
        <v>16.5</v>
      </c>
    </row>
    <row r="99" spans="1:6" hidden="1" x14ac:dyDescent="0.3">
      <c r="A99" s="29">
        <v>42900</v>
      </c>
      <c r="B99" s="39">
        <f>IF(Horo!K99&lt;&gt;"",Horo!K99,"")</f>
        <v>11</v>
      </c>
      <c r="C99" s="39">
        <f>IF(Horo!L99&lt;&gt;"",Horo!L99,"")</f>
        <v>6</v>
      </c>
      <c r="D99" s="80">
        <f t="shared" si="5"/>
        <v>3</v>
      </c>
      <c r="E99" s="33">
        <f t="shared" si="6"/>
        <v>27</v>
      </c>
      <c r="F99" s="33">
        <f t="shared" si="4"/>
        <v>15</v>
      </c>
    </row>
    <row r="100" spans="1:6" hidden="1" x14ac:dyDescent="0.3">
      <c r="A100" s="29">
        <v>42901</v>
      </c>
      <c r="B100" s="39">
        <f>IF(Horo!K100&lt;&gt;"",Horo!K100,"")</f>
        <v>10</v>
      </c>
      <c r="C100" s="39">
        <f>IF(Horo!L100&lt;&gt;"",Horo!L100,"")</f>
        <v>15</v>
      </c>
      <c r="D100" s="80">
        <f t="shared" si="5"/>
        <v>0</v>
      </c>
      <c r="E100" s="33">
        <f t="shared" si="6"/>
        <v>20</v>
      </c>
      <c r="F100" s="33">
        <f t="shared" si="4"/>
        <v>10</v>
      </c>
    </row>
    <row r="101" spans="1:6" hidden="1" x14ac:dyDescent="0.3">
      <c r="A101" s="20">
        <v>42902</v>
      </c>
      <c r="B101" s="37">
        <f>IF(Horo!K101&lt;&gt;"",Horo!K101,"")</f>
        <v>5</v>
      </c>
      <c r="C101" s="37">
        <f>IF(Horo!L101&lt;&gt;"",Horo!L101,"")</f>
        <v>3</v>
      </c>
      <c r="D101" s="80">
        <f t="shared" si="5"/>
        <v>0</v>
      </c>
      <c r="E101" s="33">
        <f t="shared" si="6"/>
        <v>20</v>
      </c>
      <c r="F101" s="33">
        <f t="shared" si="4"/>
        <v>10</v>
      </c>
    </row>
    <row r="102" spans="1:6" hidden="1" x14ac:dyDescent="0.3">
      <c r="A102" s="25">
        <v>42905</v>
      </c>
      <c r="B102" s="38">
        <f>IF(Horo!K102&lt;&gt;"",Horo!K102,"")</f>
        <v>20</v>
      </c>
      <c r="C102" s="38">
        <f>IF(Horo!L102&lt;&gt;"",Horo!L102,"")</f>
        <v>6</v>
      </c>
      <c r="D102" s="80">
        <f t="shared" si="5"/>
        <v>0</v>
      </c>
      <c r="E102" s="33">
        <f t="shared" si="6"/>
        <v>20</v>
      </c>
      <c r="F102" s="33">
        <f t="shared" si="4"/>
        <v>10</v>
      </c>
    </row>
    <row r="103" spans="1:6" hidden="1" x14ac:dyDescent="0.3">
      <c r="A103" s="29">
        <v>42906</v>
      </c>
      <c r="B103" s="39" t="str">
        <f>IF(Horo!K103&lt;&gt;"",Horo!K103,"")</f>
        <v/>
      </c>
      <c r="C103" s="39">
        <f>IF(Horo!L103&lt;&gt;"",Horo!L103,"")</f>
        <v>0</v>
      </c>
      <c r="D103" s="80">
        <f t="shared" si="5"/>
        <v>0</v>
      </c>
      <c r="E103" s="33">
        <f t="shared" si="6"/>
        <v>20</v>
      </c>
      <c r="F103" s="33">
        <f t="shared" si="4"/>
        <v>10</v>
      </c>
    </row>
    <row r="104" spans="1:6" hidden="1" x14ac:dyDescent="0.3">
      <c r="A104" s="29">
        <v>42907</v>
      </c>
      <c r="B104" s="39" t="str">
        <f>IF(Horo!K104&lt;&gt;"",Horo!K104,"")</f>
        <v/>
      </c>
      <c r="C104" s="39" t="str">
        <f>IF(Horo!L104&lt;&gt;"",Horo!L104,"")</f>
        <v/>
      </c>
      <c r="D104" s="80">
        <f t="shared" si="5"/>
        <v>0</v>
      </c>
      <c r="E104" s="33">
        <f t="shared" si="6"/>
        <v>20</v>
      </c>
      <c r="F104" s="33">
        <f t="shared" si="4"/>
        <v>10</v>
      </c>
    </row>
    <row r="105" spans="1:6" hidden="1" x14ac:dyDescent="0.3">
      <c r="A105" s="29">
        <v>42908</v>
      </c>
      <c r="B105" s="39" t="str">
        <f>IF(Horo!K105&lt;&gt;"",Horo!K105,"")</f>
        <v/>
      </c>
      <c r="C105" s="39" t="str">
        <f>IF(Horo!L105&lt;&gt;"",Horo!L105,"")</f>
        <v/>
      </c>
      <c r="D105" s="80">
        <f t="shared" si="5"/>
        <v>0</v>
      </c>
      <c r="E105" s="33">
        <f t="shared" si="6"/>
        <v>20</v>
      </c>
      <c r="F105" s="33">
        <f t="shared" si="4"/>
        <v>10</v>
      </c>
    </row>
    <row r="106" spans="1:6" hidden="1" x14ac:dyDescent="0.3">
      <c r="A106" s="20">
        <v>42909</v>
      </c>
      <c r="B106" s="37" t="str">
        <f>IF(Horo!K106&lt;&gt;"",Horo!K106,"")</f>
        <v/>
      </c>
      <c r="C106" s="37">
        <f>IF(Horo!L106&lt;&gt;"",Horo!L106,"")</f>
        <v>20</v>
      </c>
      <c r="D106" s="80">
        <f t="shared" si="5"/>
        <v>0</v>
      </c>
      <c r="E106" s="33">
        <f t="shared" si="6"/>
        <v>20</v>
      </c>
      <c r="F106" s="33">
        <f t="shared" si="4"/>
        <v>10</v>
      </c>
    </row>
    <row r="107" spans="1:6" hidden="1" x14ac:dyDescent="0.3">
      <c r="A107" s="25">
        <v>42912</v>
      </c>
      <c r="B107" s="38" t="str">
        <f>IF(Horo!K107&lt;&gt;"",Horo!K107,"")</f>
        <v/>
      </c>
      <c r="C107" s="38" t="str">
        <f>IF(Horo!L107&lt;&gt;"",Horo!L107,"")</f>
        <v/>
      </c>
      <c r="D107" s="80">
        <f t="shared" si="5"/>
        <v>0</v>
      </c>
      <c r="E107" s="33">
        <f t="shared" si="6"/>
        <v>35</v>
      </c>
      <c r="F107" s="33">
        <f t="shared" si="4"/>
        <v>17.5</v>
      </c>
    </row>
    <row r="108" spans="1:6" hidden="1" x14ac:dyDescent="0.3">
      <c r="A108" s="29">
        <v>42913</v>
      </c>
      <c r="B108" s="39" t="str">
        <f>IF(Horo!K108&lt;&gt;"",Horo!K108,"")</f>
        <v/>
      </c>
      <c r="C108" s="39" t="str">
        <f>IF(Horo!L108&lt;&gt;"",Horo!L108,"")</f>
        <v/>
      </c>
      <c r="D108" s="80">
        <f t="shared" si="5"/>
        <v>0</v>
      </c>
      <c r="E108" s="33">
        <f t="shared" ref="E108:E131" si="7">MAX(B101:C111)</f>
        <v>35</v>
      </c>
      <c r="F108" s="33">
        <f t="shared" si="4"/>
        <v>17.5</v>
      </c>
    </row>
    <row r="109" spans="1:6" hidden="1" x14ac:dyDescent="0.3">
      <c r="A109" s="29">
        <v>42914</v>
      </c>
      <c r="B109" s="39" t="str">
        <f>IF(Horo!K109&lt;&gt;"",Horo!K109,"")</f>
        <v/>
      </c>
      <c r="C109" s="39" t="str">
        <f>IF(Horo!L109&lt;&gt;"",Horo!L109,"")</f>
        <v/>
      </c>
      <c r="D109" s="80">
        <f t="shared" si="5"/>
        <v>0</v>
      </c>
      <c r="E109" s="33">
        <f t="shared" si="7"/>
        <v>35</v>
      </c>
      <c r="F109" s="33">
        <f t="shared" si="4"/>
        <v>17.5</v>
      </c>
    </row>
    <row r="110" spans="1:6" hidden="1" x14ac:dyDescent="0.3">
      <c r="A110" s="29">
        <v>42915</v>
      </c>
      <c r="B110" s="39">
        <f>IF(Horo!K110&lt;&gt;"",Horo!K110,"")</f>
        <v>35</v>
      </c>
      <c r="C110" s="39">
        <f>IF(Horo!L110&lt;&gt;"",Horo!L110,"")</f>
        <v>30</v>
      </c>
      <c r="D110" s="80">
        <f t="shared" si="5"/>
        <v>0</v>
      </c>
      <c r="E110" s="33">
        <f t="shared" si="7"/>
        <v>35</v>
      </c>
      <c r="F110" s="33">
        <f t="shared" si="4"/>
        <v>17.5</v>
      </c>
    </row>
    <row r="111" spans="1:6" hidden="1" x14ac:dyDescent="0.3">
      <c r="A111" s="20">
        <v>42916</v>
      </c>
      <c r="B111" s="37">
        <f>IF(Horo!K111&lt;&gt;"",Horo!K111,"")</f>
        <v>28</v>
      </c>
      <c r="C111" s="37">
        <f>IF(Horo!L111&lt;&gt;"",Horo!L111,"")</f>
        <v>22</v>
      </c>
      <c r="D111" s="80">
        <f t="shared" si="5"/>
        <v>13</v>
      </c>
      <c r="E111" s="33">
        <f t="shared" si="7"/>
        <v>35</v>
      </c>
      <c r="F111" s="33">
        <f t="shared" si="4"/>
        <v>24</v>
      </c>
    </row>
    <row r="112" spans="1:6" hidden="1" x14ac:dyDescent="0.3">
      <c r="A112" s="25">
        <v>42919</v>
      </c>
      <c r="B112" s="38">
        <f>IF(Horo!K112&lt;&gt;"",Horo!K112,"")</f>
        <v>28</v>
      </c>
      <c r="C112" s="38">
        <f>IF(Horo!L112&lt;&gt;"",Horo!L112,"")</f>
        <v>20</v>
      </c>
      <c r="D112" s="80">
        <f t="shared" si="5"/>
        <v>11</v>
      </c>
      <c r="E112" s="33">
        <f t="shared" si="7"/>
        <v>35</v>
      </c>
      <c r="F112" s="33">
        <f t="shared" si="4"/>
        <v>23</v>
      </c>
    </row>
    <row r="113" spans="1:6" hidden="1" x14ac:dyDescent="0.3">
      <c r="A113" s="29">
        <v>42920</v>
      </c>
      <c r="B113" s="39">
        <f>IF(Horo!K113&lt;&gt;"",Horo!K113,"")</f>
        <v>32</v>
      </c>
      <c r="C113" s="39">
        <f>IF(Horo!L113&lt;&gt;"",Horo!L113,"")</f>
        <v>15</v>
      </c>
      <c r="D113" s="80">
        <f t="shared" si="5"/>
        <v>11</v>
      </c>
      <c r="E113" s="33">
        <f t="shared" si="7"/>
        <v>35</v>
      </c>
      <c r="F113" s="33">
        <f t="shared" si="4"/>
        <v>23</v>
      </c>
    </row>
    <row r="114" spans="1:6" hidden="1" x14ac:dyDescent="0.3">
      <c r="A114" s="29">
        <v>42921</v>
      </c>
      <c r="B114" s="39">
        <f>IF(Horo!K114&lt;&gt;"",Horo!K114,"")</f>
        <v>16</v>
      </c>
      <c r="C114" s="39">
        <f>IF(Horo!L114&lt;&gt;"",Horo!L114,"")</f>
        <v>13</v>
      </c>
      <c r="D114" s="80">
        <f t="shared" si="5"/>
        <v>11</v>
      </c>
      <c r="E114" s="33">
        <f t="shared" si="7"/>
        <v>35</v>
      </c>
      <c r="F114" s="33">
        <f t="shared" si="4"/>
        <v>23</v>
      </c>
    </row>
    <row r="115" spans="1:6" hidden="1" x14ac:dyDescent="0.3">
      <c r="A115" s="29">
        <v>42922</v>
      </c>
      <c r="B115" s="39">
        <f>IF(Horo!K115&lt;&gt;"",Horo!K115,"")</f>
        <v>18</v>
      </c>
      <c r="C115" s="39">
        <f>IF(Horo!L115&lt;&gt;"",Horo!L115,"")</f>
        <v>11</v>
      </c>
      <c r="D115" s="80">
        <f t="shared" si="5"/>
        <v>9</v>
      </c>
      <c r="E115" s="33">
        <f t="shared" si="7"/>
        <v>35</v>
      </c>
      <c r="F115" s="33">
        <f t="shared" si="4"/>
        <v>22</v>
      </c>
    </row>
    <row r="116" spans="1:6" hidden="1" x14ac:dyDescent="0.3">
      <c r="A116" s="20">
        <v>42923</v>
      </c>
      <c r="B116" s="37">
        <f>IF(Horo!K116&lt;&gt;"",Horo!K116,"")</f>
        <v>21</v>
      </c>
      <c r="C116" s="37">
        <f>IF(Horo!L116&lt;&gt;"",Horo!L116,"")</f>
        <v>11</v>
      </c>
      <c r="D116" s="80">
        <f t="shared" si="5"/>
        <v>9</v>
      </c>
      <c r="E116" s="33">
        <f t="shared" si="7"/>
        <v>35</v>
      </c>
      <c r="F116" s="33">
        <f t="shared" si="4"/>
        <v>22</v>
      </c>
    </row>
    <row r="117" spans="1:6" hidden="1" x14ac:dyDescent="0.3">
      <c r="A117" s="25">
        <v>42926</v>
      </c>
      <c r="B117" s="38">
        <f>IF(Horo!K117&lt;&gt;"",Horo!K117,"")</f>
        <v>20</v>
      </c>
      <c r="C117" s="38" t="str">
        <f>IF(Horo!L117&lt;&gt;"",Horo!L117,"")</f>
        <v/>
      </c>
      <c r="D117" s="80">
        <f t="shared" si="5"/>
        <v>9</v>
      </c>
      <c r="E117" s="33">
        <f t="shared" si="7"/>
        <v>35</v>
      </c>
      <c r="F117" s="33">
        <f t="shared" si="4"/>
        <v>22</v>
      </c>
    </row>
    <row r="118" spans="1:6" hidden="1" x14ac:dyDescent="0.3">
      <c r="A118" s="29">
        <v>42927</v>
      </c>
      <c r="B118" s="39">
        <f>IF(Horo!K118&lt;&gt;"",Horo!K118,"")</f>
        <v>25</v>
      </c>
      <c r="C118" s="39">
        <f>IF(Horo!L118&lt;&gt;"",Horo!L118,"")</f>
        <v>9</v>
      </c>
      <c r="D118" s="80">
        <f t="shared" si="5"/>
        <v>8</v>
      </c>
      <c r="E118" s="33">
        <f t="shared" si="7"/>
        <v>32</v>
      </c>
      <c r="F118" s="33">
        <f t="shared" si="4"/>
        <v>20</v>
      </c>
    </row>
    <row r="119" spans="1:6" hidden="1" x14ac:dyDescent="0.3">
      <c r="A119" s="29">
        <v>42928</v>
      </c>
      <c r="B119" s="39">
        <f>IF(Horo!K119&lt;&gt;"",Horo!K119,"")</f>
        <v>13</v>
      </c>
      <c r="C119" s="39">
        <f>IF(Horo!L119&lt;&gt;"",Horo!L119,"")</f>
        <v>11</v>
      </c>
      <c r="D119" s="80">
        <f t="shared" si="5"/>
        <v>8</v>
      </c>
      <c r="E119" s="33">
        <f t="shared" si="7"/>
        <v>32</v>
      </c>
      <c r="F119" s="33">
        <f t="shared" si="4"/>
        <v>20</v>
      </c>
    </row>
    <row r="120" spans="1:6" hidden="1" x14ac:dyDescent="0.3">
      <c r="A120" s="29">
        <v>42929</v>
      </c>
      <c r="B120" s="39">
        <f>IF(Horo!K120&lt;&gt;"",Horo!K120,"")</f>
        <v>12</v>
      </c>
      <c r="C120" s="39" t="str">
        <f>IF(Horo!L120&lt;&gt;"",Horo!L120,"")</f>
        <v/>
      </c>
      <c r="D120" s="80">
        <f t="shared" si="5"/>
        <v>8</v>
      </c>
      <c r="E120" s="33">
        <f t="shared" si="7"/>
        <v>32</v>
      </c>
      <c r="F120" s="33">
        <f t="shared" si="4"/>
        <v>20</v>
      </c>
    </row>
    <row r="121" spans="1:6" hidden="1" x14ac:dyDescent="0.3">
      <c r="A121" s="58">
        <v>42930</v>
      </c>
      <c r="B121" s="37">
        <f>IF(Horo!K121&lt;&gt;"",Horo!K121,"")</f>
        <v>8</v>
      </c>
      <c r="C121" s="37" t="str">
        <f>IF(Horo!L121&lt;&gt;"",Horo!L121,"")</f>
        <v/>
      </c>
      <c r="D121" s="80">
        <f t="shared" si="5"/>
        <v>5</v>
      </c>
      <c r="E121" s="33">
        <f t="shared" si="7"/>
        <v>25</v>
      </c>
      <c r="F121" s="33">
        <f t="shared" si="4"/>
        <v>15</v>
      </c>
    </row>
    <row r="122" spans="1:6" hidden="1" x14ac:dyDescent="0.3">
      <c r="A122" s="25">
        <f>A117+7</f>
        <v>42933</v>
      </c>
      <c r="B122" s="38">
        <f>IF(Horo!K122&lt;&gt;"",Horo!K122,"")</f>
        <v>25</v>
      </c>
      <c r="C122" s="38">
        <f>IF(Horo!L122&lt;&gt;"",Horo!L122,"")</f>
        <v>18</v>
      </c>
      <c r="D122" s="80">
        <f t="shared" si="5"/>
        <v>5</v>
      </c>
      <c r="E122" s="33">
        <f t="shared" si="7"/>
        <v>25</v>
      </c>
      <c r="F122" s="33">
        <f t="shared" si="4"/>
        <v>15</v>
      </c>
    </row>
    <row r="123" spans="1:6" hidden="1" x14ac:dyDescent="0.3">
      <c r="A123" s="29">
        <f t="shared" ref="A123:A186" si="8">A118+7</f>
        <v>42934</v>
      </c>
      <c r="B123" s="39">
        <f>IF(Horo!K123&lt;&gt;"",Horo!K123,"")</f>
        <v>16</v>
      </c>
      <c r="C123" s="39">
        <f>IF(Horo!L123&lt;&gt;"",Horo!L123,"")</f>
        <v>11</v>
      </c>
      <c r="D123" s="80">
        <f t="shared" si="5"/>
        <v>5</v>
      </c>
      <c r="E123" s="33">
        <f t="shared" si="7"/>
        <v>25</v>
      </c>
      <c r="F123" s="33">
        <f t="shared" si="4"/>
        <v>15</v>
      </c>
    </row>
    <row r="124" spans="1:6" hidden="1" x14ac:dyDescent="0.3">
      <c r="A124" s="29">
        <f t="shared" si="8"/>
        <v>42935</v>
      </c>
      <c r="B124" s="39" t="str">
        <f>IF(Horo!K124&lt;&gt;"",Horo!K124,"")</f>
        <v/>
      </c>
      <c r="C124" s="39">
        <f>IF(Horo!L124&lt;&gt;"",Horo!L124,"")</f>
        <v>5</v>
      </c>
      <c r="D124" s="80">
        <f t="shared" si="5"/>
        <v>5</v>
      </c>
      <c r="E124" s="33">
        <f t="shared" si="7"/>
        <v>25</v>
      </c>
      <c r="F124" s="33">
        <f t="shared" si="4"/>
        <v>15</v>
      </c>
    </row>
    <row r="125" spans="1:6" hidden="1" x14ac:dyDescent="0.3">
      <c r="A125" s="29">
        <f t="shared" si="8"/>
        <v>42936</v>
      </c>
      <c r="B125" s="39">
        <f>IF(Horo!K125&lt;&gt;"",Horo!K125,"")</f>
        <v>13</v>
      </c>
      <c r="C125" s="39" t="str">
        <f>IF(Horo!L125&lt;&gt;"",Horo!L125,"")</f>
        <v/>
      </c>
      <c r="D125" s="80">
        <f t="shared" si="5"/>
        <v>5</v>
      </c>
      <c r="E125" s="33">
        <f t="shared" si="7"/>
        <v>25</v>
      </c>
      <c r="F125" s="33">
        <f t="shared" si="4"/>
        <v>15</v>
      </c>
    </row>
    <row r="126" spans="1:6" hidden="1" x14ac:dyDescent="0.3">
      <c r="A126" s="20">
        <f t="shared" si="8"/>
        <v>42937</v>
      </c>
      <c r="B126" s="37">
        <f>IF(Horo!K126&lt;&gt;"",Horo!K126,"")</f>
        <v>13</v>
      </c>
      <c r="C126" s="37" t="str">
        <f>IF(Horo!L126&lt;&gt;"",Horo!L126,"")</f>
        <v/>
      </c>
      <c r="D126" s="80">
        <f t="shared" si="5"/>
        <v>5</v>
      </c>
      <c r="E126" s="33">
        <f t="shared" si="7"/>
        <v>25</v>
      </c>
      <c r="F126" s="33">
        <f t="shared" si="4"/>
        <v>15</v>
      </c>
    </row>
    <row r="127" spans="1:6" hidden="1" x14ac:dyDescent="0.3">
      <c r="A127" s="25">
        <f>A122+7</f>
        <v>42940</v>
      </c>
      <c r="B127" s="38" t="str">
        <f>IF(Horo!K127&lt;&gt;"",Horo!K127,"")</f>
        <v/>
      </c>
      <c r="C127" s="38" t="str">
        <f>IF(Horo!L127&lt;&gt;"",Horo!L127,"")</f>
        <v/>
      </c>
      <c r="D127" s="80">
        <f t="shared" si="5"/>
        <v>5</v>
      </c>
      <c r="E127" s="33">
        <f t="shared" si="7"/>
        <v>25</v>
      </c>
      <c r="F127" s="33">
        <f t="shared" si="4"/>
        <v>15</v>
      </c>
    </row>
    <row r="128" spans="1:6" hidden="1" x14ac:dyDescent="0.3">
      <c r="A128" s="29">
        <f t="shared" si="8"/>
        <v>42941</v>
      </c>
      <c r="B128" s="39" t="str">
        <f>IF(Horo!K128&lt;&gt;"",Horo!K128,"")</f>
        <v/>
      </c>
      <c r="C128" s="39" t="str">
        <f>IF(Horo!L128&lt;&gt;"",Horo!L128,"")</f>
        <v/>
      </c>
      <c r="D128" s="80">
        <f t="shared" si="5"/>
        <v>5</v>
      </c>
      <c r="E128" s="33">
        <f t="shared" si="7"/>
        <v>25</v>
      </c>
      <c r="F128" s="33">
        <f t="shared" si="4"/>
        <v>15</v>
      </c>
    </row>
    <row r="129" spans="1:6" hidden="1" x14ac:dyDescent="0.3">
      <c r="A129" s="29">
        <f t="shared" si="8"/>
        <v>42942</v>
      </c>
      <c r="B129" s="39" t="str">
        <f>IF(Horo!K129&lt;&gt;"",Horo!K129,"")</f>
        <v/>
      </c>
      <c r="C129" s="39" t="str">
        <f>IF(Horo!L129&lt;&gt;"",Horo!L129,"")</f>
        <v/>
      </c>
      <c r="D129" s="80">
        <f t="shared" si="5"/>
        <v>5</v>
      </c>
      <c r="E129" s="33">
        <f t="shared" si="7"/>
        <v>25</v>
      </c>
      <c r="F129" s="33">
        <f t="shared" si="4"/>
        <v>15</v>
      </c>
    </row>
    <row r="130" spans="1:6" hidden="1" x14ac:dyDescent="0.3">
      <c r="A130" s="29">
        <f t="shared" si="8"/>
        <v>42943</v>
      </c>
      <c r="B130" s="39">
        <f>IF(Horo!K130&lt;&gt;"",Horo!K130,"")</f>
        <v>23</v>
      </c>
      <c r="C130" s="39">
        <f>IF(Horo!L130&lt;&gt;"",Horo!L130,"")</f>
        <v>23</v>
      </c>
      <c r="D130" s="80">
        <f t="shared" si="5"/>
        <v>5</v>
      </c>
      <c r="E130" s="33">
        <f t="shared" si="7"/>
        <v>23</v>
      </c>
      <c r="F130" s="33">
        <f t="shared" si="4"/>
        <v>14</v>
      </c>
    </row>
    <row r="131" spans="1:6" hidden="1" x14ac:dyDescent="0.3">
      <c r="A131" s="20">
        <f t="shared" si="8"/>
        <v>42944</v>
      </c>
      <c r="B131" s="37">
        <f>IF(Horo!K131&lt;&gt;"",Horo!K131,"")</f>
        <v>15</v>
      </c>
      <c r="C131" s="37">
        <f>IF(Horo!L131&lt;&gt;"",Horo!L131,"")</f>
        <v>9</v>
      </c>
      <c r="D131" s="80">
        <f t="shared" si="5"/>
        <v>5</v>
      </c>
      <c r="E131" s="33">
        <f t="shared" si="7"/>
        <v>23</v>
      </c>
      <c r="F131" s="33">
        <f t="shared" ref="F131:F194" si="9">(D131+E131)/2</f>
        <v>14</v>
      </c>
    </row>
    <row r="132" spans="1:6" hidden="1" x14ac:dyDescent="0.3">
      <c r="A132" s="25">
        <f>A127+7</f>
        <v>42947</v>
      </c>
      <c r="B132" s="38" t="str">
        <f>IF(Horo!K132&lt;&gt;"",Horo!K132,"")</f>
        <v/>
      </c>
      <c r="C132" s="38">
        <f>IF(Horo!L132&lt;&gt;"",Horo!L132,"")</f>
        <v>9</v>
      </c>
      <c r="D132" s="80">
        <f t="shared" ref="D132:D195" si="10">MIN(B125:C135)</f>
        <v>9</v>
      </c>
      <c r="E132" s="33">
        <f t="shared" ref="E132:E195" si="11">MAX(B125:C135)</f>
        <v>23</v>
      </c>
      <c r="F132" s="33">
        <f t="shared" si="9"/>
        <v>16</v>
      </c>
    </row>
    <row r="133" spans="1:6" hidden="1" x14ac:dyDescent="0.3">
      <c r="A133" s="29">
        <f t="shared" si="8"/>
        <v>42948</v>
      </c>
      <c r="B133" s="39" t="str">
        <f>IF(Horo!K133&lt;&gt;"",Horo!K133,"")</f>
        <v/>
      </c>
      <c r="C133" s="39">
        <f>IF(Horo!L133&lt;&gt;"",Horo!L133,"")</f>
        <v>9</v>
      </c>
      <c r="D133" s="80">
        <f t="shared" si="10"/>
        <v>9</v>
      </c>
      <c r="E133" s="33">
        <f t="shared" si="11"/>
        <v>23</v>
      </c>
      <c r="F133" s="33">
        <f t="shared" si="9"/>
        <v>16</v>
      </c>
    </row>
    <row r="134" spans="1:6" hidden="1" x14ac:dyDescent="0.3">
      <c r="A134" s="29">
        <f t="shared" si="8"/>
        <v>42949</v>
      </c>
      <c r="B134" s="39" t="str">
        <f>IF(Horo!K134&lt;&gt;"",Horo!K134,"")</f>
        <v/>
      </c>
      <c r="C134" s="39" t="str">
        <f>IF(Horo!L134&lt;&gt;"",Horo!L134,"")</f>
        <v/>
      </c>
      <c r="D134" s="80">
        <f t="shared" si="10"/>
        <v>9</v>
      </c>
      <c r="E134" s="33">
        <f t="shared" si="11"/>
        <v>23</v>
      </c>
      <c r="F134" s="33">
        <f t="shared" si="9"/>
        <v>16</v>
      </c>
    </row>
    <row r="135" spans="1:6" hidden="1" x14ac:dyDescent="0.3">
      <c r="A135" s="29">
        <f t="shared" si="8"/>
        <v>42950</v>
      </c>
      <c r="B135" s="39" t="str">
        <f>IF(Horo!K135&lt;&gt;"",Horo!K135,"")</f>
        <v/>
      </c>
      <c r="C135" s="39" t="str">
        <f>IF(Horo!L135&lt;&gt;"",Horo!L135,"")</f>
        <v/>
      </c>
      <c r="D135" s="80">
        <f t="shared" si="10"/>
        <v>9</v>
      </c>
      <c r="E135" s="33">
        <f t="shared" si="11"/>
        <v>23</v>
      </c>
      <c r="F135" s="33">
        <f t="shared" si="9"/>
        <v>16</v>
      </c>
    </row>
    <row r="136" spans="1:6" hidden="1" x14ac:dyDescent="0.3">
      <c r="A136" s="20">
        <f t="shared" si="8"/>
        <v>42951</v>
      </c>
      <c r="B136" s="37">
        <f>IF(Horo!K136&lt;&gt;"",Horo!K136,"")</f>
        <v>15</v>
      </c>
      <c r="C136" s="37" t="str">
        <f>IF(Horo!L136&lt;&gt;"",Horo!L136,"")</f>
        <v/>
      </c>
      <c r="D136" s="80">
        <f t="shared" si="10"/>
        <v>9</v>
      </c>
      <c r="E136" s="33">
        <f t="shared" si="11"/>
        <v>23</v>
      </c>
      <c r="F136" s="33">
        <f t="shared" si="9"/>
        <v>16</v>
      </c>
    </row>
    <row r="137" spans="1:6" hidden="1" x14ac:dyDescent="0.3">
      <c r="A137" s="25">
        <f>A132+7</f>
        <v>42954</v>
      </c>
      <c r="B137" s="38" t="str">
        <f>IF(Horo!K137&lt;&gt;"",Horo!K137,"")</f>
        <v/>
      </c>
      <c r="C137" s="38" t="str">
        <f>IF(Horo!L137&lt;&gt;"",Horo!L137,"")</f>
        <v/>
      </c>
      <c r="D137" s="80">
        <f t="shared" si="10"/>
        <v>9</v>
      </c>
      <c r="E137" s="33">
        <f t="shared" si="11"/>
        <v>23</v>
      </c>
      <c r="F137" s="33">
        <f t="shared" si="9"/>
        <v>16</v>
      </c>
    </row>
    <row r="138" spans="1:6" hidden="1" x14ac:dyDescent="0.3">
      <c r="A138" s="29">
        <f t="shared" si="8"/>
        <v>42955</v>
      </c>
      <c r="B138" s="39" t="str">
        <f>IF(Horo!K138&lt;&gt;"",Horo!K138,"")</f>
        <v/>
      </c>
      <c r="C138" s="39" t="str">
        <f>IF(Horo!L138&lt;&gt;"",Horo!L138,"")</f>
        <v/>
      </c>
      <c r="D138" s="80">
        <f t="shared" si="10"/>
        <v>9</v>
      </c>
      <c r="E138" s="33">
        <f t="shared" si="11"/>
        <v>15</v>
      </c>
      <c r="F138" s="33">
        <f t="shared" si="9"/>
        <v>12</v>
      </c>
    </row>
    <row r="139" spans="1:6" hidden="1" x14ac:dyDescent="0.3">
      <c r="A139" s="29">
        <f t="shared" si="8"/>
        <v>42956</v>
      </c>
      <c r="B139" s="39" t="str">
        <f>IF(Horo!K139&lt;&gt;"",Horo!K139,"")</f>
        <v/>
      </c>
      <c r="C139" s="39" t="str">
        <f>IF(Horo!L139&lt;&gt;"",Horo!L139,"")</f>
        <v/>
      </c>
      <c r="D139" s="80">
        <f t="shared" si="10"/>
        <v>9</v>
      </c>
      <c r="E139" s="33">
        <f t="shared" si="11"/>
        <v>15</v>
      </c>
      <c r="F139" s="33">
        <f t="shared" si="9"/>
        <v>12</v>
      </c>
    </row>
    <row r="140" spans="1:6" hidden="1" x14ac:dyDescent="0.3">
      <c r="A140" s="29">
        <f t="shared" si="8"/>
        <v>42957</v>
      </c>
      <c r="B140" s="39" t="str">
        <f>IF(Horo!K140&lt;&gt;"",Horo!K140,"")</f>
        <v/>
      </c>
      <c r="C140" s="39" t="str">
        <f>IF(Horo!L140&lt;&gt;"",Horo!L140,"")</f>
        <v/>
      </c>
      <c r="D140" s="80">
        <f t="shared" si="10"/>
        <v>9</v>
      </c>
      <c r="E140" s="33">
        <f t="shared" si="11"/>
        <v>15</v>
      </c>
      <c r="F140" s="33">
        <f t="shared" si="9"/>
        <v>12</v>
      </c>
    </row>
    <row r="141" spans="1:6" hidden="1" x14ac:dyDescent="0.3">
      <c r="A141" s="20">
        <f t="shared" si="8"/>
        <v>42958</v>
      </c>
      <c r="B141" s="37">
        <f>IF(Horo!K141&lt;&gt;"",Horo!K141,"")</f>
        <v>15</v>
      </c>
      <c r="C141" s="37" t="str">
        <f>IF(Horo!L141&lt;&gt;"",Horo!L141,"")</f>
        <v/>
      </c>
      <c r="D141" s="80">
        <f t="shared" si="10"/>
        <v>15</v>
      </c>
      <c r="E141" s="33">
        <f t="shared" si="11"/>
        <v>15</v>
      </c>
      <c r="F141" s="33">
        <f t="shared" si="9"/>
        <v>15</v>
      </c>
    </row>
    <row r="142" spans="1:6" hidden="1" x14ac:dyDescent="0.3">
      <c r="A142" s="25">
        <f>A137+7</f>
        <v>42961</v>
      </c>
      <c r="B142" s="38" t="str">
        <f>IF(Horo!K142&lt;&gt;"",Horo!K142,"")</f>
        <v/>
      </c>
      <c r="C142" s="38" t="str">
        <f>IF(Horo!L142&lt;&gt;"",Horo!L142,"")</f>
        <v/>
      </c>
      <c r="D142" s="80">
        <f t="shared" si="10"/>
        <v>15</v>
      </c>
      <c r="E142" s="33">
        <f t="shared" si="11"/>
        <v>15</v>
      </c>
      <c r="F142" s="33">
        <f t="shared" si="9"/>
        <v>15</v>
      </c>
    </row>
    <row r="143" spans="1:6" hidden="1" x14ac:dyDescent="0.3">
      <c r="A143" s="29">
        <f t="shared" si="8"/>
        <v>42962</v>
      </c>
      <c r="B143" s="39" t="str">
        <f>IF(Horo!K143&lt;&gt;"",Horo!K143,"")</f>
        <v/>
      </c>
      <c r="C143" s="39" t="str">
        <f>IF(Horo!L143&lt;&gt;"",Horo!L143,"")</f>
        <v/>
      </c>
      <c r="D143" s="80">
        <f t="shared" si="10"/>
        <v>15</v>
      </c>
      <c r="E143" s="33">
        <f t="shared" si="11"/>
        <v>15</v>
      </c>
      <c r="F143" s="33">
        <f t="shared" si="9"/>
        <v>15</v>
      </c>
    </row>
    <row r="144" spans="1:6" hidden="1" x14ac:dyDescent="0.3">
      <c r="A144" s="29">
        <f t="shared" si="8"/>
        <v>42963</v>
      </c>
      <c r="B144" s="39" t="str">
        <f>IF(Horo!K144&lt;&gt;"",Horo!K144,"")</f>
        <v/>
      </c>
      <c r="C144" s="39" t="str">
        <f>IF(Horo!L144&lt;&gt;"",Horo!L144,"")</f>
        <v/>
      </c>
      <c r="D144" s="80">
        <f t="shared" si="10"/>
        <v>15</v>
      </c>
      <c r="E144" s="33">
        <f t="shared" si="11"/>
        <v>15</v>
      </c>
      <c r="F144" s="33">
        <f t="shared" si="9"/>
        <v>15</v>
      </c>
    </row>
    <row r="145" spans="1:6" hidden="1" x14ac:dyDescent="0.3">
      <c r="A145" s="29">
        <f t="shared" si="8"/>
        <v>42964</v>
      </c>
      <c r="B145" s="39" t="str">
        <f>IF(Horo!K145&lt;&gt;"",Horo!K145,"")</f>
        <v/>
      </c>
      <c r="C145" s="39" t="str">
        <f>IF(Horo!L145&lt;&gt;"",Horo!L145,"")</f>
        <v/>
      </c>
      <c r="D145" s="80">
        <f t="shared" si="10"/>
        <v>15</v>
      </c>
      <c r="E145" s="33">
        <f t="shared" si="11"/>
        <v>36</v>
      </c>
      <c r="F145" s="33">
        <f t="shared" si="9"/>
        <v>25.5</v>
      </c>
    </row>
    <row r="146" spans="1:6" hidden="1" x14ac:dyDescent="0.3">
      <c r="A146" s="20">
        <f t="shared" si="8"/>
        <v>42965</v>
      </c>
      <c r="B146" s="37">
        <f>IF(Horo!K146&lt;&gt;"",Horo!K146,"")</f>
        <v>15</v>
      </c>
      <c r="C146" s="37" t="str">
        <f>IF(Horo!L146&lt;&gt;"",Horo!L146,"")</f>
        <v/>
      </c>
      <c r="D146" s="80">
        <f t="shared" si="10"/>
        <v>15</v>
      </c>
      <c r="E146" s="33">
        <f t="shared" si="11"/>
        <v>36</v>
      </c>
      <c r="F146" s="33">
        <f t="shared" si="9"/>
        <v>25.5</v>
      </c>
    </row>
    <row r="147" spans="1:6" hidden="1" x14ac:dyDescent="0.3">
      <c r="A147" s="25">
        <f>A142+7</f>
        <v>42968</v>
      </c>
      <c r="B147" s="38" t="str">
        <f>IF(Horo!K147&lt;&gt;"",Horo!K147,"")</f>
        <v/>
      </c>
      <c r="C147" s="38" t="str">
        <f>IF(Horo!L147&lt;&gt;"",Horo!L147,"")</f>
        <v/>
      </c>
      <c r="D147" s="80">
        <f t="shared" si="10"/>
        <v>15</v>
      </c>
      <c r="E147" s="33">
        <f t="shared" si="11"/>
        <v>36</v>
      </c>
      <c r="F147" s="33">
        <f t="shared" si="9"/>
        <v>25.5</v>
      </c>
    </row>
    <row r="148" spans="1:6" hidden="1" x14ac:dyDescent="0.3">
      <c r="A148" s="29">
        <f t="shared" si="8"/>
        <v>42969</v>
      </c>
      <c r="B148" s="39">
        <f>IF(Horo!K148&lt;&gt;"",Horo!K148,"")</f>
        <v>36</v>
      </c>
      <c r="C148" s="39">
        <f>IF(Horo!L148&lt;&gt;"",Horo!L148,"")</f>
        <v>18</v>
      </c>
      <c r="D148" s="80">
        <f t="shared" si="10"/>
        <v>15</v>
      </c>
      <c r="E148" s="33">
        <f t="shared" si="11"/>
        <v>36</v>
      </c>
      <c r="F148" s="33">
        <f t="shared" si="9"/>
        <v>25.5</v>
      </c>
    </row>
    <row r="149" spans="1:6" hidden="1" x14ac:dyDescent="0.3">
      <c r="A149" s="29">
        <f t="shared" si="8"/>
        <v>42970</v>
      </c>
      <c r="B149" s="39" t="str">
        <f>IF(Horo!K149&lt;&gt;"",Horo!K149,"")</f>
        <v/>
      </c>
      <c r="C149" s="39">
        <f>IF(Horo!L149&lt;&gt;"",Horo!L149,"")</f>
        <v>19</v>
      </c>
      <c r="D149" s="80">
        <f t="shared" si="10"/>
        <v>15</v>
      </c>
      <c r="E149" s="33">
        <f t="shared" si="11"/>
        <v>36</v>
      </c>
      <c r="F149" s="33">
        <f t="shared" si="9"/>
        <v>25.5</v>
      </c>
    </row>
    <row r="150" spans="1:6" hidden="1" x14ac:dyDescent="0.3">
      <c r="A150" s="29">
        <f t="shared" si="8"/>
        <v>42971</v>
      </c>
      <c r="B150" s="39" t="str">
        <f>IF(Horo!K150&lt;&gt;"",Horo!K150,"")</f>
        <v/>
      </c>
      <c r="C150" s="39">
        <f>IF(Horo!L150&lt;&gt;"",Horo!L150,"")</f>
        <v>23</v>
      </c>
      <c r="D150" s="80">
        <f t="shared" si="10"/>
        <v>15</v>
      </c>
      <c r="E150" s="33">
        <f t="shared" si="11"/>
        <v>36</v>
      </c>
      <c r="F150" s="33">
        <f t="shared" si="9"/>
        <v>25.5</v>
      </c>
    </row>
    <row r="151" spans="1:6" hidden="1" x14ac:dyDescent="0.3">
      <c r="A151" s="20">
        <f t="shared" si="8"/>
        <v>42972</v>
      </c>
      <c r="B151" s="37" t="str">
        <f>IF(Horo!K151&lt;&gt;"",Horo!K151,"")</f>
        <v/>
      </c>
      <c r="C151" s="37">
        <f>IF(Horo!L151&lt;&gt;"",Horo!L151,"")</f>
        <v>17</v>
      </c>
      <c r="D151" s="80">
        <f t="shared" si="10"/>
        <v>15</v>
      </c>
      <c r="E151" s="33">
        <f t="shared" si="11"/>
        <v>36</v>
      </c>
      <c r="F151" s="33">
        <f t="shared" si="9"/>
        <v>25.5</v>
      </c>
    </row>
    <row r="152" spans="1:6" hidden="1" x14ac:dyDescent="0.3">
      <c r="A152" s="25">
        <f>A147+7</f>
        <v>42975</v>
      </c>
      <c r="B152" s="38">
        <f>IF(Horo!K152&lt;&gt;"",Horo!K152,"")</f>
        <v>36</v>
      </c>
      <c r="C152" s="38" t="str">
        <f>IF(Horo!L152&lt;&gt;"",Horo!L152,"")</f>
        <v/>
      </c>
      <c r="D152" s="80">
        <f t="shared" si="10"/>
        <v>15</v>
      </c>
      <c r="E152" s="33">
        <f t="shared" si="11"/>
        <v>36</v>
      </c>
      <c r="F152" s="33">
        <f t="shared" si="9"/>
        <v>25.5</v>
      </c>
    </row>
    <row r="153" spans="1:6" hidden="1" x14ac:dyDescent="0.3">
      <c r="A153" s="29">
        <f t="shared" si="8"/>
        <v>42976</v>
      </c>
      <c r="B153" s="39" t="str">
        <f>IF(Horo!K153&lt;&gt;"",Horo!K153,"")</f>
        <v/>
      </c>
      <c r="C153" s="39" t="str">
        <f>IF(Horo!L153&lt;&gt;"",Horo!L153,"")</f>
        <v/>
      </c>
      <c r="D153" s="80">
        <f t="shared" si="10"/>
        <v>15</v>
      </c>
      <c r="E153" s="33">
        <f t="shared" si="11"/>
        <v>36</v>
      </c>
      <c r="F153" s="33">
        <f t="shared" si="9"/>
        <v>25.5</v>
      </c>
    </row>
    <row r="154" spans="1:6" hidden="1" x14ac:dyDescent="0.3">
      <c r="A154" s="29">
        <f t="shared" si="8"/>
        <v>42977</v>
      </c>
      <c r="B154" s="39">
        <f>IF(Horo!K154&lt;&gt;"",Horo!K154,"")</f>
        <v>20</v>
      </c>
      <c r="C154" s="39">
        <f>IF(Horo!L154&lt;&gt;"",Horo!L154,"")</f>
        <v>26</v>
      </c>
      <c r="D154" s="80">
        <f t="shared" si="10"/>
        <v>17</v>
      </c>
      <c r="E154" s="33">
        <f t="shared" si="11"/>
        <v>36</v>
      </c>
      <c r="F154" s="33">
        <f t="shared" si="9"/>
        <v>26.5</v>
      </c>
    </row>
    <row r="155" spans="1:6" hidden="1" x14ac:dyDescent="0.3">
      <c r="A155" s="29">
        <f t="shared" si="8"/>
        <v>42978</v>
      </c>
      <c r="B155" s="39">
        <f>IF(Horo!K155&lt;&gt;"",Horo!K155,"")</f>
        <v>26</v>
      </c>
      <c r="C155" s="39" t="str">
        <f>IF(Horo!L155&lt;&gt;"",Horo!L155,"")</f>
        <v/>
      </c>
      <c r="D155" s="80">
        <f t="shared" si="10"/>
        <v>17</v>
      </c>
      <c r="E155" s="33">
        <f t="shared" si="11"/>
        <v>36</v>
      </c>
      <c r="F155" s="33">
        <f t="shared" si="9"/>
        <v>26.5</v>
      </c>
    </row>
    <row r="156" spans="1:6" hidden="1" x14ac:dyDescent="0.3">
      <c r="A156" s="20">
        <f t="shared" si="8"/>
        <v>42979</v>
      </c>
      <c r="B156" s="37" t="str">
        <f>IF(Horo!K156&lt;&gt;"",Horo!K156,"")</f>
        <v/>
      </c>
      <c r="C156" s="37">
        <f>IF(Horo!L156&lt;&gt;"",Horo!L156,"")</f>
        <v>26</v>
      </c>
      <c r="D156" s="80">
        <f t="shared" si="10"/>
        <v>17</v>
      </c>
      <c r="E156" s="33">
        <f t="shared" si="11"/>
        <v>36</v>
      </c>
      <c r="F156" s="33">
        <f t="shared" si="9"/>
        <v>26.5</v>
      </c>
    </row>
    <row r="157" spans="1:6" hidden="1" x14ac:dyDescent="0.3">
      <c r="A157" s="25">
        <f>A152+7</f>
        <v>42982</v>
      </c>
      <c r="B157" s="38" t="str">
        <f>IF(Horo!K157&lt;&gt;"",Horo!K157,"")</f>
        <v/>
      </c>
      <c r="C157" s="38" t="str">
        <f>IF(Horo!L157&lt;&gt;"",Horo!L157,"")</f>
        <v/>
      </c>
      <c r="D157" s="80">
        <f t="shared" si="10"/>
        <v>17</v>
      </c>
      <c r="E157" s="33">
        <f t="shared" si="11"/>
        <v>36</v>
      </c>
      <c r="F157" s="33">
        <f t="shared" si="9"/>
        <v>26.5</v>
      </c>
    </row>
    <row r="158" spans="1:6" hidden="1" x14ac:dyDescent="0.3">
      <c r="A158" s="29">
        <f t="shared" si="8"/>
        <v>42983</v>
      </c>
      <c r="B158" s="39" t="str">
        <f>IF(Horo!K158&lt;&gt;"",Horo!K158,"")</f>
        <v/>
      </c>
      <c r="C158" s="39" t="str">
        <f>IF(Horo!L158&lt;&gt;"",Horo!L158,"")</f>
        <v/>
      </c>
      <c r="D158" s="80">
        <f t="shared" si="10"/>
        <v>17</v>
      </c>
      <c r="E158" s="33">
        <f t="shared" si="11"/>
        <v>36</v>
      </c>
      <c r="F158" s="33">
        <f t="shared" si="9"/>
        <v>26.5</v>
      </c>
    </row>
    <row r="159" spans="1:6" hidden="1" x14ac:dyDescent="0.3">
      <c r="A159" s="29">
        <f t="shared" si="8"/>
        <v>42984</v>
      </c>
      <c r="B159" s="39" t="str">
        <f>IF(Horo!K159&lt;&gt;"",Horo!K159,"")</f>
        <v/>
      </c>
      <c r="C159" s="39">
        <f>IF(Horo!L159&lt;&gt;"",Horo!L159,"")</f>
        <v>34</v>
      </c>
      <c r="D159" s="80">
        <f t="shared" si="10"/>
        <v>20</v>
      </c>
      <c r="E159" s="33">
        <f t="shared" si="11"/>
        <v>36</v>
      </c>
      <c r="F159" s="33">
        <f t="shared" si="9"/>
        <v>28</v>
      </c>
    </row>
    <row r="160" spans="1:6" hidden="1" x14ac:dyDescent="0.3">
      <c r="A160" s="29">
        <f t="shared" si="8"/>
        <v>42985</v>
      </c>
      <c r="B160" s="39" t="str">
        <f>IF(Horo!K160&lt;&gt;"",Horo!K160,"")</f>
        <v/>
      </c>
      <c r="C160" s="39" t="str">
        <f>IF(Horo!L160&lt;&gt;"",Horo!L160,"")</f>
        <v/>
      </c>
      <c r="D160" s="80">
        <f t="shared" si="10"/>
        <v>20</v>
      </c>
      <c r="E160" s="33">
        <f t="shared" si="11"/>
        <v>34</v>
      </c>
      <c r="F160" s="33">
        <f t="shared" si="9"/>
        <v>27</v>
      </c>
    </row>
    <row r="161" spans="1:6" hidden="1" x14ac:dyDescent="0.3">
      <c r="A161" s="20">
        <f t="shared" si="8"/>
        <v>42986</v>
      </c>
      <c r="B161" s="37">
        <f>IF(Horo!K161&lt;&gt;"",Horo!K161,"")</f>
        <v>25</v>
      </c>
      <c r="C161" s="37">
        <f>IF(Horo!L161&lt;&gt;"",Horo!L161,"")</f>
        <v>23</v>
      </c>
      <c r="D161" s="80">
        <f t="shared" si="10"/>
        <v>20</v>
      </c>
      <c r="E161" s="33">
        <f t="shared" si="11"/>
        <v>34</v>
      </c>
      <c r="F161" s="33">
        <f t="shared" si="9"/>
        <v>27</v>
      </c>
    </row>
    <row r="162" spans="1:6" hidden="1" x14ac:dyDescent="0.3">
      <c r="A162" s="25">
        <f>A157+7</f>
        <v>42989</v>
      </c>
      <c r="B162" s="38">
        <f>IF(Horo!K162&lt;&gt;"",Horo!K162,"")</f>
        <v>30</v>
      </c>
      <c r="C162" s="38">
        <f>IF(Horo!L162&lt;&gt;"",Horo!L162,"")</f>
        <v>30</v>
      </c>
      <c r="D162" s="80">
        <f t="shared" si="10"/>
        <v>23</v>
      </c>
      <c r="E162" s="33">
        <f t="shared" si="11"/>
        <v>34</v>
      </c>
      <c r="F162" s="33">
        <f t="shared" si="9"/>
        <v>28.5</v>
      </c>
    </row>
    <row r="163" spans="1:6" hidden="1" x14ac:dyDescent="0.3">
      <c r="A163" s="29">
        <f t="shared" si="8"/>
        <v>42990</v>
      </c>
      <c r="B163" s="39">
        <f>IF(Horo!K163&lt;&gt;"",Horo!K163,"")</f>
        <v>30</v>
      </c>
      <c r="C163" s="39">
        <f>IF(Horo!L163&lt;&gt;"",Horo!L163,"")</f>
        <v>31</v>
      </c>
      <c r="D163" s="80">
        <f t="shared" si="10"/>
        <v>20</v>
      </c>
      <c r="E163" s="33">
        <f t="shared" si="11"/>
        <v>34</v>
      </c>
      <c r="F163" s="33">
        <f t="shared" si="9"/>
        <v>27</v>
      </c>
    </row>
    <row r="164" spans="1:6" hidden="1" x14ac:dyDescent="0.3">
      <c r="A164" s="29">
        <f t="shared" si="8"/>
        <v>42991</v>
      </c>
      <c r="B164" s="39">
        <f>IF(Horo!K164&lt;&gt;"",Horo!K164,"")</f>
        <v>31</v>
      </c>
      <c r="C164" s="39">
        <f>IF(Horo!L164&lt;&gt;"",Horo!L164,"")</f>
        <v>27</v>
      </c>
      <c r="D164" s="80">
        <f t="shared" si="10"/>
        <v>20</v>
      </c>
      <c r="E164" s="33">
        <f t="shared" si="11"/>
        <v>47</v>
      </c>
      <c r="F164" s="33">
        <f t="shared" si="9"/>
        <v>33.5</v>
      </c>
    </row>
    <row r="165" spans="1:6" hidden="1" x14ac:dyDescent="0.3">
      <c r="A165" s="29">
        <f t="shared" si="8"/>
        <v>42992</v>
      </c>
      <c r="B165" s="39" t="str">
        <f>IF(Horo!K165&lt;&gt;"",Horo!K165,"")</f>
        <v/>
      </c>
      <c r="C165" s="39">
        <f>IF(Horo!L165&lt;&gt;"",Horo!L165,"")</f>
        <v>26</v>
      </c>
      <c r="D165" s="80">
        <f t="shared" si="10"/>
        <v>20</v>
      </c>
      <c r="E165" s="33">
        <f t="shared" si="11"/>
        <v>47</v>
      </c>
      <c r="F165" s="33">
        <f t="shared" si="9"/>
        <v>33.5</v>
      </c>
    </row>
    <row r="166" spans="1:6" hidden="1" x14ac:dyDescent="0.3">
      <c r="A166" s="20">
        <f t="shared" si="8"/>
        <v>42993</v>
      </c>
      <c r="B166" s="37" t="str">
        <f>IF(Horo!K166&lt;&gt;"",Horo!K166,"")</f>
        <v/>
      </c>
      <c r="C166" s="37">
        <f>IF(Horo!L166&lt;&gt;"",Horo!L166,"")</f>
        <v>20</v>
      </c>
      <c r="D166" s="80">
        <f t="shared" si="10"/>
        <v>20</v>
      </c>
      <c r="E166" s="33">
        <f t="shared" si="11"/>
        <v>47</v>
      </c>
      <c r="F166" s="33">
        <f t="shared" si="9"/>
        <v>33.5</v>
      </c>
    </row>
    <row r="167" spans="1:6" hidden="1" x14ac:dyDescent="0.3">
      <c r="A167" s="25">
        <f>A162+7</f>
        <v>42996</v>
      </c>
      <c r="B167" s="38">
        <f>IF(Horo!K167&lt;&gt;"",Horo!K167,"")</f>
        <v>47</v>
      </c>
      <c r="C167" s="38">
        <f>IF(Horo!L167&lt;&gt;"",Horo!L167,"")</f>
        <v>41</v>
      </c>
      <c r="D167" s="80">
        <f t="shared" si="10"/>
        <v>20</v>
      </c>
      <c r="E167" s="33">
        <f t="shared" si="11"/>
        <v>47</v>
      </c>
      <c r="F167" s="33">
        <f t="shared" si="9"/>
        <v>33.5</v>
      </c>
    </row>
    <row r="168" spans="1:6" hidden="1" x14ac:dyDescent="0.3">
      <c r="A168" s="29">
        <f t="shared" si="8"/>
        <v>42997</v>
      </c>
      <c r="B168" s="39">
        <f>IF(Horo!K168&lt;&gt;"",Horo!K168,"")</f>
        <v>34</v>
      </c>
      <c r="C168" s="39">
        <f>IF(Horo!L168&lt;&gt;"",Horo!L168,"")</f>
        <v>29</v>
      </c>
      <c r="D168" s="80">
        <f t="shared" si="10"/>
        <v>20</v>
      </c>
      <c r="E168" s="33">
        <f t="shared" si="11"/>
        <v>47</v>
      </c>
      <c r="F168" s="33">
        <f t="shared" si="9"/>
        <v>33.5</v>
      </c>
    </row>
    <row r="169" spans="1:6" hidden="1" x14ac:dyDescent="0.3">
      <c r="A169" s="29">
        <f t="shared" si="8"/>
        <v>42998</v>
      </c>
      <c r="B169" s="39">
        <f>IF(Horo!K169&lt;&gt;"",Horo!K169,"")</f>
        <v>29</v>
      </c>
      <c r="C169" s="39">
        <f>IF(Horo!L169&lt;&gt;"",Horo!L169,"")</f>
        <v>29</v>
      </c>
      <c r="D169" s="80">
        <f t="shared" si="10"/>
        <v>20</v>
      </c>
      <c r="E169" s="33">
        <f t="shared" si="11"/>
        <v>47</v>
      </c>
      <c r="F169" s="33">
        <f t="shared" si="9"/>
        <v>33.5</v>
      </c>
    </row>
    <row r="170" spans="1:6" hidden="1" x14ac:dyDescent="0.3">
      <c r="A170" s="29">
        <f t="shared" si="8"/>
        <v>42999</v>
      </c>
      <c r="B170" s="39" t="str">
        <f>IF(Horo!K170&lt;&gt;"",Horo!K170,"")</f>
        <v/>
      </c>
      <c r="C170" s="39" t="str">
        <f>IF(Horo!L170&lt;&gt;"",Horo!L170,"")</f>
        <v/>
      </c>
      <c r="D170" s="80">
        <f t="shared" si="10"/>
        <v>20</v>
      </c>
      <c r="E170" s="33">
        <f t="shared" si="11"/>
        <v>47</v>
      </c>
      <c r="F170" s="33">
        <f t="shared" si="9"/>
        <v>33.5</v>
      </c>
    </row>
    <row r="171" spans="1:6" hidden="1" x14ac:dyDescent="0.3">
      <c r="A171" s="20">
        <f t="shared" si="8"/>
        <v>43000</v>
      </c>
      <c r="B171" s="37" t="str">
        <f>IF(Horo!K171&lt;&gt;"",Horo!K171,"")</f>
        <v/>
      </c>
      <c r="C171" s="37" t="str">
        <f>IF(Horo!L171&lt;&gt;"",Horo!L171,"")</f>
        <v/>
      </c>
      <c r="D171" s="80">
        <f t="shared" si="10"/>
        <v>20</v>
      </c>
      <c r="E171" s="33">
        <f t="shared" si="11"/>
        <v>47</v>
      </c>
      <c r="F171" s="33">
        <f t="shared" si="9"/>
        <v>33.5</v>
      </c>
    </row>
    <row r="172" spans="1:6" hidden="1" x14ac:dyDescent="0.3">
      <c r="A172" s="25">
        <f>A167+7</f>
        <v>43003</v>
      </c>
      <c r="B172" s="38">
        <f>IF(Horo!K172&lt;&gt;"",Horo!K172,"")</f>
        <v>34</v>
      </c>
      <c r="C172" s="38">
        <f>IF(Horo!L172&lt;&gt;"",Horo!L172,"")</f>
        <v>40</v>
      </c>
      <c r="D172" s="80">
        <f t="shared" si="10"/>
        <v>20</v>
      </c>
      <c r="E172" s="33">
        <f t="shared" si="11"/>
        <v>47</v>
      </c>
      <c r="F172" s="33">
        <f t="shared" si="9"/>
        <v>33.5</v>
      </c>
    </row>
    <row r="173" spans="1:6" hidden="1" x14ac:dyDescent="0.3">
      <c r="A173" s="29">
        <f t="shared" si="8"/>
        <v>43004</v>
      </c>
      <c r="B173" s="39">
        <f>IF(Horo!K173&lt;&gt;"",Horo!K173,"")</f>
        <v>40</v>
      </c>
      <c r="C173" s="39">
        <f>IF(Horo!L173&lt;&gt;"",Horo!L173,"")</f>
        <v>32</v>
      </c>
      <c r="D173" s="80">
        <f t="shared" si="10"/>
        <v>20</v>
      </c>
      <c r="E173" s="33">
        <f t="shared" si="11"/>
        <v>47</v>
      </c>
      <c r="F173" s="33">
        <f t="shared" si="9"/>
        <v>33.5</v>
      </c>
    </row>
    <row r="174" spans="1:6" hidden="1" x14ac:dyDescent="0.3">
      <c r="A174" s="29">
        <f t="shared" si="8"/>
        <v>43005</v>
      </c>
      <c r="B174" s="39">
        <f>IF(Horo!K174&lt;&gt;"",Horo!K174,"")</f>
        <v>32</v>
      </c>
      <c r="C174" s="39">
        <f>IF(Horo!L174&lt;&gt;"",Horo!L174,"")</f>
        <v>32</v>
      </c>
      <c r="D174" s="80">
        <f t="shared" si="10"/>
        <v>25</v>
      </c>
      <c r="E174" s="33">
        <f t="shared" si="11"/>
        <v>47</v>
      </c>
      <c r="F174" s="33">
        <f t="shared" si="9"/>
        <v>36</v>
      </c>
    </row>
    <row r="175" spans="1:6" hidden="1" x14ac:dyDescent="0.3">
      <c r="A175" s="29">
        <f t="shared" si="8"/>
        <v>43006</v>
      </c>
      <c r="B175" s="39">
        <f>IF(Horo!K175&lt;&gt;"",Horo!K175,"")</f>
        <v>32</v>
      </c>
      <c r="C175" s="39">
        <f>IF(Horo!L175&lt;&gt;"",Horo!L175,"")</f>
        <v>25</v>
      </c>
      <c r="D175" s="80">
        <f t="shared" si="10"/>
        <v>23</v>
      </c>
      <c r="E175" s="33">
        <f t="shared" si="11"/>
        <v>43</v>
      </c>
      <c r="F175" s="33">
        <f t="shared" si="9"/>
        <v>33</v>
      </c>
    </row>
    <row r="176" spans="1:6" hidden="1" x14ac:dyDescent="0.3">
      <c r="A176" s="20">
        <f t="shared" si="8"/>
        <v>43007</v>
      </c>
      <c r="B176" s="37" t="str">
        <f>IF(Horo!K176&lt;&gt;"",Horo!K176,"")</f>
        <v/>
      </c>
      <c r="C176" s="37">
        <f>IF(Horo!L176&lt;&gt;"",Horo!L176,"")</f>
        <v>25</v>
      </c>
      <c r="D176" s="80">
        <f t="shared" si="10"/>
        <v>23</v>
      </c>
      <c r="E176" s="33">
        <f t="shared" si="11"/>
        <v>43</v>
      </c>
      <c r="F176" s="33">
        <f t="shared" si="9"/>
        <v>33</v>
      </c>
    </row>
    <row r="177" spans="1:6" hidden="1" x14ac:dyDescent="0.3">
      <c r="A177" s="25">
        <f>A172+7</f>
        <v>43010</v>
      </c>
      <c r="B177" s="38">
        <f>IF(Horo!K177&lt;&gt;"",Horo!K177,"")</f>
        <v>43</v>
      </c>
      <c r="C177" s="38">
        <f>IF(Horo!L177&lt;&gt;"",Horo!L177,"")</f>
        <v>38</v>
      </c>
      <c r="D177" s="80">
        <f t="shared" si="10"/>
        <v>23</v>
      </c>
      <c r="E177" s="33">
        <f t="shared" si="11"/>
        <v>43</v>
      </c>
      <c r="F177" s="33">
        <f t="shared" si="9"/>
        <v>33</v>
      </c>
    </row>
    <row r="178" spans="1:6" hidden="1" x14ac:dyDescent="0.3">
      <c r="A178" s="29">
        <f t="shared" si="8"/>
        <v>43011</v>
      </c>
      <c r="B178" s="39">
        <f>IF(Horo!K178&lt;&gt;"",Horo!K178,"")</f>
        <v>32</v>
      </c>
      <c r="C178" s="39">
        <f>IF(Horo!L178&lt;&gt;"",Horo!L178,"")</f>
        <v>23</v>
      </c>
      <c r="D178" s="80">
        <f t="shared" si="10"/>
        <v>23</v>
      </c>
      <c r="E178" s="33">
        <f t="shared" si="11"/>
        <v>43</v>
      </c>
      <c r="F178" s="33">
        <f t="shared" si="9"/>
        <v>33</v>
      </c>
    </row>
    <row r="179" spans="1:6" hidden="1" x14ac:dyDescent="0.3">
      <c r="A179" s="29">
        <f t="shared" si="8"/>
        <v>43012</v>
      </c>
      <c r="B179" s="39">
        <f>IF(Horo!K179&lt;&gt;"",Horo!K179,"")</f>
        <v>23</v>
      </c>
      <c r="C179" s="39">
        <f>IF(Horo!L179&lt;&gt;"",Horo!L179,"")</f>
        <v>24</v>
      </c>
      <c r="D179" s="80">
        <f t="shared" si="10"/>
        <v>23</v>
      </c>
      <c r="E179" s="33">
        <f t="shared" si="11"/>
        <v>52</v>
      </c>
      <c r="F179" s="33">
        <f t="shared" si="9"/>
        <v>37.5</v>
      </c>
    </row>
    <row r="180" spans="1:6" hidden="1" x14ac:dyDescent="0.3">
      <c r="A180" s="29">
        <f t="shared" si="8"/>
        <v>43013</v>
      </c>
      <c r="B180" s="39" t="str">
        <f>IF(Horo!K180&lt;&gt;"",Horo!K180,"")</f>
        <v/>
      </c>
      <c r="C180" s="39" t="str">
        <f>IF(Horo!L180&lt;&gt;"",Horo!L180,"")</f>
        <v/>
      </c>
      <c r="D180" s="80">
        <f t="shared" si="10"/>
        <v>23</v>
      </c>
      <c r="E180" s="33">
        <f t="shared" si="11"/>
        <v>52</v>
      </c>
      <c r="F180" s="33">
        <f t="shared" si="9"/>
        <v>37.5</v>
      </c>
    </row>
    <row r="181" spans="1:6" hidden="1" x14ac:dyDescent="0.3">
      <c r="A181" s="20">
        <f t="shared" si="8"/>
        <v>43014</v>
      </c>
      <c r="B181" s="37" t="str">
        <f>IF(Horo!K181&lt;&gt;"",Horo!K181,"")</f>
        <v/>
      </c>
      <c r="C181" s="37" t="str">
        <f>IF(Horo!L181&lt;&gt;"",Horo!L181,"")</f>
        <v/>
      </c>
      <c r="D181" s="80">
        <f t="shared" si="10"/>
        <v>23</v>
      </c>
      <c r="E181" s="33">
        <f t="shared" si="11"/>
        <v>54</v>
      </c>
      <c r="F181" s="33">
        <f t="shared" si="9"/>
        <v>38.5</v>
      </c>
    </row>
    <row r="182" spans="1:6" hidden="1" x14ac:dyDescent="0.3">
      <c r="A182" s="25">
        <f>A177+7</f>
        <v>43017</v>
      </c>
      <c r="B182" s="38">
        <f>IF(Horo!K182&lt;&gt;"",Horo!K182,"")</f>
        <v>52</v>
      </c>
      <c r="C182" s="38">
        <f>IF(Horo!L182&lt;&gt;"",Horo!L182,"")</f>
        <v>52</v>
      </c>
      <c r="D182" s="80">
        <f t="shared" si="10"/>
        <v>23</v>
      </c>
      <c r="E182" s="33">
        <f t="shared" si="11"/>
        <v>54</v>
      </c>
      <c r="F182" s="33">
        <f t="shared" si="9"/>
        <v>38.5</v>
      </c>
    </row>
    <row r="183" spans="1:6" hidden="1" x14ac:dyDescent="0.3">
      <c r="A183" s="29">
        <f t="shared" si="8"/>
        <v>43018</v>
      </c>
      <c r="B183" s="39">
        <f>IF(Horo!K183&lt;&gt;"",Horo!K183,"")</f>
        <v>52</v>
      </c>
      <c r="C183" s="39">
        <f>IF(Horo!L183&lt;&gt;"",Horo!L183,"")</f>
        <v>49</v>
      </c>
      <c r="D183" s="80">
        <f t="shared" si="10"/>
        <v>23</v>
      </c>
      <c r="E183" s="33">
        <f t="shared" si="11"/>
        <v>54</v>
      </c>
      <c r="F183" s="33">
        <f t="shared" si="9"/>
        <v>38.5</v>
      </c>
    </row>
    <row r="184" spans="1:6" hidden="1" x14ac:dyDescent="0.3">
      <c r="A184" s="29">
        <f t="shared" si="8"/>
        <v>43019</v>
      </c>
      <c r="B184" s="39">
        <f>IF(Horo!K184&lt;&gt;"",Horo!K184,"")</f>
        <v>54</v>
      </c>
      <c r="C184" s="39">
        <f>IF(Horo!L184&lt;&gt;"",Horo!L184,"")</f>
        <v>49</v>
      </c>
      <c r="D184" s="80">
        <f t="shared" si="10"/>
        <v>23</v>
      </c>
      <c r="E184" s="33">
        <f t="shared" si="11"/>
        <v>54</v>
      </c>
      <c r="F184" s="33">
        <f t="shared" si="9"/>
        <v>38.5</v>
      </c>
    </row>
    <row r="185" spans="1:6" hidden="1" x14ac:dyDescent="0.3">
      <c r="A185" s="29">
        <f t="shared" si="8"/>
        <v>43020</v>
      </c>
      <c r="B185" s="39" t="str">
        <f>IF(Horo!K185&lt;&gt;"",Horo!K185,"")</f>
        <v/>
      </c>
      <c r="C185" s="39" t="str">
        <f>IF(Horo!L185&lt;&gt;"",Horo!L185,"")</f>
        <v/>
      </c>
      <c r="D185" s="80">
        <f t="shared" si="10"/>
        <v>23</v>
      </c>
      <c r="E185" s="33">
        <f t="shared" si="11"/>
        <v>54</v>
      </c>
      <c r="F185" s="33">
        <f t="shared" si="9"/>
        <v>38.5</v>
      </c>
    </row>
    <row r="186" spans="1:6" hidden="1" x14ac:dyDescent="0.3">
      <c r="A186" s="20">
        <f t="shared" si="8"/>
        <v>43021</v>
      </c>
      <c r="B186" s="37" t="str">
        <f>IF(Horo!K186&lt;&gt;"",Horo!K186,"")</f>
        <v/>
      </c>
      <c r="C186" s="37" t="str">
        <f>IF(Horo!L186&lt;&gt;"",Horo!L186,"")</f>
        <v/>
      </c>
      <c r="D186" s="80">
        <f t="shared" si="10"/>
        <v>23</v>
      </c>
      <c r="E186" s="33">
        <f t="shared" si="11"/>
        <v>54</v>
      </c>
      <c r="F186" s="33">
        <f t="shared" si="9"/>
        <v>38.5</v>
      </c>
    </row>
    <row r="187" spans="1:6" hidden="1" x14ac:dyDescent="0.3">
      <c r="A187" s="25">
        <f t="shared" ref="A187:A192" si="12">A182+7</f>
        <v>43024</v>
      </c>
      <c r="B187" s="38">
        <f>IF(Horo!K187&lt;&gt;"",Horo!K187,"")</f>
        <v>44</v>
      </c>
      <c r="C187" s="38">
        <f>IF(Horo!L187&lt;&gt;"",Horo!L187,"")</f>
        <v>34</v>
      </c>
      <c r="D187" s="80">
        <f t="shared" si="10"/>
        <v>34</v>
      </c>
      <c r="E187" s="33">
        <f t="shared" si="11"/>
        <v>54</v>
      </c>
      <c r="F187" s="33">
        <f t="shared" si="9"/>
        <v>44</v>
      </c>
    </row>
    <row r="188" spans="1:6" hidden="1" x14ac:dyDescent="0.3">
      <c r="A188" s="29">
        <f t="shared" si="12"/>
        <v>43025</v>
      </c>
      <c r="B188" s="39" t="str">
        <f>IF(Horo!K188&lt;&gt;"",Horo!K188,"")</f>
        <v/>
      </c>
      <c r="C188" s="39">
        <f>IF(Horo!L188&lt;&gt;"",Horo!L188,"")</f>
        <v>34</v>
      </c>
      <c r="D188" s="80">
        <f t="shared" si="10"/>
        <v>34</v>
      </c>
      <c r="E188" s="33">
        <f t="shared" si="11"/>
        <v>54</v>
      </c>
      <c r="F188" s="33">
        <f t="shared" si="9"/>
        <v>44</v>
      </c>
    </row>
    <row r="189" spans="1:6" hidden="1" x14ac:dyDescent="0.3">
      <c r="A189" s="29">
        <f t="shared" si="12"/>
        <v>43026</v>
      </c>
      <c r="B189" s="39">
        <f>IF(Horo!K189&lt;&gt;"",Horo!K189,"")</f>
        <v>34</v>
      </c>
      <c r="C189" s="39">
        <f>IF(Horo!L189&lt;&gt;"",Horo!L189,"")</f>
        <v>34</v>
      </c>
      <c r="D189" s="80">
        <f t="shared" si="10"/>
        <v>34</v>
      </c>
      <c r="E189" s="33">
        <f t="shared" si="11"/>
        <v>54</v>
      </c>
      <c r="F189" s="33">
        <f t="shared" si="9"/>
        <v>44</v>
      </c>
    </row>
    <row r="190" spans="1:6" hidden="1" x14ac:dyDescent="0.3">
      <c r="A190" s="29">
        <f t="shared" si="12"/>
        <v>43027</v>
      </c>
      <c r="B190" s="39" t="str">
        <f>IF(Horo!K190&lt;&gt;"",Horo!K190,"")</f>
        <v/>
      </c>
      <c r="C190" s="39">
        <f>IF(Horo!L190&lt;&gt;"",Horo!L190,"")</f>
        <v>39</v>
      </c>
      <c r="D190" s="80">
        <f t="shared" si="10"/>
        <v>34</v>
      </c>
      <c r="E190" s="33">
        <f t="shared" si="11"/>
        <v>54</v>
      </c>
      <c r="F190" s="33">
        <f t="shared" si="9"/>
        <v>44</v>
      </c>
    </row>
    <row r="191" spans="1:6" hidden="1" x14ac:dyDescent="0.3">
      <c r="A191" s="20">
        <f t="shared" si="12"/>
        <v>43028</v>
      </c>
      <c r="B191" s="37">
        <f>IF(Horo!K191&lt;&gt;"",Horo!K191,"")</f>
        <v>39</v>
      </c>
      <c r="C191" s="37">
        <f>IF(Horo!L191&lt;&gt;"",Horo!L191,"")</f>
        <v>39</v>
      </c>
      <c r="D191" s="80">
        <f t="shared" si="10"/>
        <v>34</v>
      </c>
      <c r="E191" s="33">
        <f t="shared" si="11"/>
        <v>54</v>
      </c>
      <c r="F191" s="33">
        <f t="shared" si="9"/>
        <v>44</v>
      </c>
    </row>
    <row r="192" spans="1:6" hidden="1" x14ac:dyDescent="0.3">
      <c r="A192" s="25">
        <f t="shared" si="12"/>
        <v>43031</v>
      </c>
      <c r="B192" s="38">
        <f>IF(Horo!K192&lt;&gt;"",Horo!K192,"")</f>
        <v>47</v>
      </c>
      <c r="C192" s="38">
        <f>IF(Horo!L192&lt;&gt;"",Horo!L192,"")</f>
        <v>41</v>
      </c>
      <c r="D192" s="80">
        <f t="shared" si="10"/>
        <v>34</v>
      </c>
      <c r="E192" s="33">
        <f t="shared" si="11"/>
        <v>47</v>
      </c>
      <c r="F192" s="33">
        <f t="shared" si="9"/>
        <v>40.5</v>
      </c>
    </row>
    <row r="193" spans="1:6" hidden="1" x14ac:dyDescent="0.3">
      <c r="A193" s="29">
        <f t="shared" ref="A193:A258" si="13">A188+7</f>
        <v>43032</v>
      </c>
      <c r="B193" s="39" t="str">
        <f>IF(Horo!K193&lt;&gt;"",Horo!K193,"")</f>
        <v/>
      </c>
      <c r="C193" s="39">
        <f>IF(Horo!L193&lt;&gt;"",Horo!L193,"")</f>
        <v>40</v>
      </c>
      <c r="D193" s="80">
        <f t="shared" si="10"/>
        <v>34</v>
      </c>
      <c r="E193" s="33">
        <f t="shared" si="11"/>
        <v>47</v>
      </c>
      <c r="F193" s="33">
        <f t="shared" si="9"/>
        <v>40.5</v>
      </c>
    </row>
    <row r="194" spans="1:6" hidden="1" x14ac:dyDescent="0.3">
      <c r="A194" s="29">
        <f t="shared" si="13"/>
        <v>43033</v>
      </c>
      <c r="B194" s="39">
        <f>IF(Horo!K194&lt;&gt;"",Horo!K194,"")</f>
        <v>40</v>
      </c>
      <c r="C194" s="39">
        <f>IF(Horo!L194&lt;&gt;"",Horo!L194,"")</f>
        <v>40</v>
      </c>
      <c r="D194" s="80">
        <f t="shared" si="10"/>
        <v>34</v>
      </c>
      <c r="E194" s="33">
        <f t="shared" si="11"/>
        <v>47</v>
      </c>
      <c r="F194" s="33">
        <f t="shared" si="9"/>
        <v>40.5</v>
      </c>
    </row>
    <row r="195" spans="1:6" hidden="1" x14ac:dyDescent="0.3">
      <c r="A195" s="29">
        <f t="shared" si="13"/>
        <v>43034</v>
      </c>
      <c r="B195" s="39" t="str">
        <f>IF(Horo!K195&lt;&gt;"",Horo!K195,"")</f>
        <v/>
      </c>
      <c r="C195" s="39">
        <f>IF(Horo!L195&lt;&gt;"",Horo!L195,"")</f>
        <v>36</v>
      </c>
      <c r="D195" s="80">
        <f t="shared" si="10"/>
        <v>32</v>
      </c>
      <c r="E195" s="33">
        <f t="shared" si="11"/>
        <v>47</v>
      </c>
      <c r="F195" s="33">
        <f t="shared" ref="F195:F241" si="14">(D195+E195)/2</f>
        <v>39.5</v>
      </c>
    </row>
    <row r="196" spans="1:6" hidden="1" x14ac:dyDescent="0.3">
      <c r="A196" s="20">
        <f t="shared" si="13"/>
        <v>43035</v>
      </c>
      <c r="B196" s="37">
        <f>IF(Horo!K196&lt;&gt;"",Horo!K196,"")</f>
        <v>43</v>
      </c>
      <c r="C196" s="37" t="str">
        <f>IF(Horo!L196&lt;&gt;"",Horo!L196,"")</f>
        <v/>
      </c>
      <c r="D196" s="80">
        <f t="shared" ref="D196:D259" si="15">MIN(B189:C199)</f>
        <v>26</v>
      </c>
      <c r="E196" s="33">
        <f t="shared" ref="E196:E259" si="16">MAX(B189:C199)</f>
        <v>47</v>
      </c>
      <c r="F196" s="33">
        <f t="shared" si="14"/>
        <v>36.5</v>
      </c>
    </row>
    <row r="197" spans="1:6" hidden="1" x14ac:dyDescent="0.3">
      <c r="A197" s="25">
        <f>A192+7</f>
        <v>43038</v>
      </c>
      <c r="B197" s="38">
        <f>IF(Horo!K197&lt;&gt;"",Horo!K197,"")</f>
        <v>37</v>
      </c>
      <c r="C197" s="38" t="str">
        <f>IF(Horo!L197&lt;&gt;"",Horo!L197,"")</f>
        <v/>
      </c>
      <c r="D197" s="80">
        <f t="shared" si="15"/>
        <v>26</v>
      </c>
      <c r="E197" s="33">
        <f t="shared" si="16"/>
        <v>47</v>
      </c>
      <c r="F197" s="33">
        <f t="shared" si="14"/>
        <v>36.5</v>
      </c>
    </row>
    <row r="198" spans="1:6" hidden="1" x14ac:dyDescent="0.3">
      <c r="A198" s="29">
        <f t="shared" si="13"/>
        <v>43039</v>
      </c>
      <c r="B198" s="39">
        <f>IF(Horo!K198&lt;&gt;"",Horo!K198,"")</f>
        <v>37</v>
      </c>
      <c r="C198" s="39">
        <f>IF(Horo!L198&lt;&gt;"",Horo!L198,"")</f>
        <v>32</v>
      </c>
      <c r="D198" s="80">
        <f t="shared" si="15"/>
        <v>21</v>
      </c>
      <c r="E198" s="33">
        <f t="shared" si="16"/>
        <v>47</v>
      </c>
      <c r="F198" s="33">
        <f t="shared" si="14"/>
        <v>34</v>
      </c>
    </row>
    <row r="199" spans="1:6" hidden="1" x14ac:dyDescent="0.3">
      <c r="A199" s="29">
        <f t="shared" si="13"/>
        <v>43040</v>
      </c>
      <c r="B199" s="39">
        <f>IF(Horo!K199&lt;&gt;"",Horo!K199,"")</f>
        <v>32</v>
      </c>
      <c r="C199" s="39">
        <f>IF(Horo!L199&lt;&gt;"",Horo!L199,"")</f>
        <v>26</v>
      </c>
      <c r="D199" s="80">
        <f t="shared" si="15"/>
        <v>21</v>
      </c>
      <c r="E199" s="33">
        <f t="shared" si="16"/>
        <v>47</v>
      </c>
      <c r="F199" s="33">
        <f t="shared" si="14"/>
        <v>34</v>
      </c>
    </row>
    <row r="200" spans="1:6" hidden="1" x14ac:dyDescent="0.3">
      <c r="A200" s="29">
        <f t="shared" si="13"/>
        <v>43041</v>
      </c>
      <c r="B200" s="39">
        <f>IF(Horo!K200&lt;&gt;"",Horo!K200,"")</f>
        <v>39</v>
      </c>
      <c r="C200" s="39">
        <f>IF(Horo!L200&lt;&gt;"",Horo!L200,"")</f>
        <v>26</v>
      </c>
      <c r="D200" s="80">
        <f t="shared" si="15"/>
        <v>21</v>
      </c>
      <c r="E200" s="33">
        <f t="shared" si="16"/>
        <v>43</v>
      </c>
      <c r="F200" s="33">
        <f t="shared" si="14"/>
        <v>32</v>
      </c>
    </row>
    <row r="201" spans="1:6" hidden="1" x14ac:dyDescent="0.3">
      <c r="A201" s="20">
        <f t="shared" si="13"/>
        <v>43042</v>
      </c>
      <c r="B201" s="37">
        <f>IF(Horo!K201&lt;&gt;"",Horo!K201,"")</f>
        <v>26</v>
      </c>
      <c r="C201" s="37">
        <f>IF(Horo!L201&lt;&gt;"",Horo!L201,"")</f>
        <v>21</v>
      </c>
      <c r="D201" s="80">
        <f t="shared" si="15"/>
        <v>21</v>
      </c>
      <c r="E201" s="33">
        <f t="shared" si="16"/>
        <v>43</v>
      </c>
      <c r="F201" s="33">
        <f t="shared" si="14"/>
        <v>32</v>
      </c>
    </row>
    <row r="202" spans="1:6" hidden="1" x14ac:dyDescent="0.3">
      <c r="A202" s="25">
        <f>A197+7</f>
        <v>43045</v>
      </c>
      <c r="B202" s="38">
        <f>IF(Horo!K202&lt;&gt;"",Horo!K202,"")</f>
        <v>35</v>
      </c>
      <c r="C202" s="38">
        <f>IF(Horo!L202&lt;&gt;"",Horo!L202,"")</f>
        <v>35</v>
      </c>
      <c r="D202" s="80">
        <f t="shared" si="15"/>
        <v>21</v>
      </c>
      <c r="E202" s="33">
        <f t="shared" si="16"/>
        <v>43</v>
      </c>
      <c r="F202" s="33">
        <f t="shared" si="14"/>
        <v>32</v>
      </c>
    </row>
    <row r="203" spans="1:6" hidden="1" x14ac:dyDescent="0.3">
      <c r="A203" s="29">
        <f t="shared" si="13"/>
        <v>43046</v>
      </c>
      <c r="B203" s="39">
        <f>IF(Horo!K203&lt;&gt;"",Horo!K203,"")</f>
        <v>21</v>
      </c>
      <c r="C203" s="39">
        <f>IF(Horo!L203&lt;&gt;"",Horo!L203,"")</f>
        <v>25</v>
      </c>
      <c r="D203" s="80">
        <f t="shared" si="15"/>
        <v>21</v>
      </c>
      <c r="E203" s="33">
        <f t="shared" si="16"/>
        <v>43</v>
      </c>
      <c r="F203" s="33">
        <f t="shared" si="14"/>
        <v>32</v>
      </c>
    </row>
    <row r="204" spans="1:6" hidden="1" x14ac:dyDescent="0.3">
      <c r="A204" s="29">
        <f t="shared" si="13"/>
        <v>43047</v>
      </c>
      <c r="B204" s="39">
        <f>IF(Horo!K204&lt;&gt;"",Horo!K204,"")</f>
        <v>25</v>
      </c>
      <c r="C204" s="39">
        <f>IF(Horo!L204&lt;&gt;"",Horo!L204,"")</f>
        <v>28</v>
      </c>
      <c r="D204" s="80">
        <f t="shared" si="15"/>
        <v>21</v>
      </c>
      <c r="E204" s="33">
        <f t="shared" si="16"/>
        <v>40</v>
      </c>
      <c r="F204" s="33">
        <f t="shared" si="14"/>
        <v>30.5</v>
      </c>
    </row>
    <row r="205" spans="1:6" hidden="1" x14ac:dyDescent="0.3">
      <c r="A205" s="29">
        <f t="shared" si="13"/>
        <v>43048</v>
      </c>
      <c r="B205" s="39">
        <f>IF(Horo!K205&lt;&gt;"",Horo!K205,"")</f>
        <v>30</v>
      </c>
      <c r="C205" s="39">
        <f>IF(Horo!L205&lt;&gt;"",Horo!L205,"")</f>
        <v>25</v>
      </c>
      <c r="D205" s="80">
        <f t="shared" si="15"/>
        <v>21</v>
      </c>
      <c r="E205" s="33">
        <f t="shared" si="16"/>
        <v>40</v>
      </c>
      <c r="F205" s="33">
        <f t="shared" si="14"/>
        <v>30.5</v>
      </c>
    </row>
    <row r="206" spans="1:6" hidden="1" x14ac:dyDescent="0.3">
      <c r="A206" s="20">
        <f t="shared" si="13"/>
        <v>43049</v>
      </c>
      <c r="B206" s="37">
        <f>IF(Horo!K206&lt;&gt;"",Horo!K206,"")</f>
        <v>36</v>
      </c>
      <c r="C206" s="37">
        <f>IF(Horo!L206&lt;&gt;"",Horo!L206,"")</f>
        <v>36</v>
      </c>
      <c r="D206" s="80">
        <f t="shared" si="15"/>
        <v>21</v>
      </c>
      <c r="E206" s="33">
        <f t="shared" si="16"/>
        <v>40</v>
      </c>
      <c r="F206" s="33">
        <f t="shared" si="14"/>
        <v>30.5</v>
      </c>
    </row>
    <row r="207" spans="1:6" hidden="1" x14ac:dyDescent="0.3">
      <c r="A207" s="25">
        <f>A202+7</f>
        <v>43052</v>
      </c>
      <c r="B207" s="38" t="str">
        <f>IF(Horo!K207&lt;&gt;"",Horo!K207,"")</f>
        <v/>
      </c>
      <c r="C207" s="38">
        <f>IF(Horo!L207&lt;&gt;"",Horo!L207,"")</f>
        <v>40</v>
      </c>
      <c r="D207" s="80">
        <f t="shared" si="15"/>
        <v>21</v>
      </c>
      <c r="E207" s="33">
        <f t="shared" si="16"/>
        <v>40</v>
      </c>
      <c r="F207" s="33">
        <f t="shared" si="14"/>
        <v>30.5</v>
      </c>
    </row>
    <row r="208" spans="1:6" hidden="1" x14ac:dyDescent="0.3">
      <c r="A208" s="29">
        <f t="shared" si="13"/>
        <v>43053</v>
      </c>
      <c r="B208" s="39">
        <f>IF(Horo!K208&lt;&gt;"",Horo!K208,"")</f>
        <v>34</v>
      </c>
      <c r="C208" s="39">
        <f>IF(Horo!L208&lt;&gt;"",Horo!L208,"")</f>
        <v>34</v>
      </c>
      <c r="D208" s="80">
        <f t="shared" si="15"/>
        <v>21</v>
      </c>
      <c r="E208" s="33">
        <f t="shared" si="16"/>
        <v>40</v>
      </c>
      <c r="F208" s="33">
        <f t="shared" si="14"/>
        <v>30.5</v>
      </c>
    </row>
    <row r="209" spans="1:6" hidden="1" x14ac:dyDescent="0.3">
      <c r="A209" s="29">
        <f t="shared" si="13"/>
        <v>43054</v>
      </c>
      <c r="B209" s="39">
        <f>IF(Horo!K209&lt;&gt;"",Horo!K209,"")</f>
        <v>26</v>
      </c>
      <c r="C209" s="39">
        <f>IF(Horo!L209&lt;&gt;"",Horo!L209,"")</f>
        <v>26</v>
      </c>
      <c r="D209" s="80">
        <f t="shared" si="15"/>
        <v>21</v>
      </c>
      <c r="E209" s="33">
        <f t="shared" si="16"/>
        <v>47</v>
      </c>
      <c r="F209" s="33">
        <f t="shared" si="14"/>
        <v>34</v>
      </c>
    </row>
    <row r="210" spans="1:6" hidden="1" x14ac:dyDescent="0.3">
      <c r="A210" s="29">
        <f t="shared" si="13"/>
        <v>43055</v>
      </c>
      <c r="B210" s="39">
        <f>IF(Horo!K210&lt;&gt;"",Horo!K210,"")</f>
        <v>33</v>
      </c>
      <c r="C210" s="39">
        <f>IF(Horo!L210&lt;&gt;"",Horo!L210,"")</f>
        <v>23</v>
      </c>
      <c r="D210" s="80">
        <f t="shared" si="15"/>
        <v>21</v>
      </c>
      <c r="E210" s="33">
        <f t="shared" si="16"/>
        <v>47</v>
      </c>
      <c r="F210" s="33">
        <f t="shared" si="14"/>
        <v>34</v>
      </c>
    </row>
    <row r="211" spans="1:6" hidden="1" x14ac:dyDescent="0.3">
      <c r="A211" s="20">
        <f t="shared" si="13"/>
        <v>43056</v>
      </c>
      <c r="B211" s="37" t="str">
        <f>IF(Horo!K211&lt;&gt;"",Horo!K211,"")</f>
        <v/>
      </c>
      <c r="C211" s="37" t="str">
        <f>IF(Horo!L211&lt;&gt;"",Horo!L211,"")</f>
        <v/>
      </c>
      <c r="D211" s="80">
        <f t="shared" si="15"/>
        <v>23</v>
      </c>
      <c r="E211" s="33">
        <f t="shared" si="16"/>
        <v>47</v>
      </c>
      <c r="F211" s="33">
        <f t="shared" si="14"/>
        <v>35</v>
      </c>
    </row>
    <row r="212" spans="1:6" hidden="1" x14ac:dyDescent="0.3">
      <c r="A212" s="25">
        <f>A207+7</f>
        <v>43059</v>
      </c>
      <c r="B212" s="38" t="str">
        <f>IF(Horo!K212&lt;&gt;"",Horo!K212,"")</f>
        <v/>
      </c>
      <c r="C212" s="38">
        <f>IF(Horo!L212&lt;&gt;"",Horo!L212,"")</f>
        <v>47</v>
      </c>
      <c r="D212" s="80">
        <f t="shared" si="15"/>
        <v>23</v>
      </c>
      <c r="E212" s="33">
        <f t="shared" si="16"/>
        <v>47</v>
      </c>
      <c r="F212" s="33">
        <f t="shared" si="14"/>
        <v>35</v>
      </c>
    </row>
    <row r="213" spans="1:6" hidden="1" x14ac:dyDescent="0.3">
      <c r="A213" s="29">
        <f t="shared" si="13"/>
        <v>43060</v>
      </c>
      <c r="B213" s="39">
        <f>IF(Horo!K213&lt;&gt;"",Horo!K213,"")</f>
        <v>42</v>
      </c>
      <c r="C213" s="39">
        <f>IF(Horo!L213&lt;&gt;"",Horo!L213,"")</f>
        <v>34</v>
      </c>
      <c r="D213" s="80">
        <f t="shared" si="15"/>
        <v>23</v>
      </c>
      <c r="E213" s="33">
        <f t="shared" si="16"/>
        <v>47</v>
      </c>
      <c r="F213" s="33">
        <f t="shared" si="14"/>
        <v>35</v>
      </c>
    </row>
    <row r="214" spans="1:6" hidden="1" x14ac:dyDescent="0.3">
      <c r="A214" s="29">
        <f t="shared" si="13"/>
        <v>43061</v>
      </c>
      <c r="B214" s="39">
        <f>IF(Horo!K214&lt;&gt;"",Horo!K214,"")</f>
        <v>32</v>
      </c>
      <c r="C214" s="39">
        <f>IF(Horo!L214&lt;&gt;"",Horo!L214,"")</f>
        <v>32</v>
      </c>
      <c r="D214" s="80">
        <f t="shared" si="15"/>
        <v>23</v>
      </c>
      <c r="E214" s="33">
        <f t="shared" si="16"/>
        <v>47</v>
      </c>
      <c r="F214" s="33">
        <f t="shared" si="14"/>
        <v>35</v>
      </c>
    </row>
    <row r="215" spans="1:6" hidden="1" x14ac:dyDescent="0.3">
      <c r="A215" s="29">
        <f t="shared" si="13"/>
        <v>43062</v>
      </c>
      <c r="B215" s="39" t="str">
        <f>IF(Horo!K215&lt;&gt;"",Horo!K215,"")</f>
        <v/>
      </c>
      <c r="C215" s="39">
        <f>IF(Horo!L215&lt;&gt;"",Horo!L215,"")</f>
        <v>32</v>
      </c>
      <c r="D215" s="80">
        <f t="shared" si="15"/>
        <v>23</v>
      </c>
      <c r="E215" s="33">
        <f t="shared" si="16"/>
        <v>47</v>
      </c>
      <c r="F215" s="33">
        <f t="shared" si="14"/>
        <v>35</v>
      </c>
    </row>
    <row r="216" spans="1:6" hidden="1" x14ac:dyDescent="0.3">
      <c r="A216" s="20">
        <f t="shared" si="13"/>
        <v>43063</v>
      </c>
      <c r="B216" s="37">
        <f>IF(Horo!K216&lt;&gt;"",Horo!K216,"")</f>
        <v>32</v>
      </c>
      <c r="C216" s="37">
        <f>IF(Horo!L216&lt;&gt;"",Horo!L216,"")</f>
        <v>28</v>
      </c>
      <c r="D216" s="80">
        <f t="shared" si="15"/>
        <v>23</v>
      </c>
      <c r="E216" s="33">
        <f t="shared" si="16"/>
        <v>47</v>
      </c>
      <c r="F216" s="33">
        <f t="shared" si="14"/>
        <v>35</v>
      </c>
    </row>
    <row r="217" spans="1:6" hidden="1" x14ac:dyDescent="0.3">
      <c r="A217" s="25">
        <f>A212+7</f>
        <v>43066</v>
      </c>
      <c r="B217" s="38">
        <f>IF(Horo!K217&lt;&gt;"",Horo!K217,"")</f>
        <v>45</v>
      </c>
      <c r="C217" s="38">
        <f>IF(Horo!L217&lt;&gt;"",Horo!L217,"")</f>
        <v>33</v>
      </c>
      <c r="D217" s="80">
        <f t="shared" si="15"/>
        <v>23</v>
      </c>
      <c r="E217" s="33">
        <f t="shared" si="16"/>
        <v>47</v>
      </c>
      <c r="F217" s="33">
        <f t="shared" si="14"/>
        <v>35</v>
      </c>
    </row>
    <row r="218" spans="1:6" hidden="1" x14ac:dyDescent="0.3">
      <c r="A218" s="29">
        <f t="shared" si="13"/>
        <v>43067</v>
      </c>
      <c r="B218" s="39" t="str">
        <f>IF(Horo!K218&lt;&gt;"",Horo!K218,"")</f>
        <v/>
      </c>
      <c r="C218" s="39">
        <f>IF(Horo!L218&lt;&gt;"",Horo!L218,"")</f>
        <v>33</v>
      </c>
      <c r="D218" s="80">
        <f t="shared" si="15"/>
        <v>23</v>
      </c>
      <c r="E218" s="33">
        <f t="shared" si="16"/>
        <v>47</v>
      </c>
      <c r="F218" s="33">
        <f t="shared" si="14"/>
        <v>35</v>
      </c>
    </row>
    <row r="219" spans="1:6" hidden="1" x14ac:dyDescent="0.3">
      <c r="A219" s="29">
        <f t="shared" si="13"/>
        <v>43068</v>
      </c>
      <c r="B219" s="39">
        <f>IF(Horo!K219&lt;&gt;"",Horo!K219,"")</f>
        <v>32</v>
      </c>
      <c r="C219" s="39">
        <f>IF(Horo!L219&lt;&gt;"",Horo!L219,"")</f>
        <v>29</v>
      </c>
      <c r="D219" s="80">
        <f t="shared" si="15"/>
        <v>23</v>
      </c>
      <c r="E219" s="33">
        <f t="shared" si="16"/>
        <v>47</v>
      </c>
      <c r="F219" s="33">
        <f t="shared" si="14"/>
        <v>35</v>
      </c>
    </row>
    <row r="220" spans="1:6" hidden="1" x14ac:dyDescent="0.3">
      <c r="A220" s="29">
        <f t="shared" si="13"/>
        <v>43069</v>
      </c>
      <c r="B220" s="39">
        <f>IF(Horo!K220&lt;&gt;"",Horo!K220,"")</f>
        <v>23</v>
      </c>
      <c r="C220" s="39">
        <f>IF(Horo!L220&lt;&gt;"",Horo!L220,"")</f>
        <v>32</v>
      </c>
      <c r="D220" s="80">
        <f t="shared" si="15"/>
        <v>23</v>
      </c>
      <c r="E220" s="33">
        <f t="shared" si="16"/>
        <v>45</v>
      </c>
      <c r="F220" s="33">
        <f t="shared" si="14"/>
        <v>34</v>
      </c>
    </row>
    <row r="221" spans="1:6" hidden="1" x14ac:dyDescent="0.3">
      <c r="A221" s="20">
        <f t="shared" si="13"/>
        <v>43070</v>
      </c>
      <c r="B221" s="37">
        <f>IF(Horo!K221&lt;&gt;"",Horo!K221,"")</f>
        <v>32</v>
      </c>
      <c r="C221" s="37">
        <f>IF(Horo!L221&lt;&gt;"",Horo!L221,"")</f>
        <v>32</v>
      </c>
      <c r="D221" s="80">
        <f t="shared" si="15"/>
        <v>23</v>
      </c>
      <c r="E221" s="33">
        <f t="shared" si="16"/>
        <v>45</v>
      </c>
      <c r="F221" s="33">
        <f t="shared" si="14"/>
        <v>34</v>
      </c>
    </row>
    <row r="222" spans="1:6" hidden="1" x14ac:dyDescent="0.3">
      <c r="A222" s="25">
        <f>A217+7</f>
        <v>43073</v>
      </c>
      <c r="B222" s="38">
        <f>IF(Horo!K222&lt;&gt;"",Horo!K222,"")</f>
        <v>37</v>
      </c>
      <c r="C222" s="38">
        <f>IF(Horo!L222&lt;&gt;"",Horo!L222,"")</f>
        <v>24</v>
      </c>
      <c r="D222" s="80">
        <f t="shared" si="15"/>
        <v>17</v>
      </c>
      <c r="E222" s="33">
        <f t="shared" si="16"/>
        <v>45</v>
      </c>
      <c r="F222" s="33">
        <f t="shared" si="14"/>
        <v>31</v>
      </c>
    </row>
    <row r="223" spans="1:6" hidden="1" x14ac:dyDescent="0.3">
      <c r="A223" s="29">
        <f t="shared" si="13"/>
        <v>43074</v>
      </c>
      <c r="B223" s="39">
        <f>IF(Horo!K223&lt;&gt;"",Horo!K223,"")</f>
        <v>24</v>
      </c>
      <c r="C223" s="39">
        <f>IF(Horo!L223&lt;&gt;"",Horo!L223,"")</f>
        <v>23</v>
      </c>
      <c r="D223" s="80">
        <f t="shared" si="15"/>
        <v>17</v>
      </c>
      <c r="E223" s="33">
        <f t="shared" si="16"/>
        <v>45</v>
      </c>
      <c r="F223" s="33">
        <f t="shared" si="14"/>
        <v>31</v>
      </c>
    </row>
    <row r="224" spans="1:6" hidden="1" x14ac:dyDescent="0.3">
      <c r="A224" s="29">
        <f t="shared" si="13"/>
        <v>43075</v>
      </c>
      <c r="B224" s="39">
        <f>IF(Horo!K224&lt;&gt;"",Horo!K224,"")</f>
        <v>23</v>
      </c>
      <c r="C224" s="39">
        <f>IF(Horo!L224&lt;&gt;"",Horo!L224,"")</f>
        <v>23</v>
      </c>
      <c r="D224" s="80">
        <f t="shared" si="15"/>
        <v>17</v>
      </c>
      <c r="E224" s="33">
        <f t="shared" si="16"/>
        <v>45</v>
      </c>
      <c r="F224" s="33">
        <f t="shared" si="14"/>
        <v>31</v>
      </c>
    </row>
    <row r="225" spans="1:6" hidden="1" x14ac:dyDescent="0.3">
      <c r="A225" s="29">
        <f t="shared" si="13"/>
        <v>43076</v>
      </c>
      <c r="B225" s="39" t="str">
        <f>IF(Horo!K225&lt;&gt;"",Horo!K225,"")</f>
        <v/>
      </c>
      <c r="C225" s="39">
        <f>IF(Horo!L225&lt;&gt;"",Horo!L225,"")</f>
        <v>17</v>
      </c>
      <c r="D225" s="80">
        <f t="shared" si="15"/>
        <v>17</v>
      </c>
      <c r="E225" s="33">
        <f t="shared" si="16"/>
        <v>37</v>
      </c>
      <c r="F225" s="33">
        <f t="shared" si="14"/>
        <v>27</v>
      </c>
    </row>
    <row r="226" spans="1:6" hidden="1" x14ac:dyDescent="0.3">
      <c r="A226" s="20">
        <f t="shared" si="13"/>
        <v>43077</v>
      </c>
      <c r="B226" s="37">
        <f>IF(Horo!K226&lt;&gt;"",Horo!K226,"")</f>
        <v>21</v>
      </c>
      <c r="C226" s="37">
        <f>IF(Horo!L226&lt;&gt;"",Horo!L226,"")</f>
        <v>25</v>
      </c>
      <c r="D226" s="80">
        <f t="shared" si="15"/>
        <v>17</v>
      </c>
      <c r="E226" s="33">
        <f t="shared" si="16"/>
        <v>37</v>
      </c>
      <c r="F226" s="33">
        <f t="shared" si="14"/>
        <v>27</v>
      </c>
    </row>
    <row r="227" spans="1:6" hidden="1" x14ac:dyDescent="0.3">
      <c r="A227" s="25">
        <f>A222+7</f>
        <v>43080</v>
      </c>
      <c r="B227" s="38">
        <f>IF(Horo!K227&lt;&gt;"",Horo!K227,"")</f>
        <v>32</v>
      </c>
      <c r="C227" s="38" t="str">
        <f>IF(Horo!L227&lt;&gt;"",Horo!L227,"")</f>
        <v/>
      </c>
      <c r="D227" s="80">
        <f t="shared" si="15"/>
        <v>17</v>
      </c>
      <c r="E227" s="33">
        <f t="shared" si="16"/>
        <v>37</v>
      </c>
      <c r="F227" s="33">
        <f t="shared" si="14"/>
        <v>27</v>
      </c>
    </row>
    <row r="228" spans="1:6" hidden="1" x14ac:dyDescent="0.3">
      <c r="A228" s="29">
        <f t="shared" si="13"/>
        <v>43081</v>
      </c>
      <c r="B228" s="39">
        <f>IF(Horo!K228&lt;&gt;"",Horo!K228,"")</f>
        <v>27</v>
      </c>
      <c r="C228" s="39" t="str">
        <f>IF(Horo!L228&lt;&gt;"",Horo!L228,"")</f>
        <v/>
      </c>
      <c r="D228" s="80">
        <f t="shared" si="15"/>
        <v>17</v>
      </c>
      <c r="E228" s="33">
        <f t="shared" si="16"/>
        <v>37</v>
      </c>
      <c r="F228" s="33">
        <f t="shared" si="14"/>
        <v>27</v>
      </c>
    </row>
    <row r="229" spans="1:6" hidden="1" x14ac:dyDescent="0.3">
      <c r="A229" s="29">
        <f t="shared" si="13"/>
        <v>43082</v>
      </c>
      <c r="B229" s="39">
        <f>IF(Horo!K229&lt;&gt;"",Horo!K229,"")</f>
        <v>27</v>
      </c>
      <c r="C229" s="39">
        <f>IF(Horo!L229&lt;&gt;"",Horo!L229,"")</f>
        <v>18</v>
      </c>
      <c r="D229" s="80">
        <f t="shared" si="15"/>
        <v>17</v>
      </c>
      <c r="E229" s="33">
        <f t="shared" si="16"/>
        <v>37</v>
      </c>
      <c r="F229" s="33">
        <f t="shared" si="14"/>
        <v>27</v>
      </c>
    </row>
    <row r="230" spans="1:6" hidden="1" x14ac:dyDescent="0.3">
      <c r="A230" s="29">
        <f t="shared" si="13"/>
        <v>43083</v>
      </c>
      <c r="B230" s="39" t="str">
        <f>IF(Horo!K230&lt;&gt;"",Horo!K230,"")</f>
        <v/>
      </c>
      <c r="C230" s="39">
        <f>IF(Horo!L230&lt;&gt;"",Horo!L230,"")</f>
        <v>25</v>
      </c>
      <c r="D230" s="80">
        <f t="shared" si="15"/>
        <v>17</v>
      </c>
      <c r="E230" s="33">
        <f t="shared" si="16"/>
        <v>37</v>
      </c>
      <c r="F230" s="33">
        <f t="shared" si="14"/>
        <v>27</v>
      </c>
    </row>
    <row r="231" spans="1:6" hidden="1" x14ac:dyDescent="0.3">
      <c r="A231" s="20">
        <f t="shared" si="13"/>
        <v>43084</v>
      </c>
      <c r="B231" s="37">
        <f>IF(Horo!K231&lt;&gt;"",Horo!K231,"")</f>
        <v>35</v>
      </c>
      <c r="C231" s="37">
        <f>IF(Horo!L231&lt;&gt;"",Horo!L231,"")</f>
        <v>32</v>
      </c>
      <c r="D231" s="80">
        <f t="shared" si="15"/>
        <v>17</v>
      </c>
      <c r="E231" s="33">
        <f t="shared" si="16"/>
        <v>37</v>
      </c>
      <c r="F231" s="33">
        <f t="shared" si="14"/>
        <v>27</v>
      </c>
    </row>
    <row r="232" spans="1:6" hidden="1" x14ac:dyDescent="0.3">
      <c r="A232" s="25">
        <f>A227+7</f>
        <v>43087</v>
      </c>
      <c r="B232" s="38">
        <f>IF(Horo!K232&lt;&gt;"",Horo!K232,"")</f>
        <v>37</v>
      </c>
      <c r="C232" s="38">
        <f>IF(Horo!L232&lt;&gt;"",Horo!L232,"")</f>
        <v>24</v>
      </c>
      <c r="D232" s="80">
        <f t="shared" si="15"/>
        <v>17</v>
      </c>
      <c r="E232" s="33">
        <f t="shared" si="16"/>
        <v>37</v>
      </c>
      <c r="F232" s="33">
        <f t="shared" si="14"/>
        <v>27</v>
      </c>
    </row>
    <row r="233" spans="1:6" hidden="1" x14ac:dyDescent="0.3">
      <c r="A233" s="29">
        <f t="shared" si="13"/>
        <v>43088</v>
      </c>
      <c r="B233" s="39">
        <f>IF(Horo!K233&lt;&gt;"",Horo!K233,"")</f>
        <v>23</v>
      </c>
      <c r="C233" s="39">
        <f>IF(Horo!L233&lt;&gt;"",Horo!L233,"")</f>
        <v>23</v>
      </c>
      <c r="D233" s="80">
        <f t="shared" si="15"/>
        <v>18</v>
      </c>
      <c r="E233" s="33">
        <f t="shared" si="16"/>
        <v>37</v>
      </c>
      <c r="F233" s="33">
        <f t="shared" si="14"/>
        <v>27.5</v>
      </c>
    </row>
    <row r="234" spans="1:6" hidden="1" x14ac:dyDescent="0.3">
      <c r="A234" s="29">
        <f t="shared" si="13"/>
        <v>43089</v>
      </c>
      <c r="B234" s="39">
        <f>IF(Horo!K234&lt;&gt;"",Horo!K234,"")</f>
        <v>31</v>
      </c>
      <c r="C234" s="39">
        <f>IF(Horo!L234&lt;&gt;"",Horo!L234,"")</f>
        <v>27</v>
      </c>
      <c r="D234" s="80">
        <f t="shared" si="15"/>
        <v>18</v>
      </c>
      <c r="E234" s="33">
        <f t="shared" si="16"/>
        <v>40</v>
      </c>
      <c r="F234" s="33">
        <f t="shared" si="14"/>
        <v>29</v>
      </c>
    </row>
    <row r="235" spans="1:6" hidden="1" x14ac:dyDescent="0.3">
      <c r="A235" s="29">
        <f t="shared" si="13"/>
        <v>43090</v>
      </c>
      <c r="B235" s="39" t="str">
        <f>IF(Horo!K235&lt;&gt;"",Horo!K235,"")</f>
        <v/>
      </c>
      <c r="C235" s="39">
        <f>IF(Horo!L235&lt;&gt;"",Horo!L235,"")</f>
        <v>21</v>
      </c>
      <c r="D235" s="80">
        <f t="shared" si="15"/>
        <v>18</v>
      </c>
      <c r="E235" s="33">
        <f t="shared" si="16"/>
        <v>40</v>
      </c>
      <c r="F235" s="33">
        <f t="shared" si="14"/>
        <v>29</v>
      </c>
    </row>
    <row r="236" spans="1:6" hidden="1" x14ac:dyDescent="0.3">
      <c r="A236" s="20">
        <f t="shared" si="13"/>
        <v>43091</v>
      </c>
      <c r="B236" s="37">
        <f>IF(Horo!K236&lt;&gt;"",Horo!K236,"")</f>
        <v>27</v>
      </c>
      <c r="C236" s="37" t="str">
        <f>IF(Horo!L236&lt;&gt;"",Horo!L236,"")</f>
        <v/>
      </c>
      <c r="D236" s="80">
        <f t="shared" si="15"/>
        <v>18</v>
      </c>
      <c r="E236" s="33">
        <f t="shared" si="16"/>
        <v>40</v>
      </c>
      <c r="F236" s="33">
        <f t="shared" si="14"/>
        <v>29</v>
      </c>
    </row>
    <row r="237" spans="1:6" hidden="1" x14ac:dyDescent="0.3">
      <c r="A237" s="25">
        <f>A232+7</f>
        <v>43094</v>
      </c>
      <c r="B237" s="38">
        <f>IF(Horo!K237&lt;&gt;"",Horo!K237,"")</f>
        <v>40</v>
      </c>
      <c r="C237" s="38" t="str">
        <f>IF(Horo!L237&lt;&gt;"",Horo!L237,"")</f>
        <v/>
      </c>
      <c r="D237" s="80">
        <f t="shared" si="15"/>
        <v>19</v>
      </c>
      <c r="E237" s="33">
        <f t="shared" si="16"/>
        <v>40</v>
      </c>
      <c r="F237" s="33">
        <f t="shared" si="14"/>
        <v>29.5</v>
      </c>
    </row>
    <row r="238" spans="1:6" hidden="1" x14ac:dyDescent="0.3">
      <c r="A238" s="29">
        <f t="shared" si="13"/>
        <v>43095</v>
      </c>
      <c r="B238" s="39" t="str">
        <f>IF(Horo!K238&lt;&gt;"",Horo!K238,"")</f>
        <v/>
      </c>
      <c r="C238" s="39">
        <f>IF(Horo!L238&lt;&gt;"",Horo!L238,"")</f>
        <v>37</v>
      </c>
      <c r="D238" s="80">
        <f t="shared" si="15"/>
        <v>19</v>
      </c>
      <c r="E238" s="33">
        <f t="shared" si="16"/>
        <v>40</v>
      </c>
      <c r="F238" s="33">
        <f t="shared" si="14"/>
        <v>29.5</v>
      </c>
    </row>
    <row r="239" spans="1:6" hidden="1" x14ac:dyDescent="0.3">
      <c r="A239" s="29">
        <f t="shared" si="13"/>
        <v>43096</v>
      </c>
      <c r="B239" s="39" t="str">
        <f>IF(Horo!K239&lt;&gt;"",Horo!K239,"")</f>
        <v/>
      </c>
      <c r="C239" s="39">
        <f>IF(Horo!L239&lt;&gt;"",Horo!L239,"")</f>
        <v>31</v>
      </c>
      <c r="D239" s="80">
        <f t="shared" si="15"/>
        <v>19</v>
      </c>
      <c r="E239" s="33">
        <f t="shared" si="16"/>
        <v>40</v>
      </c>
      <c r="F239" s="33">
        <f t="shared" si="14"/>
        <v>29.5</v>
      </c>
    </row>
    <row r="240" spans="1:6" hidden="1" x14ac:dyDescent="0.3">
      <c r="A240" s="29">
        <f t="shared" si="13"/>
        <v>43097</v>
      </c>
      <c r="B240" s="39" t="str">
        <f>IF(Horo!K240&lt;&gt;"",Horo!K240,"")</f>
        <v/>
      </c>
      <c r="C240" s="39">
        <f>IF(Horo!L240&lt;&gt;"",Horo!L240,"")</f>
        <v>19</v>
      </c>
      <c r="D240" s="80">
        <f t="shared" si="15"/>
        <v>19</v>
      </c>
      <c r="E240" s="33">
        <f t="shared" si="16"/>
        <v>40</v>
      </c>
      <c r="F240" s="33">
        <f t="shared" si="14"/>
        <v>29.5</v>
      </c>
    </row>
    <row r="241" spans="1:6" hidden="1" x14ac:dyDescent="0.3">
      <c r="A241" s="20">
        <f t="shared" si="13"/>
        <v>43098</v>
      </c>
      <c r="B241" s="37">
        <f>IF(Horo!K241&lt;&gt;"",Horo!K241,"")</f>
        <v>30</v>
      </c>
      <c r="C241" s="37" t="str">
        <f>IF(Horo!L241&lt;&gt;"",Horo!L241,"")</f>
        <v/>
      </c>
      <c r="D241" s="80">
        <f t="shared" si="15"/>
        <v>19</v>
      </c>
      <c r="E241" s="33">
        <f t="shared" si="16"/>
        <v>40</v>
      </c>
      <c r="F241" s="33">
        <f t="shared" si="14"/>
        <v>29.5</v>
      </c>
    </row>
    <row r="242" spans="1:6" x14ac:dyDescent="0.3">
      <c r="A242" s="25">
        <f>A237+7</f>
        <v>43101</v>
      </c>
      <c r="B242" s="38" t="str">
        <f>IF(Horo!K242&lt;&gt;"",Horo!K242,"")</f>
        <v/>
      </c>
      <c r="C242" s="38" t="str">
        <f>IF(Horo!L242&lt;&gt;"",Horo!L242,"")</f>
        <v/>
      </c>
      <c r="D242" s="80">
        <f t="shared" si="15"/>
        <v>19</v>
      </c>
      <c r="E242" s="33">
        <f t="shared" si="16"/>
        <v>40</v>
      </c>
    </row>
    <row r="243" spans="1:6" x14ac:dyDescent="0.3">
      <c r="A243" s="29">
        <f t="shared" si="13"/>
        <v>43102</v>
      </c>
      <c r="B243" s="39" t="str">
        <f>IF(Horo!K243&lt;&gt;"",Horo!K243,"")</f>
        <v/>
      </c>
      <c r="C243" s="39" t="str">
        <f>IF(Horo!L243&lt;&gt;"",Horo!L243,"")</f>
        <v/>
      </c>
      <c r="D243" s="80">
        <f t="shared" si="15"/>
        <v>19</v>
      </c>
      <c r="E243" s="33">
        <f t="shared" si="16"/>
        <v>40</v>
      </c>
    </row>
    <row r="244" spans="1:6" x14ac:dyDescent="0.3">
      <c r="A244" s="29">
        <f t="shared" si="13"/>
        <v>43103</v>
      </c>
      <c r="B244" s="39" t="str">
        <f>IF(Horo!K244&lt;&gt;"",Horo!K244,"")</f>
        <v/>
      </c>
      <c r="C244" s="39" t="str">
        <f>IF(Horo!L244&lt;&gt;"",Horo!L244,"")</f>
        <v/>
      </c>
      <c r="D244" s="80">
        <f t="shared" si="15"/>
        <v>19</v>
      </c>
      <c r="E244" s="33">
        <f t="shared" si="16"/>
        <v>40</v>
      </c>
    </row>
    <row r="245" spans="1:6" x14ac:dyDescent="0.3">
      <c r="A245" s="29">
        <f t="shared" si="13"/>
        <v>43104</v>
      </c>
      <c r="B245" s="39" t="str">
        <f>IF(Horo!K245&lt;&gt;"",Horo!K245,"")</f>
        <v/>
      </c>
      <c r="C245" s="39" t="str">
        <f>IF(Horo!L245&lt;&gt;"",Horo!L245,"")</f>
        <v/>
      </c>
      <c r="D245" s="80">
        <f t="shared" si="15"/>
        <v>19</v>
      </c>
      <c r="E245" s="33">
        <f t="shared" si="16"/>
        <v>37</v>
      </c>
    </row>
    <row r="246" spans="1:6" x14ac:dyDescent="0.3">
      <c r="A246" s="20">
        <f t="shared" si="13"/>
        <v>43105</v>
      </c>
      <c r="B246" s="37" t="str">
        <f>IF(Horo!K246&lt;&gt;"",Horo!K246,"")</f>
        <v/>
      </c>
      <c r="C246" s="37" t="str">
        <f>IF(Horo!L246&lt;&gt;"",Horo!L246,"")</f>
        <v/>
      </c>
      <c r="D246" s="80">
        <f t="shared" si="15"/>
        <v>18</v>
      </c>
      <c r="E246" s="33">
        <f t="shared" si="16"/>
        <v>35</v>
      </c>
    </row>
    <row r="247" spans="1:6" x14ac:dyDescent="0.3">
      <c r="A247" s="25">
        <f>A242+7</f>
        <v>43108</v>
      </c>
      <c r="B247" s="38">
        <f>IF(Horo!K247&lt;&gt;"",Horo!K247,"")</f>
        <v>35</v>
      </c>
      <c r="C247" s="38" t="str">
        <f>IF(Horo!L247&lt;&gt;"",Horo!L247,"")</f>
        <v/>
      </c>
      <c r="D247" s="80">
        <f t="shared" si="15"/>
        <v>18</v>
      </c>
      <c r="E247" s="33">
        <f t="shared" si="16"/>
        <v>35</v>
      </c>
    </row>
    <row r="248" spans="1:6" x14ac:dyDescent="0.3">
      <c r="A248" s="29">
        <f t="shared" si="13"/>
        <v>43109</v>
      </c>
      <c r="B248" s="39">
        <f>IF(Horo!K248&lt;&gt;"",Horo!K248,"")</f>
        <v>29</v>
      </c>
      <c r="C248" s="39">
        <f>IF(Horo!L248&lt;&gt;"",Horo!L248,"")</f>
        <v>20</v>
      </c>
      <c r="D248" s="80">
        <f t="shared" si="15"/>
        <v>18</v>
      </c>
      <c r="E248" s="33">
        <f t="shared" si="16"/>
        <v>35</v>
      </c>
    </row>
    <row r="249" spans="1:6" x14ac:dyDescent="0.3">
      <c r="A249" s="29">
        <f t="shared" si="13"/>
        <v>43110</v>
      </c>
      <c r="B249" s="39">
        <f>IF(Horo!K249&lt;&gt;"",Horo!K249,"")</f>
        <v>20</v>
      </c>
      <c r="C249" s="39">
        <f>IF(Horo!L249&lt;&gt;"",Horo!L249,"")</f>
        <v>18</v>
      </c>
      <c r="D249" s="80">
        <f t="shared" si="15"/>
        <v>16</v>
      </c>
      <c r="E249" s="33">
        <f t="shared" si="16"/>
        <v>35</v>
      </c>
    </row>
    <row r="250" spans="1:6" x14ac:dyDescent="0.3">
      <c r="A250" s="29">
        <f t="shared" si="13"/>
        <v>43111</v>
      </c>
      <c r="B250" s="39" t="str">
        <f>IF(Horo!K250&lt;&gt;"",Horo!K250,"")</f>
        <v/>
      </c>
      <c r="C250" s="39">
        <f>IF(Horo!L250&lt;&gt;"",Horo!L250,"")</f>
        <v>19</v>
      </c>
      <c r="D250" s="80">
        <f t="shared" si="15"/>
        <v>16</v>
      </c>
      <c r="E250" s="33">
        <f t="shared" si="16"/>
        <v>35</v>
      </c>
    </row>
    <row r="251" spans="1:6" x14ac:dyDescent="0.3">
      <c r="A251" s="20">
        <f t="shared" si="13"/>
        <v>43112</v>
      </c>
      <c r="B251" s="37">
        <f>IF(Horo!K251&lt;&gt;"",Horo!K251,"")</f>
        <v>19</v>
      </c>
      <c r="C251" s="37">
        <f>IF(Horo!L251&lt;&gt;"",Horo!L251,"")</f>
        <v>25</v>
      </c>
      <c r="D251" s="80">
        <f t="shared" si="15"/>
        <v>16</v>
      </c>
      <c r="E251" s="33">
        <f t="shared" si="16"/>
        <v>35</v>
      </c>
    </row>
    <row r="252" spans="1:6" x14ac:dyDescent="0.3">
      <c r="A252" s="25">
        <f>A247+7</f>
        <v>43115</v>
      </c>
      <c r="B252" s="38">
        <f>IF(Horo!K252&lt;&gt;"",Horo!K252,"")</f>
        <v>35</v>
      </c>
      <c r="C252" s="38">
        <f>IF(Horo!L252&lt;&gt;"",Horo!L252,"")</f>
        <v>16</v>
      </c>
      <c r="D252" s="80">
        <f t="shared" si="15"/>
        <v>16</v>
      </c>
      <c r="E252" s="33">
        <f t="shared" si="16"/>
        <v>35</v>
      </c>
    </row>
    <row r="253" spans="1:6" x14ac:dyDescent="0.3">
      <c r="A253" s="29">
        <f t="shared" si="13"/>
        <v>43116</v>
      </c>
      <c r="B253" s="39">
        <f>IF(Horo!K253&lt;&gt;"",Horo!K253,"")</f>
        <v>23</v>
      </c>
      <c r="C253" s="39">
        <f>IF(Horo!L253&lt;&gt;"",Horo!L253,"")</f>
        <v>24</v>
      </c>
      <c r="D253" s="80">
        <f t="shared" si="15"/>
        <v>16</v>
      </c>
      <c r="E253" s="33">
        <f t="shared" si="16"/>
        <v>35</v>
      </c>
    </row>
    <row r="254" spans="1:6" x14ac:dyDescent="0.3">
      <c r="A254" s="29">
        <f t="shared" si="13"/>
        <v>43117</v>
      </c>
      <c r="B254" s="39">
        <f>IF(Horo!K254&lt;&gt;"",Horo!K254,"")</f>
        <v>30</v>
      </c>
      <c r="C254" s="39">
        <f>IF(Horo!L254&lt;&gt;"",Horo!L254,"")</f>
        <v>30</v>
      </c>
      <c r="D254" s="80">
        <f t="shared" si="15"/>
        <v>16</v>
      </c>
      <c r="E254" s="33">
        <f t="shared" si="16"/>
        <v>43</v>
      </c>
    </row>
    <row r="255" spans="1:6" x14ac:dyDescent="0.3">
      <c r="A255" s="29">
        <f t="shared" si="13"/>
        <v>43118</v>
      </c>
      <c r="B255" s="39">
        <f>IF(Horo!K255&lt;&gt;"",Horo!K255,"")</f>
        <v>30</v>
      </c>
      <c r="C255" s="39">
        <f>IF(Horo!L255&lt;&gt;"",Horo!L255,"")</f>
        <v>20</v>
      </c>
      <c r="D255" s="80">
        <f t="shared" si="15"/>
        <v>16</v>
      </c>
      <c r="E255" s="33">
        <f t="shared" si="16"/>
        <v>43</v>
      </c>
    </row>
    <row r="256" spans="1:6" x14ac:dyDescent="0.3">
      <c r="A256" s="20">
        <f t="shared" si="13"/>
        <v>43119</v>
      </c>
      <c r="B256" s="37" t="str">
        <f>IF(Horo!K256&lt;&gt;"",Horo!K256,"")</f>
        <v/>
      </c>
      <c r="C256" s="37">
        <f>IF(Horo!L256&lt;&gt;"",Horo!L256,"")</f>
        <v>20</v>
      </c>
      <c r="D256" s="80">
        <f t="shared" si="15"/>
        <v>16</v>
      </c>
      <c r="E256" s="33">
        <f t="shared" si="16"/>
        <v>43</v>
      </c>
    </row>
    <row r="257" spans="1:5" x14ac:dyDescent="0.3">
      <c r="A257" s="25">
        <f>A252+7</f>
        <v>43122</v>
      </c>
      <c r="B257" s="38">
        <f>IF(Horo!K257&lt;&gt;"",Horo!K257,"")</f>
        <v>43</v>
      </c>
      <c r="C257" s="38">
        <f>IF(Horo!L257&lt;&gt;"",Horo!L257,"")</f>
        <v>43</v>
      </c>
      <c r="D257" s="80">
        <f t="shared" si="15"/>
        <v>16</v>
      </c>
      <c r="E257" s="33">
        <f t="shared" si="16"/>
        <v>43</v>
      </c>
    </row>
    <row r="258" spans="1:5" x14ac:dyDescent="0.3">
      <c r="A258" s="29">
        <f t="shared" si="13"/>
        <v>43123</v>
      </c>
      <c r="B258" s="39" t="str">
        <f>IF(Horo!K258&lt;&gt;"",Horo!K258,"")</f>
        <v/>
      </c>
      <c r="C258" s="39">
        <f>IF(Horo!L258&lt;&gt;"",Horo!L258,"")</f>
        <v>27</v>
      </c>
      <c r="D258" s="80">
        <f t="shared" si="15"/>
        <v>16</v>
      </c>
      <c r="E258" s="33">
        <f t="shared" si="16"/>
        <v>43</v>
      </c>
    </row>
    <row r="259" spans="1:5" x14ac:dyDescent="0.3">
      <c r="A259" s="29">
        <f t="shared" ref="A259:A323" si="17">A254+7</f>
        <v>43124</v>
      </c>
      <c r="B259" s="39">
        <f>IF(Horo!K259&lt;&gt;"",Horo!K259,"")</f>
        <v>33</v>
      </c>
      <c r="C259" s="39" t="str">
        <f>IF(Horo!L259&lt;&gt;"",Horo!L259,"")</f>
        <v/>
      </c>
      <c r="D259" s="80">
        <f t="shared" si="15"/>
        <v>16</v>
      </c>
      <c r="E259" s="33">
        <f t="shared" si="16"/>
        <v>50</v>
      </c>
    </row>
    <row r="260" spans="1:5" x14ac:dyDescent="0.3">
      <c r="A260" s="29">
        <f t="shared" si="17"/>
        <v>43125</v>
      </c>
      <c r="B260" s="39" t="str">
        <f>IF(Horo!K260&lt;&gt;"",Horo!K260,"")</f>
        <v/>
      </c>
      <c r="C260" s="39">
        <f>IF(Horo!L260&lt;&gt;"",Horo!L260,"")</f>
        <v>19</v>
      </c>
      <c r="D260" s="80">
        <f t="shared" ref="D260:D323" si="18">MIN(B253:C263)</f>
        <v>19</v>
      </c>
      <c r="E260" s="33">
        <f t="shared" ref="E260:E323" si="19">MAX(B253:C263)</f>
        <v>50</v>
      </c>
    </row>
    <row r="261" spans="1:5" x14ac:dyDescent="0.3">
      <c r="A261" s="20">
        <f t="shared" si="17"/>
        <v>43126</v>
      </c>
      <c r="B261" s="37">
        <f>IF(Horo!K261&lt;&gt;"",Horo!K261,"")</f>
        <v>19</v>
      </c>
      <c r="C261" s="37">
        <f>IF(Horo!L261&lt;&gt;"",Horo!L261,"")</f>
        <v>19</v>
      </c>
      <c r="D261" s="80">
        <f t="shared" si="18"/>
        <v>19</v>
      </c>
      <c r="E261" s="33">
        <f t="shared" si="19"/>
        <v>50</v>
      </c>
    </row>
    <row r="262" spans="1:5" x14ac:dyDescent="0.3">
      <c r="A262" s="25">
        <f>A257+7</f>
        <v>43129</v>
      </c>
      <c r="B262" s="38">
        <f>IF(Horo!K262&lt;&gt;"",Horo!K262,"")</f>
        <v>50</v>
      </c>
      <c r="C262" s="38">
        <f>IF(Horo!L262&lt;&gt;"",Horo!L262,"")</f>
        <v>34</v>
      </c>
      <c r="D262" s="80">
        <f t="shared" si="18"/>
        <v>19</v>
      </c>
      <c r="E262" s="33">
        <f t="shared" si="19"/>
        <v>50</v>
      </c>
    </row>
    <row r="263" spans="1:5" x14ac:dyDescent="0.3">
      <c r="A263" s="29">
        <f t="shared" si="17"/>
        <v>43130</v>
      </c>
      <c r="B263" s="39">
        <f>IF(Horo!K263&lt;&gt;"",Horo!K263,"")</f>
        <v>34</v>
      </c>
      <c r="C263" s="39">
        <f>IF(Horo!L263&lt;&gt;"",Horo!L263,"")</f>
        <v>40</v>
      </c>
      <c r="D263" s="80">
        <f t="shared" si="18"/>
        <v>19</v>
      </c>
      <c r="E263" s="33">
        <f t="shared" si="19"/>
        <v>50</v>
      </c>
    </row>
    <row r="264" spans="1:5" x14ac:dyDescent="0.3">
      <c r="A264" s="29">
        <f t="shared" si="17"/>
        <v>43131</v>
      </c>
      <c r="B264" s="39" t="str">
        <f>IF(Horo!K264&lt;&gt;"",Horo!K264,"")</f>
        <v/>
      </c>
      <c r="C264" s="39">
        <f>IF(Horo!L264&lt;&gt;"",Horo!L264,"")</f>
        <v>34</v>
      </c>
      <c r="D264" s="80">
        <f t="shared" si="18"/>
        <v>19</v>
      </c>
      <c r="E264" s="33">
        <f t="shared" si="19"/>
        <v>50</v>
      </c>
    </row>
    <row r="265" spans="1:5" x14ac:dyDescent="0.3">
      <c r="A265" s="29">
        <f t="shared" si="17"/>
        <v>43132</v>
      </c>
      <c r="B265" s="39" t="str">
        <f>IF(Horo!K265&lt;&gt;"",Horo!K265,"")</f>
        <v/>
      </c>
      <c r="C265" s="39">
        <f>IF(Horo!L265&lt;&gt;"",Horo!L265,"")</f>
        <v>25</v>
      </c>
      <c r="D265" s="80">
        <f t="shared" si="18"/>
        <v>19</v>
      </c>
      <c r="E265" s="33">
        <f t="shared" si="19"/>
        <v>50</v>
      </c>
    </row>
    <row r="266" spans="1:5" x14ac:dyDescent="0.3">
      <c r="A266" s="20">
        <f t="shared" si="17"/>
        <v>43133</v>
      </c>
      <c r="B266" s="37" t="str">
        <f>IF(Horo!K266&lt;&gt;"",Horo!K266,"")</f>
        <v/>
      </c>
      <c r="C266" s="37" t="str">
        <f>IF(Horo!L266&lt;&gt;"",Horo!L266,"")</f>
        <v/>
      </c>
      <c r="D266" s="80">
        <f t="shared" si="18"/>
        <v>19</v>
      </c>
      <c r="E266" s="33">
        <f t="shared" si="19"/>
        <v>50</v>
      </c>
    </row>
    <row r="267" spans="1:5" x14ac:dyDescent="0.3">
      <c r="A267" s="25">
        <f>A262+7</f>
        <v>43136</v>
      </c>
      <c r="B267" s="38" t="str">
        <f>IF(Horo!K267&lt;&gt;"",Horo!K267,"")</f>
        <v/>
      </c>
      <c r="C267" s="38">
        <f>IF(Horo!L267&lt;&gt;"",Horo!L267,"")</f>
        <v>34</v>
      </c>
      <c r="D267" s="80">
        <f t="shared" si="18"/>
        <v>19</v>
      </c>
      <c r="E267" s="33">
        <f t="shared" si="19"/>
        <v>50</v>
      </c>
    </row>
    <row r="268" spans="1:5" x14ac:dyDescent="0.3">
      <c r="A268" s="29">
        <f t="shared" si="17"/>
        <v>43137</v>
      </c>
      <c r="B268" s="39">
        <f>IF(Horo!K268&lt;&gt;"",Horo!K268,"")</f>
        <v>44</v>
      </c>
      <c r="C268" s="39" t="str">
        <f>IF(Horo!L268&lt;&gt;"",Horo!L268,"")</f>
        <v/>
      </c>
      <c r="D268" s="80">
        <f t="shared" si="18"/>
        <v>19</v>
      </c>
      <c r="E268" s="33">
        <f t="shared" si="19"/>
        <v>50</v>
      </c>
    </row>
    <row r="269" spans="1:5" x14ac:dyDescent="0.3">
      <c r="A269" s="29">
        <f t="shared" si="17"/>
        <v>43138</v>
      </c>
      <c r="B269" s="39">
        <f>IF(Horo!K269&lt;&gt;"",Horo!K269,"")</f>
        <v>36</v>
      </c>
      <c r="C269" s="39">
        <f>IF(Horo!L269&lt;&gt;"",Horo!L269,"")</f>
        <v>44</v>
      </c>
      <c r="D269" s="80">
        <f t="shared" si="18"/>
        <v>25</v>
      </c>
      <c r="E269" s="33">
        <f t="shared" si="19"/>
        <v>50</v>
      </c>
    </row>
    <row r="270" spans="1:5" x14ac:dyDescent="0.3">
      <c r="A270" s="29">
        <f t="shared" si="17"/>
        <v>43139</v>
      </c>
      <c r="B270" s="39" t="str">
        <f>IF(Horo!K270&lt;&gt;"",Horo!K270,"")</f>
        <v/>
      </c>
      <c r="C270" s="39">
        <f>IF(Horo!L270&lt;&gt;"",Horo!L270,"")</f>
        <v>30</v>
      </c>
      <c r="D270" s="80">
        <f t="shared" si="18"/>
        <v>25</v>
      </c>
      <c r="E270" s="33">
        <f t="shared" si="19"/>
        <v>49</v>
      </c>
    </row>
    <row r="271" spans="1:5" x14ac:dyDescent="0.3">
      <c r="A271" s="20">
        <f t="shared" si="17"/>
        <v>43140</v>
      </c>
      <c r="B271" s="37">
        <f>IF(Horo!K271&lt;&gt;"",Horo!K271,"")</f>
        <v>37</v>
      </c>
      <c r="C271" s="37" t="str">
        <f>IF(Horo!L271&lt;&gt;"",Horo!L271,"")</f>
        <v/>
      </c>
      <c r="D271" s="80">
        <f t="shared" si="18"/>
        <v>25</v>
      </c>
      <c r="E271" s="33">
        <f t="shared" si="19"/>
        <v>49</v>
      </c>
    </row>
    <row r="272" spans="1:5" x14ac:dyDescent="0.3">
      <c r="A272" s="25">
        <f>A267+7</f>
        <v>43143</v>
      </c>
      <c r="B272" s="38">
        <f>IF(Horo!K272&lt;&gt;"",Horo!K272,"")</f>
        <v>49</v>
      </c>
      <c r="C272" s="38">
        <f>IF(Horo!L272&lt;&gt;"",Horo!L272,"")</f>
        <v>44</v>
      </c>
      <c r="D272" s="80">
        <f t="shared" si="18"/>
        <v>25</v>
      </c>
      <c r="E272" s="33">
        <f t="shared" si="19"/>
        <v>49</v>
      </c>
    </row>
    <row r="273" spans="1:5" x14ac:dyDescent="0.3">
      <c r="A273" s="29">
        <f t="shared" si="17"/>
        <v>43144</v>
      </c>
      <c r="B273" s="39">
        <f>IF(Horo!K273&lt;&gt;"",Horo!K273,"")</f>
        <v>44</v>
      </c>
      <c r="C273" s="39">
        <f>IF(Horo!L273&lt;&gt;"",Horo!L273,"")</f>
        <v>33</v>
      </c>
      <c r="D273" s="80">
        <f t="shared" si="18"/>
        <v>30</v>
      </c>
      <c r="E273" s="33">
        <f t="shared" si="19"/>
        <v>49</v>
      </c>
    </row>
    <row r="274" spans="1:5" x14ac:dyDescent="0.3">
      <c r="A274" s="29">
        <f t="shared" si="17"/>
        <v>43145</v>
      </c>
      <c r="B274" s="39">
        <f>IF(Horo!K274&lt;&gt;"",Horo!K274,"")</f>
        <v>33</v>
      </c>
      <c r="C274" s="39">
        <f>IF(Horo!L274&lt;&gt;"",Horo!L274,"")</f>
        <v>33</v>
      </c>
      <c r="D274" s="80">
        <f t="shared" si="18"/>
        <v>30</v>
      </c>
      <c r="E274" s="33">
        <f t="shared" si="19"/>
        <v>49</v>
      </c>
    </row>
    <row r="275" spans="1:5" x14ac:dyDescent="0.3">
      <c r="A275" s="29">
        <f t="shared" si="17"/>
        <v>43146</v>
      </c>
      <c r="B275" s="39">
        <f>IF(Horo!K275&lt;&gt;"",Horo!K275,"")</f>
        <v>33</v>
      </c>
      <c r="C275" s="39">
        <f>IF(Horo!L275&lt;&gt;"",Horo!L275,"")</f>
        <v>33</v>
      </c>
      <c r="D275" s="80">
        <f t="shared" si="18"/>
        <v>30</v>
      </c>
      <c r="E275" s="33">
        <f t="shared" si="19"/>
        <v>49</v>
      </c>
    </row>
    <row r="276" spans="1:5" x14ac:dyDescent="0.3">
      <c r="A276" s="20">
        <f t="shared" si="17"/>
        <v>43147</v>
      </c>
      <c r="B276" s="37">
        <f>IF(Horo!K276&lt;&gt;"",Horo!K276,"")</f>
        <v>44</v>
      </c>
      <c r="C276" s="37" t="str">
        <f>IF(Horo!L276&lt;&gt;"",Horo!L276,"")</f>
        <v/>
      </c>
      <c r="D276" s="80">
        <f t="shared" si="18"/>
        <v>30</v>
      </c>
      <c r="E276" s="33">
        <f t="shared" si="19"/>
        <v>49</v>
      </c>
    </row>
    <row r="277" spans="1:5" x14ac:dyDescent="0.3">
      <c r="A277" s="25">
        <f>A272+7</f>
        <v>43150</v>
      </c>
      <c r="B277" s="38">
        <f>IF(Horo!K277&lt;&gt;"",Horo!K277,"")</f>
        <v>47</v>
      </c>
      <c r="C277" s="38">
        <f>IF(Horo!L277&lt;&gt;"",Horo!L277,"")</f>
        <v>46</v>
      </c>
      <c r="D277" s="80">
        <f t="shared" si="18"/>
        <v>27</v>
      </c>
      <c r="E277" s="33">
        <f t="shared" si="19"/>
        <v>49</v>
      </c>
    </row>
    <row r="278" spans="1:5" x14ac:dyDescent="0.3">
      <c r="A278" s="29">
        <f t="shared" si="17"/>
        <v>43151</v>
      </c>
      <c r="B278" s="39">
        <f>IF(Horo!K278&lt;&gt;"",Horo!K278,"")</f>
        <v>40</v>
      </c>
      <c r="C278" s="39">
        <f>IF(Horo!L278&lt;&gt;"",Horo!L278,"")</f>
        <v>40</v>
      </c>
      <c r="D278" s="80">
        <f t="shared" si="18"/>
        <v>27</v>
      </c>
      <c r="E278" s="33">
        <f t="shared" si="19"/>
        <v>49</v>
      </c>
    </row>
    <row r="279" spans="1:5" x14ac:dyDescent="0.3">
      <c r="A279" s="29">
        <f t="shared" si="17"/>
        <v>43152</v>
      </c>
      <c r="B279" s="39">
        <f>IF(Horo!K279&lt;&gt;"",Horo!K279,"")</f>
        <v>34</v>
      </c>
      <c r="C279" s="39">
        <f>IF(Horo!L279&lt;&gt;"",Horo!L279,"")</f>
        <v>34</v>
      </c>
      <c r="D279" s="80">
        <f t="shared" si="18"/>
        <v>27</v>
      </c>
      <c r="E279" s="33">
        <f t="shared" si="19"/>
        <v>49</v>
      </c>
    </row>
    <row r="280" spans="1:5" x14ac:dyDescent="0.3">
      <c r="A280" s="29">
        <f t="shared" si="17"/>
        <v>43153</v>
      </c>
      <c r="B280" s="39">
        <f>IF(Horo!K280&lt;&gt;"",Horo!K280,"")</f>
        <v>34</v>
      </c>
      <c r="C280" s="39">
        <f>IF(Horo!L280&lt;&gt;"",Horo!L280,"")</f>
        <v>27</v>
      </c>
      <c r="D280" s="80">
        <f t="shared" si="18"/>
        <v>27</v>
      </c>
      <c r="E280" s="33">
        <f t="shared" si="19"/>
        <v>50</v>
      </c>
    </row>
    <row r="281" spans="1:5" x14ac:dyDescent="0.3">
      <c r="A281" s="20">
        <f t="shared" si="17"/>
        <v>43154</v>
      </c>
      <c r="B281" s="37">
        <f>IF(Horo!K281&lt;&gt;"",Horo!K281,"")</f>
        <v>36</v>
      </c>
      <c r="C281" s="37">
        <f>IF(Horo!L281&lt;&gt;"",Horo!L281,"")</f>
        <v>30</v>
      </c>
      <c r="D281" s="80">
        <f t="shared" si="18"/>
        <v>27</v>
      </c>
      <c r="E281" s="33">
        <f t="shared" si="19"/>
        <v>50</v>
      </c>
    </row>
    <row r="282" spans="1:5" x14ac:dyDescent="0.3">
      <c r="A282" s="25">
        <f>A277+7</f>
        <v>43157</v>
      </c>
      <c r="B282" s="38">
        <f>IF(Horo!K282&lt;&gt;"",Horo!K282,"")</f>
        <v>44</v>
      </c>
      <c r="C282" s="38">
        <f>IF(Horo!L282&lt;&gt;"",Horo!L282,"")</f>
        <v>37</v>
      </c>
      <c r="D282" s="80">
        <f t="shared" si="18"/>
        <v>27</v>
      </c>
      <c r="E282" s="33">
        <f t="shared" si="19"/>
        <v>50</v>
      </c>
    </row>
    <row r="283" spans="1:5" x14ac:dyDescent="0.3">
      <c r="A283" s="29">
        <f t="shared" si="17"/>
        <v>43158</v>
      </c>
      <c r="B283" s="39">
        <f>IF(Horo!K283&lt;&gt;"",Horo!K283,"")</f>
        <v>50</v>
      </c>
      <c r="C283" s="39">
        <f>IF(Horo!L283&lt;&gt;"",Horo!L283,"")</f>
        <v>40</v>
      </c>
      <c r="D283" s="80">
        <f t="shared" si="18"/>
        <v>27</v>
      </c>
      <c r="E283" s="33">
        <f t="shared" si="19"/>
        <v>50</v>
      </c>
    </row>
    <row r="284" spans="1:5" x14ac:dyDescent="0.3">
      <c r="A284" s="29">
        <f t="shared" si="17"/>
        <v>43159</v>
      </c>
      <c r="B284" s="39" t="str">
        <f>IF(Horo!K284&lt;&gt;"",Horo!K284,"")</f>
        <v/>
      </c>
      <c r="C284" s="39">
        <f>IF(Horo!L284&lt;&gt;"",Horo!L284,"")</f>
        <v>27</v>
      </c>
      <c r="D284" s="80">
        <f t="shared" si="18"/>
        <v>27</v>
      </c>
      <c r="E284" s="33">
        <f t="shared" si="19"/>
        <v>57</v>
      </c>
    </row>
    <row r="285" spans="1:5" x14ac:dyDescent="0.3">
      <c r="A285" s="29">
        <f t="shared" si="17"/>
        <v>43160</v>
      </c>
      <c r="B285" s="39" t="str">
        <f>IF(Horo!K285&lt;&gt;"",Horo!K285,"")</f>
        <v/>
      </c>
      <c r="C285" s="39" t="str">
        <f>IF(Horo!L285&lt;&gt;"",Horo!L285,"")</f>
        <v/>
      </c>
      <c r="D285" s="80">
        <f t="shared" si="18"/>
        <v>27</v>
      </c>
      <c r="E285" s="33">
        <f t="shared" si="19"/>
        <v>57</v>
      </c>
    </row>
    <row r="286" spans="1:5" x14ac:dyDescent="0.3">
      <c r="A286" s="20">
        <f t="shared" si="17"/>
        <v>43161</v>
      </c>
      <c r="B286" s="37" t="str">
        <f>IF(Horo!K286&lt;&gt;"",Horo!K286,"")</f>
        <v/>
      </c>
      <c r="C286" s="37">
        <f>IF(Horo!L286&lt;&gt;"",Horo!L286,"")</f>
        <v>41</v>
      </c>
      <c r="D286" s="80">
        <f t="shared" si="18"/>
        <v>27</v>
      </c>
      <c r="E286" s="33">
        <f t="shared" si="19"/>
        <v>57</v>
      </c>
    </row>
    <row r="287" spans="1:5" x14ac:dyDescent="0.3">
      <c r="A287" s="25">
        <f>A282+7</f>
        <v>43164</v>
      </c>
      <c r="B287" s="38">
        <f>IF(Horo!K287&lt;&gt;"",Horo!K287,"")</f>
        <v>57</v>
      </c>
      <c r="C287" s="38">
        <f>IF(Horo!L287&lt;&gt;"",Horo!L287,"")</f>
        <v>44</v>
      </c>
      <c r="D287" s="80">
        <f t="shared" si="18"/>
        <v>27</v>
      </c>
      <c r="E287" s="33">
        <f t="shared" si="19"/>
        <v>57</v>
      </c>
    </row>
    <row r="288" spans="1:5" x14ac:dyDescent="0.3">
      <c r="A288" s="29">
        <f t="shared" si="17"/>
        <v>43165</v>
      </c>
      <c r="B288" s="39">
        <f>IF(Horo!K288&lt;&gt;"",Horo!K288,"")</f>
        <v>44</v>
      </c>
      <c r="C288" s="39">
        <f>IF(Horo!L288&lt;&gt;"",Horo!L288,"")</f>
        <v>44</v>
      </c>
      <c r="D288" s="80">
        <f t="shared" si="18"/>
        <v>27</v>
      </c>
      <c r="E288" s="33">
        <f t="shared" si="19"/>
        <v>57</v>
      </c>
    </row>
    <row r="289" spans="1:5" x14ac:dyDescent="0.3">
      <c r="A289" s="29">
        <f t="shared" si="17"/>
        <v>43166</v>
      </c>
      <c r="B289" s="39">
        <f>IF(Horo!K289&lt;&gt;"",Horo!K289,"")</f>
        <v>34</v>
      </c>
      <c r="C289" s="39" t="str">
        <f>IF(Horo!L289&lt;&gt;"",Horo!L289,"")</f>
        <v/>
      </c>
      <c r="D289" s="80">
        <f t="shared" si="18"/>
        <v>27</v>
      </c>
      <c r="E289" s="33">
        <f t="shared" si="19"/>
        <v>57</v>
      </c>
    </row>
    <row r="290" spans="1:5" x14ac:dyDescent="0.3">
      <c r="A290" s="29">
        <f t="shared" si="17"/>
        <v>43167</v>
      </c>
      <c r="B290" s="39" t="str">
        <f>IF(Horo!K290&lt;&gt;"",Horo!K290,"")</f>
        <v/>
      </c>
      <c r="C290" s="39" t="str">
        <f>IF(Horo!L290&lt;&gt;"",Horo!L290,"")</f>
        <v/>
      </c>
      <c r="D290" s="80">
        <f t="shared" si="18"/>
        <v>27</v>
      </c>
      <c r="E290" s="33">
        <f t="shared" si="19"/>
        <v>57</v>
      </c>
    </row>
    <row r="291" spans="1:5" x14ac:dyDescent="0.3">
      <c r="A291" s="20">
        <f t="shared" si="17"/>
        <v>43168</v>
      </c>
      <c r="B291" s="37" t="str">
        <f>IF(Horo!K291&lt;&gt;"",Horo!K291,"")</f>
        <v/>
      </c>
      <c r="C291" s="37" t="str">
        <f>IF(Horo!L291&lt;&gt;"",Horo!L291,"")</f>
        <v/>
      </c>
      <c r="D291" s="80">
        <f t="shared" si="18"/>
        <v>27</v>
      </c>
      <c r="E291" s="33">
        <f t="shared" si="19"/>
        <v>57</v>
      </c>
    </row>
    <row r="292" spans="1:5" x14ac:dyDescent="0.3">
      <c r="A292" s="25">
        <f>A287+7</f>
        <v>43171</v>
      </c>
      <c r="B292" s="38">
        <f>IF(Horo!K292&lt;&gt;"",Horo!K292,"")</f>
        <v>54</v>
      </c>
      <c r="C292" s="38">
        <f>IF(Horo!L292&lt;&gt;"",Horo!L292,"")</f>
        <v>53</v>
      </c>
      <c r="D292" s="80">
        <f t="shared" si="18"/>
        <v>34</v>
      </c>
      <c r="E292" s="33">
        <f t="shared" si="19"/>
        <v>57</v>
      </c>
    </row>
    <row r="293" spans="1:5" x14ac:dyDescent="0.3">
      <c r="A293" s="29">
        <f t="shared" si="17"/>
        <v>43172</v>
      </c>
      <c r="B293" s="39">
        <f>IF(Horo!K293&lt;&gt;"",Horo!K293,"")</f>
        <v>53</v>
      </c>
      <c r="C293" s="39">
        <f>IF(Horo!L293&lt;&gt;"",Horo!L293,"")</f>
        <v>44</v>
      </c>
      <c r="D293" s="80">
        <f t="shared" si="18"/>
        <v>34</v>
      </c>
      <c r="E293" s="33">
        <f t="shared" si="19"/>
        <v>57</v>
      </c>
    </row>
    <row r="294" spans="1:5" x14ac:dyDescent="0.3">
      <c r="A294" s="29">
        <f t="shared" si="17"/>
        <v>43173</v>
      </c>
      <c r="B294" s="39">
        <f>IF(Horo!K294&lt;&gt;"",Horo!K294,"")</f>
        <v>44</v>
      </c>
      <c r="C294" s="39">
        <f>IF(Horo!L294&lt;&gt;"",Horo!L294,"")</f>
        <v>50</v>
      </c>
      <c r="D294" s="80">
        <f t="shared" si="18"/>
        <v>34</v>
      </c>
      <c r="E294" s="33">
        <f t="shared" si="19"/>
        <v>57</v>
      </c>
    </row>
    <row r="295" spans="1:5" x14ac:dyDescent="0.3">
      <c r="A295" s="29">
        <f t="shared" si="17"/>
        <v>43174</v>
      </c>
      <c r="B295" s="39">
        <f>IF(Horo!K295&lt;&gt;"",Horo!K295,"")</f>
        <v>54</v>
      </c>
      <c r="C295" s="39">
        <f>IF(Horo!L295&lt;&gt;"",Horo!L295,"")</f>
        <v>43</v>
      </c>
      <c r="D295" s="80">
        <f t="shared" si="18"/>
        <v>34</v>
      </c>
      <c r="E295" s="33">
        <f t="shared" si="19"/>
        <v>54</v>
      </c>
    </row>
    <row r="296" spans="1:5" x14ac:dyDescent="0.3">
      <c r="A296" s="20">
        <f t="shared" si="17"/>
        <v>43175</v>
      </c>
      <c r="B296" s="37" t="str">
        <f>IF(Horo!K296&lt;&gt;"",Horo!K296,"")</f>
        <v/>
      </c>
      <c r="C296" s="37">
        <f>IF(Horo!L296&lt;&gt;"",Horo!L296,"")</f>
        <v>40</v>
      </c>
      <c r="D296" s="80">
        <f t="shared" si="18"/>
        <v>34</v>
      </c>
      <c r="E296" s="33">
        <f t="shared" si="19"/>
        <v>54</v>
      </c>
    </row>
    <row r="297" spans="1:5" x14ac:dyDescent="0.3">
      <c r="A297" s="25">
        <f>A292+7</f>
        <v>43178</v>
      </c>
      <c r="B297" s="38" t="str">
        <f>IF(Horo!K297&lt;&gt;"",Horo!K297,"")</f>
        <v/>
      </c>
      <c r="C297" s="38" t="str">
        <f>IF(Horo!L297&lt;&gt;"",Horo!L297,"")</f>
        <v/>
      </c>
      <c r="D297" s="80">
        <f t="shared" si="18"/>
        <v>40</v>
      </c>
      <c r="E297" s="33">
        <f t="shared" si="19"/>
        <v>54</v>
      </c>
    </row>
    <row r="298" spans="1:5" x14ac:dyDescent="0.3">
      <c r="A298" s="29">
        <f t="shared" si="17"/>
        <v>43179</v>
      </c>
      <c r="B298" s="39" t="str">
        <f>IF(Horo!K298&lt;&gt;"",Horo!K298,"")</f>
        <v/>
      </c>
      <c r="C298" s="39" t="str">
        <f>IF(Horo!L298&lt;&gt;"",Horo!L298,"")</f>
        <v/>
      </c>
      <c r="D298" s="80">
        <f t="shared" si="18"/>
        <v>40</v>
      </c>
      <c r="E298" s="33">
        <f t="shared" si="19"/>
        <v>59</v>
      </c>
    </row>
    <row r="299" spans="1:5" x14ac:dyDescent="0.3">
      <c r="A299" s="29">
        <f t="shared" si="17"/>
        <v>43180</v>
      </c>
      <c r="B299" s="39" t="str">
        <f>IF(Horo!K299&lt;&gt;"",Horo!K299,"")</f>
        <v/>
      </c>
      <c r="C299" s="39" t="str">
        <f>IF(Horo!L299&lt;&gt;"",Horo!L299,"")</f>
        <v/>
      </c>
      <c r="D299" s="80">
        <f t="shared" si="18"/>
        <v>40</v>
      </c>
      <c r="E299" s="33">
        <f t="shared" si="19"/>
        <v>63</v>
      </c>
    </row>
    <row r="300" spans="1:5" x14ac:dyDescent="0.3">
      <c r="A300" s="29">
        <f t="shared" si="17"/>
        <v>43181</v>
      </c>
      <c r="B300" s="39" t="str">
        <f>IF(Horo!K300&lt;&gt;"",Horo!K300,"")</f>
        <v/>
      </c>
      <c r="C300" s="39" t="str">
        <f>IF(Horo!L300&lt;&gt;"",Horo!L300,"")</f>
        <v/>
      </c>
      <c r="D300" s="80">
        <f t="shared" si="18"/>
        <v>40</v>
      </c>
      <c r="E300" s="33">
        <f t="shared" si="19"/>
        <v>63</v>
      </c>
    </row>
    <row r="301" spans="1:5" x14ac:dyDescent="0.3">
      <c r="A301" s="20">
        <f t="shared" si="17"/>
        <v>43182</v>
      </c>
      <c r="B301" s="37">
        <f>IF(Horo!K301&lt;&gt;"",Horo!K301,"")</f>
        <v>59</v>
      </c>
      <c r="C301" s="37">
        <f>IF(Horo!L301&lt;&gt;"",Horo!L301,"")</f>
        <v>49</v>
      </c>
      <c r="D301" s="80">
        <f t="shared" si="18"/>
        <v>40</v>
      </c>
      <c r="E301" s="33">
        <f t="shared" si="19"/>
        <v>63</v>
      </c>
    </row>
    <row r="302" spans="1:5" x14ac:dyDescent="0.3">
      <c r="A302" s="25">
        <f>A297+7</f>
        <v>43185</v>
      </c>
      <c r="B302" s="38">
        <f>IF(Horo!K302&lt;&gt;"",Horo!K302,"")</f>
        <v>63</v>
      </c>
      <c r="C302" s="38">
        <f>IF(Horo!L302&lt;&gt;"",Horo!L302,"")</f>
        <v>59</v>
      </c>
      <c r="D302" s="80">
        <f t="shared" si="18"/>
        <v>40</v>
      </c>
      <c r="E302" s="33">
        <f t="shared" si="19"/>
        <v>63</v>
      </c>
    </row>
    <row r="303" spans="1:5" x14ac:dyDescent="0.3">
      <c r="A303" s="29">
        <f t="shared" si="17"/>
        <v>43186</v>
      </c>
      <c r="B303" s="39">
        <f>IF(Horo!K303&lt;&gt;"",Horo!K303,"")</f>
        <v>51</v>
      </c>
      <c r="C303" s="39">
        <f>IF(Horo!L303&lt;&gt;"",Horo!L303,"")</f>
        <v>56</v>
      </c>
      <c r="D303" s="80">
        <f t="shared" si="18"/>
        <v>40</v>
      </c>
      <c r="E303" s="33">
        <f t="shared" si="19"/>
        <v>63</v>
      </c>
    </row>
    <row r="304" spans="1:5" x14ac:dyDescent="0.3">
      <c r="A304" s="29">
        <f t="shared" si="17"/>
        <v>43187</v>
      </c>
      <c r="B304" s="39">
        <f>IF(Horo!K304&lt;&gt;"",Horo!K304,"")</f>
        <v>61</v>
      </c>
      <c r="C304" s="39" t="str">
        <f>IF(Horo!L304&lt;&gt;"",Horo!L304,"")</f>
        <v/>
      </c>
      <c r="D304" s="80">
        <f t="shared" si="18"/>
        <v>49</v>
      </c>
      <c r="E304" s="33">
        <f t="shared" si="19"/>
        <v>63</v>
      </c>
    </row>
    <row r="305" spans="1:5" x14ac:dyDescent="0.3">
      <c r="A305" s="29">
        <f t="shared" si="17"/>
        <v>43188</v>
      </c>
      <c r="B305" s="39" t="str">
        <f>IF(Horo!K305&lt;&gt;"",Horo!K305,"")</f>
        <v/>
      </c>
      <c r="C305" s="39" t="str">
        <f>IF(Horo!L305&lt;&gt;"",Horo!L305,"")</f>
        <v/>
      </c>
      <c r="D305" s="80">
        <f t="shared" si="18"/>
        <v>49</v>
      </c>
      <c r="E305" s="33">
        <f t="shared" si="19"/>
        <v>68</v>
      </c>
    </row>
    <row r="306" spans="1:5" x14ac:dyDescent="0.3">
      <c r="A306" s="20">
        <f t="shared" si="17"/>
        <v>43189</v>
      </c>
      <c r="B306" s="37" t="str">
        <f>IF(Horo!K306&lt;&gt;"",Horo!K306,"")</f>
        <v/>
      </c>
      <c r="C306" s="37" t="str">
        <f>IF(Horo!L306&lt;&gt;"",Horo!L306,"")</f>
        <v/>
      </c>
      <c r="D306" s="80">
        <f t="shared" si="18"/>
        <v>49</v>
      </c>
      <c r="E306" s="33">
        <f t="shared" si="19"/>
        <v>68</v>
      </c>
    </row>
    <row r="307" spans="1:5" x14ac:dyDescent="0.3">
      <c r="A307" s="25">
        <f>A302+7</f>
        <v>43192</v>
      </c>
      <c r="B307" s="38" t="str">
        <f>IF(Horo!K307&lt;&gt;"",Horo!K307,"")</f>
        <v/>
      </c>
      <c r="C307" s="38" t="str">
        <f>IF(Horo!L307&lt;&gt;"",Horo!L307,"")</f>
        <v/>
      </c>
      <c r="D307" s="80">
        <f t="shared" si="18"/>
        <v>49</v>
      </c>
      <c r="E307" s="33">
        <f t="shared" si="19"/>
        <v>68</v>
      </c>
    </row>
    <row r="308" spans="1:5" x14ac:dyDescent="0.3">
      <c r="A308" s="29">
        <f t="shared" si="17"/>
        <v>43193</v>
      </c>
      <c r="B308" s="39" t="str">
        <f>IF(Horo!K308&lt;&gt;"",Horo!K308,"")</f>
        <v/>
      </c>
      <c r="C308" s="39">
        <f>IF(Horo!L308&lt;&gt;"",Horo!L308,"")</f>
        <v>68</v>
      </c>
      <c r="D308" s="80">
        <f t="shared" si="18"/>
        <v>49</v>
      </c>
      <c r="E308" s="33">
        <f t="shared" si="19"/>
        <v>68</v>
      </c>
    </row>
    <row r="309" spans="1:5" x14ac:dyDescent="0.3">
      <c r="A309" s="29">
        <f t="shared" si="17"/>
        <v>43194</v>
      </c>
      <c r="B309" s="39" t="str">
        <f>IF(Horo!K309&lt;&gt;"",Horo!K309,"")</f>
        <v/>
      </c>
      <c r="C309" s="39" t="str">
        <f>IF(Horo!L309&lt;&gt;"",Horo!L309,"")</f>
        <v/>
      </c>
      <c r="D309" s="80">
        <f t="shared" si="18"/>
        <v>51</v>
      </c>
      <c r="E309" s="33">
        <f t="shared" si="19"/>
        <v>85</v>
      </c>
    </row>
    <row r="310" spans="1:5" x14ac:dyDescent="0.3">
      <c r="A310" s="29">
        <f t="shared" si="17"/>
        <v>43195</v>
      </c>
      <c r="B310" s="39" t="str">
        <f>IF(Horo!K310&lt;&gt;"",Horo!K310,"")</f>
        <v/>
      </c>
      <c r="C310" s="39" t="str">
        <f>IF(Horo!L310&lt;&gt;"",Horo!L310,"")</f>
        <v/>
      </c>
      <c r="D310" s="80">
        <f t="shared" si="18"/>
        <v>51</v>
      </c>
      <c r="E310" s="33">
        <f t="shared" si="19"/>
        <v>85</v>
      </c>
    </row>
    <row r="311" spans="1:5" x14ac:dyDescent="0.3">
      <c r="A311" s="20">
        <f t="shared" si="17"/>
        <v>43196</v>
      </c>
      <c r="B311" s="37" t="str">
        <f>IF(Horo!K311&lt;&gt;"",Horo!K311,"")</f>
        <v/>
      </c>
      <c r="C311" s="37" t="str">
        <f>IF(Horo!L311&lt;&gt;"",Horo!L311,"")</f>
        <v/>
      </c>
      <c r="D311" s="80">
        <f t="shared" si="18"/>
        <v>61</v>
      </c>
      <c r="E311" s="33">
        <f t="shared" si="19"/>
        <v>85</v>
      </c>
    </row>
    <row r="312" spans="1:5" x14ac:dyDescent="0.3">
      <c r="A312" s="25">
        <f>A307+7</f>
        <v>43199</v>
      </c>
      <c r="B312" s="38" t="str">
        <f>IF(Horo!K312&lt;&gt;"",Horo!K312,"")</f>
        <v/>
      </c>
      <c r="C312" s="38">
        <f>IF(Horo!L312&lt;&gt;"",Horo!L312,"")</f>
        <v>85</v>
      </c>
      <c r="D312" s="80">
        <f t="shared" si="18"/>
        <v>62</v>
      </c>
      <c r="E312" s="33">
        <f t="shared" si="19"/>
        <v>85</v>
      </c>
    </row>
    <row r="313" spans="1:5" x14ac:dyDescent="0.3">
      <c r="A313" s="29">
        <f t="shared" si="17"/>
        <v>43200</v>
      </c>
      <c r="B313" s="39">
        <f>IF(Horo!K313&lt;&gt;"",Horo!K313,"")</f>
        <v>82</v>
      </c>
      <c r="C313" s="39">
        <f>IF(Horo!L313&lt;&gt;"",Horo!L313,"")</f>
        <v>76</v>
      </c>
      <c r="D313" s="80">
        <f t="shared" si="18"/>
        <v>61</v>
      </c>
      <c r="E313" s="33">
        <f t="shared" si="19"/>
        <v>85</v>
      </c>
    </row>
    <row r="314" spans="1:5" x14ac:dyDescent="0.3">
      <c r="A314" s="29">
        <f t="shared" si="17"/>
        <v>43201</v>
      </c>
      <c r="B314" s="39">
        <f>IF(Horo!K314&lt;&gt;"",Horo!K314,"")</f>
        <v>76</v>
      </c>
      <c r="C314" s="39">
        <f>IF(Horo!L314&lt;&gt;"",Horo!L314,"")</f>
        <v>70</v>
      </c>
      <c r="D314" s="80">
        <f t="shared" si="18"/>
        <v>61</v>
      </c>
      <c r="E314" s="33">
        <f t="shared" si="19"/>
        <v>85</v>
      </c>
    </row>
    <row r="315" spans="1:5" x14ac:dyDescent="0.3">
      <c r="A315" s="29">
        <f t="shared" si="17"/>
        <v>43202</v>
      </c>
      <c r="B315" s="39">
        <f>IF(Horo!K315&lt;&gt;"",Horo!K315,"")</f>
        <v>62</v>
      </c>
      <c r="C315" s="39">
        <f>IF(Horo!L315&lt;&gt;"",Horo!L315,"")</f>
        <v>62</v>
      </c>
      <c r="D315" s="80">
        <f t="shared" si="18"/>
        <v>54</v>
      </c>
      <c r="E315" s="33">
        <f t="shared" si="19"/>
        <v>85</v>
      </c>
    </row>
    <row r="316" spans="1:5" x14ac:dyDescent="0.3">
      <c r="A316" s="20">
        <f t="shared" si="17"/>
        <v>43203</v>
      </c>
      <c r="B316" s="37">
        <f>IF(Horo!K316&lt;&gt;"",Horo!K316,"")</f>
        <v>61</v>
      </c>
      <c r="C316" s="37">
        <f>IF(Horo!L316&lt;&gt;"",Horo!L316,"")</f>
        <v>61</v>
      </c>
      <c r="D316" s="80">
        <f t="shared" si="18"/>
        <v>54</v>
      </c>
      <c r="E316" s="33">
        <f t="shared" si="19"/>
        <v>85</v>
      </c>
    </row>
    <row r="317" spans="1:5" x14ac:dyDescent="0.3">
      <c r="A317" s="25">
        <f>A312+7</f>
        <v>43206</v>
      </c>
      <c r="B317" s="38">
        <f>IF(Horo!K317&lt;&gt;"",Horo!K317,"")</f>
        <v>76</v>
      </c>
      <c r="C317" s="38">
        <f>IF(Horo!L317&lt;&gt;"",Horo!L317,"")</f>
        <v>68</v>
      </c>
      <c r="D317" s="80">
        <f t="shared" si="18"/>
        <v>54</v>
      </c>
      <c r="E317" s="33">
        <f t="shared" si="19"/>
        <v>85</v>
      </c>
    </row>
    <row r="318" spans="1:5" x14ac:dyDescent="0.3">
      <c r="A318" s="29">
        <f t="shared" si="17"/>
        <v>43207</v>
      </c>
      <c r="B318" s="39">
        <f>IF(Horo!K318&lt;&gt;"",Horo!K318,"")</f>
        <v>65</v>
      </c>
      <c r="C318" s="39">
        <f>IF(Horo!L318&lt;&gt;"",Horo!L318,"")</f>
        <v>54</v>
      </c>
      <c r="D318" s="80">
        <f t="shared" si="18"/>
        <v>54</v>
      </c>
      <c r="E318" s="33">
        <f t="shared" si="19"/>
        <v>85</v>
      </c>
    </row>
    <row r="319" spans="1:5" x14ac:dyDescent="0.3">
      <c r="A319" s="29">
        <f t="shared" si="17"/>
        <v>43208</v>
      </c>
      <c r="B319" s="39">
        <f>IF(Horo!K319&lt;&gt;"",Horo!K319,"")</f>
        <v>58</v>
      </c>
      <c r="C319" s="39">
        <f>IF(Horo!L319&lt;&gt;"",Horo!L319,"")</f>
        <v>64</v>
      </c>
      <c r="D319" s="80">
        <f t="shared" si="18"/>
        <v>54</v>
      </c>
      <c r="E319" s="33">
        <f t="shared" si="19"/>
        <v>85</v>
      </c>
    </row>
    <row r="320" spans="1:5" x14ac:dyDescent="0.3">
      <c r="A320" s="29">
        <f t="shared" si="17"/>
        <v>43209</v>
      </c>
      <c r="B320" s="39" t="str">
        <f>IF(Horo!K320&lt;&gt;"",Horo!K320,"")</f>
        <v/>
      </c>
      <c r="C320" s="39">
        <f>IF(Horo!L320&lt;&gt;"",Horo!L320,"")</f>
        <v>64</v>
      </c>
      <c r="D320" s="80">
        <f t="shared" si="18"/>
        <v>54</v>
      </c>
      <c r="E320" s="33">
        <f t="shared" si="19"/>
        <v>82</v>
      </c>
    </row>
    <row r="321" spans="1:5" x14ac:dyDescent="0.3">
      <c r="A321" s="20">
        <f t="shared" si="17"/>
        <v>43210</v>
      </c>
      <c r="B321" s="37">
        <f>IF(Horo!K321&lt;&gt;"",Horo!K321,"")</f>
        <v>65</v>
      </c>
      <c r="C321" s="37">
        <f>IF(Horo!L321&lt;&gt;"",Horo!L321,"")</f>
        <v>55</v>
      </c>
      <c r="D321" s="80">
        <f t="shared" si="18"/>
        <v>54</v>
      </c>
      <c r="E321" s="33">
        <f t="shared" si="19"/>
        <v>79</v>
      </c>
    </row>
    <row r="322" spans="1:5" x14ac:dyDescent="0.3">
      <c r="A322" s="25">
        <f>A317+7</f>
        <v>43213</v>
      </c>
      <c r="B322" s="38">
        <f>IF(Horo!K322&lt;&gt;"",Horo!K322,"")</f>
        <v>79</v>
      </c>
      <c r="C322" s="38">
        <f>IF(Horo!L322&lt;&gt;"",Horo!L322,"")</f>
        <v>65</v>
      </c>
      <c r="D322" s="80">
        <f t="shared" si="18"/>
        <v>54</v>
      </c>
      <c r="E322" s="33">
        <f t="shared" si="19"/>
        <v>79</v>
      </c>
    </row>
    <row r="323" spans="1:5" x14ac:dyDescent="0.3">
      <c r="A323" s="29">
        <f t="shared" si="17"/>
        <v>43214</v>
      </c>
      <c r="B323" s="39">
        <f>IF(Horo!K323&lt;&gt;"",Horo!K323,"")</f>
        <v>62</v>
      </c>
      <c r="C323" s="39">
        <f>IF(Horo!L323&lt;&gt;"",Horo!L323,"")</f>
        <v>56</v>
      </c>
      <c r="D323" s="80">
        <f t="shared" si="18"/>
        <v>50</v>
      </c>
      <c r="E323" s="33">
        <f t="shared" si="19"/>
        <v>79</v>
      </c>
    </row>
    <row r="324" spans="1:5" x14ac:dyDescent="0.3">
      <c r="A324" s="29">
        <f t="shared" ref="A324:A387" si="20">A319+7</f>
        <v>43215</v>
      </c>
      <c r="B324" s="39">
        <f>IF(Horo!K324&lt;&gt;"",Horo!K324,"")</f>
        <v>60</v>
      </c>
      <c r="C324" s="39">
        <f>IF(Horo!L324&lt;&gt;"",Horo!L324,"")</f>
        <v>60</v>
      </c>
      <c r="D324" s="80">
        <f t="shared" ref="D324:D387" si="21">MIN(B317:C327)</f>
        <v>50</v>
      </c>
      <c r="E324" s="33">
        <f t="shared" ref="E324:E387" si="22">MAX(B317:C327)</f>
        <v>79</v>
      </c>
    </row>
    <row r="325" spans="1:5" x14ac:dyDescent="0.3">
      <c r="A325" s="29">
        <f t="shared" si="20"/>
        <v>43216</v>
      </c>
      <c r="B325" s="39">
        <f>IF(Horo!K325&lt;&gt;"",Horo!K325,"")</f>
        <v>60</v>
      </c>
      <c r="C325" s="39">
        <f>IF(Horo!L325&lt;&gt;"",Horo!L325,"")</f>
        <v>54</v>
      </c>
      <c r="D325" s="80">
        <f t="shared" si="21"/>
        <v>50</v>
      </c>
      <c r="E325" s="33">
        <f t="shared" si="22"/>
        <v>79</v>
      </c>
    </row>
    <row r="326" spans="1:5" x14ac:dyDescent="0.3">
      <c r="A326" s="20">
        <f t="shared" si="20"/>
        <v>43217</v>
      </c>
      <c r="B326" s="37">
        <f>IF(Horo!K326&lt;&gt;"",Horo!K326,"")</f>
        <v>54</v>
      </c>
      <c r="C326" s="37">
        <f>IF(Horo!L326&lt;&gt;"",Horo!L326,"")</f>
        <v>50</v>
      </c>
      <c r="D326" s="80">
        <f t="shared" si="21"/>
        <v>50</v>
      </c>
      <c r="E326" s="33">
        <f t="shared" si="22"/>
        <v>79</v>
      </c>
    </row>
    <row r="327" spans="1:5" x14ac:dyDescent="0.3">
      <c r="A327" s="25">
        <f t="shared" si="20"/>
        <v>43220</v>
      </c>
      <c r="B327" s="38">
        <f>IF(Horo!K327&lt;&gt;"",Horo!K327,"")</f>
        <v>69</v>
      </c>
      <c r="C327" s="38" t="str">
        <f>IF(Horo!L327&lt;&gt;"",Horo!L327,"")</f>
        <v/>
      </c>
      <c r="D327" s="80">
        <f t="shared" si="21"/>
        <v>50</v>
      </c>
      <c r="E327" s="33">
        <f t="shared" si="22"/>
        <v>79</v>
      </c>
    </row>
    <row r="328" spans="1:5" x14ac:dyDescent="0.3">
      <c r="A328" s="29">
        <f t="shared" si="20"/>
        <v>43221</v>
      </c>
      <c r="B328" s="39">
        <f>IF(Horo!K328&lt;&gt;"",Horo!K328,"")</f>
        <v>63</v>
      </c>
      <c r="C328" s="39" t="str">
        <f>IF(Horo!L328&lt;&gt;"",Horo!L328,"")</f>
        <v/>
      </c>
      <c r="D328" s="80">
        <f t="shared" si="21"/>
        <v>50</v>
      </c>
      <c r="E328" s="33">
        <f t="shared" si="22"/>
        <v>79</v>
      </c>
    </row>
    <row r="329" spans="1:5" x14ac:dyDescent="0.3">
      <c r="A329" s="29">
        <f t="shared" si="20"/>
        <v>43222</v>
      </c>
      <c r="B329" s="39" t="str">
        <f>IF(Horo!K329&lt;&gt;"",Horo!K329,"")</f>
        <v/>
      </c>
      <c r="C329" s="39" t="str">
        <f>IF(Horo!L329&lt;&gt;"",Horo!L329,"")</f>
        <v/>
      </c>
      <c r="D329" s="80">
        <f t="shared" si="21"/>
        <v>50</v>
      </c>
      <c r="E329" s="33">
        <f t="shared" si="22"/>
        <v>79</v>
      </c>
    </row>
    <row r="330" spans="1:5" x14ac:dyDescent="0.3">
      <c r="A330" s="29">
        <f t="shared" si="20"/>
        <v>43223</v>
      </c>
      <c r="B330" s="39" t="str">
        <f>IF(Horo!K330&lt;&gt;"",Horo!K330,"")</f>
        <v/>
      </c>
      <c r="C330" s="39">
        <f>IF(Horo!L330&lt;&gt;"",Horo!L330,"")</f>
        <v>60</v>
      </c>
      <c r="D330" s="80">
        <f t="shared" si="21"/>
        <v>50</v>
      </c>
      <c r="E330" s="33">
        <f t="shared" si="22"/>
        <v>69</v>
      </c>
    </row>
    <row r="331" spans="1:5" x14ac:dyDescent="0.3">
      <c r="A331" s="20">
        <f t="shared" si="20"/>
        <v>43224</v>
      </c>
      <c r="B331" s="37" t="str">
        <f>IF(Horo!K331&lt;&gt;"",Horo!K331,"")</f>
        <v/>
      </c>
      <c r="C331" s="37" t="str">
        <f>IF(Horo!L331&lt;&gt;"",Horo!L331,"")</f>
        <v/>
      </c>
      <c r="D331" s="80">
        <f t="shared" si="21"/>
        <v>50</v>
      </c>
      <c r="E331" s="33">
        <f t="shared" si="22"/>
        <v>69</v>
      </c>
    </row>
    <row r="332" spans="1:5" x14ac:dyDescent="0.3">
      <c r="A332" s="25">
        <f t="shared" si="20"/>
        <v>43227</v>
      </c>
      <c r="B332" s="38">
        <f>IF(Horo!K332&lt;&gt;"",Horo!K332,"")</f>
        <v>63</v>
      </c>
      <c r="C332" s="38" t="str">
        <f>IF(Horo!L332&lt;&gt;"",Horo!L332,"")</f>
        <v/>
      </c>
      <c r="D332" s="80">
        <f t="shared" si="21"/>
        <v>50</v>
      </c>
      <c r="E332" s="33">
        <f t="shared" si="22"/>
        <v>69</v>
      </c>
    </row>
    <row r="333" spans="1:5" x14ac:dyDescent="0.3">
      <c r="A333" s="29">
        <f t="shared" si="20"/>
        <v>43228</v>
      </c>
      <c r="B333" s="39">
        <f>IF(Horo!K333&lt;&gt;"",Horo!K333,"")</f>
        <v>55</v>
      </c>
      <c r="C333" s="39">
        <f>IF(Horo!L333&lt;&gt;"",Horo!L333,"")</f>
        <v>55</v>
      </c>
      <c r="D333" s="80">
        <f t="shared" si="21"/>
        <v>50</v>
      </c>
      <c r="E333" s="33">
        <f t="shared" si="22"/>
        <v>69</v>
      </c>
    </row>
    <row r="334" spans="1:5" x14ac:dyDescent="0.3">
      <c r="A334" s="29">
        <f t="shared" si="20"/>
        <v>43229</v>
      </c>
      <c r="B334" s="39">
        <f>IF(Horo!K334&lt;&gt;"",Horo!K334,"")</f>
        <v>53</v>
      </c>
      <c r="C334" s="39" t="str">
        <f>IF(Horo!L334&lt;&gt;"",Horo!L334,"")</f>
        <v/>
      </c>
      <c r="D334" s="80">
        <f t="shared" si="21"/>
        <v>53</v>
      </c>
      <c r="E334" s="33">
        <f t="shared" si="22"/>
        <v>69</v>
      </c>
    </row>
    <row r="335" spans="1:5" x14ac:dyDescent="0.3">
      <c r="A335" s="29">
        <f t="shared" si="20"/>
        <v>43230</v>
      </c>
      <c r="B335" s="39" t="str">
        <f>IF(Horo!K335&lt;&gt;"",Horo!K335,"")</f>
        <v/>
      </c>
      <c r="C335" s="39">
        <f>IF(Horo!L335&lt;&gt;"",Horo!L335,"")</f>
        <v>60</v>
      </c>
      <c r="D335" s="80">
        <f t="shared" si="21"/>
        <v>53</v>
      </c>
      <c r="E335" s="33">
        <f t="shared" si="22"/>
        <v>69</v>
      </c>
    </row>
    <row r="336" spans="1:5" x14ac:dyDescent="0.3">
      <c r="A336" s="20">
        <f t="shared" si="20"/>
        <v>43231</v>
      </c>
      <c r="B336" s="37">
        <f>IF(Horo!K336&lt;&gt;"",Horo!K336,"")</f>
        <v>69</v>
      </c>
      <c r="C336" s="37">
        <f>IF(Horo!L336&lt;&gt;"",Horo!L336,"")</f>
        <v>58</v>
      </c>
      <c r="D336" s="80">
        <f t="shared" si="21"/>
        <v>53</v>
      </c>
      <c r="E336" s="33">
        <f t="shared" si="22"/>
        <v>69</v>
      </c>
    </row>
    <row r="337" spans="1:5" x14ac:dyDescent="0.3">
      <c r="A337" s="25">
        <f t="shared" si="20"/>
        <v>43234</v>
      </c>
      <c r="B337" s="38">
        <f>IF(Horo!K337&lt;&gt;"",Horo!K337,"")</f>
        <v>65</v>
      </c>
      <c r="C337" s="38">
        <f>IF(Horo!L337&lt;&gt;"",Horo!L337,"")</f>
        <v>65</v>
      </c>
      <c r="D337" s="80">
        <f t="shared" si="21"/>
        <v>48</v>
      </c>
      <c r="E337" s="33">
        <f t="shared" si="22"/>
        <v>69</v>
      </c>
    </row>
    <row r="338" spans="1:5" x14ac:dyDescent="0.3">
      <c r="A338" s="29">
        <f t="shared" si="20"/>
        <v>43235</v>
      </c>
      <c r="B338" s="39">
        <f>IF(Horo!K338&lt;&gt;"",Horo!K338,"")</f>
        <v>65</v>
      </c>
      <c r="C338" s="39">
        <f>IF(Horo!L338&lt;&gt;"",Horo!L338,"")</f>
        <v>58</v>
      </c>
      <c r="D338" s="80">
        <f t="shared" si="21"/>
        <v>48</v>
      </c>
      <c r="E338" s="33">
        <f t="shared" si="22"/>
        <v>69</v>
      </c>
    </row>
    <row r="339" spans="1:5" x14ac:dyDescent="0.3">
      <c r="A339" s="29">
        <f t="shared" si="20"/>
        <v>43236</v>
      </c>
      <c r="B339" s="39" t="str">
        <f>IF(Horo!K339&lt;&gt;"",Horo!K339,"")</f>
        <v/>
      </c>
      <c r="C339" s="39">
        <f>IF(Horo!L339&lt;&gt;"",Horo!L339,"")</f>
        <v>68</v>
      </c>
      <c r="D339" s="80">
        <f t="shared" si="21"/>
        <v>48</v>
      </c>
      <c r="E339" s="33">
        <f t="shared" si="22"/>
        <v>69</v>
      </c>
    </row>
    <row r="340" spans="1:5" x14ac:dyDescent="0.3">
      <c r="A340" s="29">
        <f t="shared" si="20"/>
        <v>43237</v>
      </c>
      <c r="B340" s="39" t="str">
        <f>IF(Horo!K340&lt;&gt;"",Horo!K340,"")</f>
        <v/>
      </c>
      <c r="C340" s="39">
        <f>IF(Horo!L340&lt;&gt;"",Horo!L340,"")</f>
        <v>48</v>
      </c>
      <c r="D340" s="80">
        <f t="shared" si="21"/>
        <v>48</v>
      </c>
      <c r="E340" s="33">
        <f t="shared" si="22"/>
        <v>69</v>
      </c>
    </row>
    <row r="341" spans="1:5" x14ac:dyDescent="0.3">
      <c r="A341" s="20">
        <f t="shared" si="20"/>
        <v>43238</v>
      </c>
      <c r="B341" s="37" t="str">
        <f>IF(Horo!K341&lt;&gt;"",Horo!K341,"")</f>
        <v/>
      </c>
      <c r="C341" s="37" t="str">
        <f>IF(Horo!L341&lt;&gt;"",Horo!L341,"")</f>
        <v/>
      </c>
      <c r="D341" s="80">
        <f t="shared" si="21"/>
        <v>48</v>
      </c>
      <c r="E341" s="33">
        <f t="shared" si="22"/>
        <v>80</v>
      </c>
    </row>
    <row r="342" spans="1:5" x14ac:dyDescent="0.3">
      <c r="A342" s="25">
        <f t="shared" si="20"/>
        <v>43241</v>
      </c>
      <c r="B342" s="38" t="str">
        <f>IF(Horo!K342&lt;&gt;"",Horo!K342,"")</f>
        <v/>
      </c>
      <c r="C342" s="38" t="str">
        <f>IF(Horo!L342&lt;&gt;"",Horo!L342,"")</f>
        <v/>
      </c>
      <c r="D342" s="80">
        <f t="shared" si="21"/>
        <v>48</v>
      </c>
      <c r="E342" s="33">
        <f t="shared" si="22"/>
        <v>80</v>
      </c>
    </row>
    <row r="343" spans="1:5" x14ac:dyDescent="0.3">
      <c r="A343" s="29">
        <f t="shared" si="20"/>
        <v>43242</v>
      </c>
      <c r="B343" s="39" t="str">
        <f>IF(Horo!K343&lt;&gt;"",Horo!K343,"")</f>
        <v/>
      </c>
      <c r="C343" s="39" t="str">
        <f>IF(Horo!L343&lt;&gt;"",Horo!L343,"")</f>
        <v/>
      </c>
      <c r="D343" s="80">
        <f t="shared" si="21"/>
        <v>48</v>
      </c>
      <c r="E343" s="33">
        <f t="shared" si="22"/>
        <v>80</v>
      </c>
    </row>
    <row r="344" spans="1:5" x14ac:dyDescent="0.3">
      <c r="A344" s="29">
        <f t="shared" si="20"/>
        <v>43243</v>
      </c>
      <c r="B344" s="39">
        <f>IF(Horo!K344&lt;&gt;"",Horo!K344,"")</f>
        <v>80</v>
      </c>
      <c r="C344" s="39">
        <f>IF(Horo!L344&lt;&gt;"",Horo!L344,"")</f>
        <v>80</v>
      </c>
      <c r="D344" s="80">
        <f t="shared" si="21"/>
        <v>48</v>
      </c>
      <c r="E344" s="33">
        <f t="shared" si="22"/>
        <v>80</v>
      </c>
    </row>
    <row r="345" spans="1:5" x14ac:dyDescent="0.3">
      <c r="A345" s="29">
        <f t="shared" si="20"/>
        <v>43244</v>
      </c>
      <c r="B345" s="39">
        <f>IF(Horo!K345&lt;&gt;"",Horo!K345,"")</f>
        <v>73</v>
      </c>
      <c r="C345" s="39">
        <f>IF(Horo!L345&lt;&gt;"",Horo!L345,"")</f>
        <v>68</v>
      </c>
      <c r="D345" s="80">
        <f t="shared" si="21"/>
        <v>48</v>
      </c>
      <c r="E345" s="33">
        <f t="shared" si="22"/>
        <v>80</v>
      </c>
    </row>
    <row r="346" spans="1:5" x14ac:dyDescent="0.3">
      <c r="A346" s="20">
        <f t="shared" si="20"/>
        <v>43245</v>
      </c>
      <c r="B346" s="37">
        <f>IF(Horo!K346&lt;&gt;"",Horo!K346,"")</f>
        <v>63</v>
      </c>
      <c r="C346" s="37">
        <f>IF(Horo!L346&lt;&gt;"",Horo!L346,"")</f>
        <v>54</v>
      </c>
      <c r="D346" s="80">
        <f t="shared" si="21"/>
        <v>47</v>
      </c>
      <c r="E346" s="33">
        <f t="shared" si="22"/>
        <v>80</v>
      </c>
    </row>
    <row r="347" spans="1:5" x14ac:dyDescent="0.3">
      <c r="A347" s="25">
        <f t="shared" si="20"/>
        <v>43248</v>
      </c>
      <c r="B347" s="38">
        <f>IF(Horo!K347&lt;&gt;"",Horo!K347,"")</f>
        <v>72</v>
      </c>
      <c r="C347" s="38">
        <f>IF(Horo!L347&lt;&gt;"",Horo!L347,"")</f>
        <v>59</v>
      </c>
      <c r="D347" s="80">
        <f t="shared" si="21"/>
        <v>47</v>
      </c>
      <c r="E347" s="33">
        <f t="shared" si="22"/>
        <v>80</v>
      </c>
    </row>
    <row r="348" spans="1:5" x14ac:dyDescent="0.3">
      <c r="A348" s="29">
        <f t="shared" si="20"/>
        <v>43249</v>
      </c>
      <c r="B348" s="39">
        <f>IF(Horo!K348&lt;&gt;"",Horo!K348,"")</f>
        <v>59</v>
      </c>
      <c r="C348" s="39">
        <f>IF(Horo!L348&lt;&gt;"",Horo!L348,"")</f>
        <v>59</v>
      </c>
      <c r="D348" s="80">
        <f t="shared" si="21"/>
        <v>47</v>
      </c>
      <c r="E348" s="33">
        <f t="shared" si="22"/>
        <v>80</v>
      </c>
    </row>
    <row r="349" spans="1:5" x14ac:dyDescent="0.3">
      <c r="A349" s="29">
        <f t="shared" si="20"/>
        <v>43250</v>
      </c>
      <c r="B349" s="39">
        <f>IF(Horo!K349&lt;&gt;"",Horo!K349,"")</f>
        <v>53</v>
      </c>
      <c r="C349" s="39">
        <f>IF(Horo!L349&lt;&gt;"",Horo!L349,"")</f>
        <v>47</v>
      </c>
      <c r="D349" s="80">
        <f t="shared" si="21"/>
        <v>47</v>
      </c>
      <c r="E349" s="33">
        <f t="shared" si="22"/>
        <v>80</v>
      </c>
    </row>
    <row r="350" spans="1:5" x14ac:dyDescent="0.3">
      <c r="A350" s="29">
        <f t="shared" si="20"/>
        <v>43251</v>
      </c>
      <c r="B350" s="39">
        <f>IF(Horo!K350&lt;&gt;"",Horo!K350,"")</f>
        <v>55</v>
      </c>
      <c r="C350" s="39">
        <f>IF(Horo!L350&lt;&gt;"",Horo!L350,"")</f>
        <v>53</v>
      </c>
      <c r="D350" s="80">
        <f t="shared" si="21"/>
        <v>47</v>
      </c>
      <c r="E350" s="33">
        <f t="shared" si="22"/>
        <v>80</v>
      </c>
    </row>
    <row r="351" spans="1:5" x14ac:dyDescent="0.3">
      <c r="A351" s="20">
        <f t="shared" si="20"/>
        <v>43252</v>
      </c>
      <c r="B351" s="37">
        <f>IF(Horo!K351&lt;&gt;"",Horo!K351,"")</f>
        <v>49</v>
      </c>
      <c r="C351" s="37">
        <f>IF(Horo!L351&lt;&gt;"",Horo!L351,"")</f>
        <v>47</v>
      </c>
      <c r="D351" s="80">
        <f t="shared" si="21"/>
        <v>47</v>
      </c>
      <c r="E351" s="33">
        <f t="shared" si="22"/>
        <v>80</v>
      </c>
    </row>
    <row r="352" spans="1:5" x14ac:dyDescent="0.3">
      <c r="A352" s="25">
        <f t="shared" si="20"/>
        <v>43255</v>
      </c>
      <c r="B352" s="38">
        <f>IF(Horo!K352&lt;&gt;"",Horo!K352,"")</f>
        <v>69</v>
      </c>
      <c r="C352" s="38">
        <f>IF(Horo!L352&lt;&gt;"",Horo!L352,"")</f>
        <v>57</v>
      </c>
      <c r="D352" s="80">
        <f t="shared" si="21"/>
        <v>47</v>
      </c>
      <c r="E352" s="33">
        <f t="shared" si="22"/>
        <v>73</v>
      </c>
    </row>
    <row r="353" spans="1:5" x14ac:dyDescent="0.3">
      <c r="A353" s="29">
        <f t="shared" si="20"/>
        <v>43256</v>
      </c>
      <c r="B353" s="39">
        <f>IF(Horo!K353&lt;&gt;"",Horo!K353,"")</f>
        <v>64</v>
      </c>
      <c r="C353" s="39">
        <f>IF(Horo!L353&lt;&gt;"",Horo!L353,"")</f>
        <v>58</v>
      </c>
      <c r="D353" s="80">
        <f t="shared" si="21"/>
        <v>47</v>
      </c>
      <c r="E353" s="33">
        <f t="shared" si="22"/>
        <v>72</v>
      </c>
    </row>
    <row r="354" spans="1:5" x14ac:dyDescent="0.3">
      <c r="A354" s="29">
        <f t="shared" si="20"/>
        <v>43257</v>
      </c>
      <c r="B354" s="39">
        <f>IF(Horo!K354&lt;&gt;"",Horo!K354,"")</f>
        <v>63</v>
      </c>
      <c r="C354" s="39">
        <f>IF(Horo!L354&lt;&gt;"",Horo!L354,"")</f>
        <v>57</v>
      </c>
      <c r="D354" s="80">
        <f t="shared" si="21"/>
        <v>47</v>
      </c>
      <c r="E354" s="33">
        <f t="shared" si="22"/>
        <v>72</v>
      </c>
    </row>
    <row r="355" spans="1:5" x14ac:dyDescent="0.3">
      <c r="A355" s="29">
        <f t="shared" si="20"/>
        <v>43258</v>
      </c>
      <c r="B355" s="39">
        <f>IF(Horo!K355&lt;&gt;"",Horo!K355,"")</f>
        <v>57</v>
      </c>
      <c r="C355" s="39">
        <f>IF(Horo!L355&lt;&gt;"",Horo!L355,"")</f>
        <v>53</v>
      </c>
      <c r="D355" s="80">
        <f t="shared" si="21"/>
        <v>47</v>
      </c>
      <c r="E355" s="33">
        <f t="shared" si="22"/>
        <v>70</v>
      </c>
    </row>
    <row r="356" spans="1:5" x14ac:dyDescent="0.3">
      <c r="A356" s="20">
        <f t="shared" si="20"/>
        <v>43259</v>
      </c>
      <c r="B356" s="37" t="str">
        <f>IF(Horo!K356&lt;&gt;"",Horo!K356,"")</f>
        <v/>
      </c>
      <c r="C356" s="37">
        <f>IF(Horo!L356&lt;&gt;"",Horo!L356,"")</f>
        <v>52</v>
      </c>
      <c r="D356" s="80">
        <f t="shared" si="21"/>
        <v>47</v>
      </c>
      <c r="E356" s="33">
        <f t="shared" si="22"/>
        <v>70</v>
      </c>
    </row>
    <row r="357" spans="1:5" x14ac:dyDescent="0.3">
      <c r="A357" s="25">
        <f t="shared" si="20"/>
        <v>43262</v>
      </c>
      <c r="B357" s="38">
        <f>IF(Horo!K357&lt;&gt;"",Horo!K357,"")</f>
        <v>70</v>
      </c>
      <c r="C357" s="38" t="str">
        <f>IF(Horo!L357&lt;&gt;"",Horo!L357,"")</f>
        <v/>
      </c>
      <c r="D357" s="80">
        <f t="shared" si="21"/>
        <v>47</v>
      </c>
      <c r="E357" s="33">
        <f t="shared" si="22"/>
        <v>70</v>
      </c>
    </row>
    <row r="358" spans="1:5" x14ac:dyDescent="0.3">
      <c r="A358" s="29">
        <f t="shared" si="20"/>
        <v>43263</v>
      </c>
      <c r="B358" s="39">
        <f>IF(Horo!K358&lt;&gt;"",Horo!K358,"")</f>
        <v>70</v>
      </c>
      <c r="C358" s="39">
        <f>IF(Horo!L358&lt;&gt;"",Horo!L358,"")</f>
        <v>56</v>
      </c>
      <c r="D358" s="80">
        <f t="shared" si="21"/>
        <v>47</v>
      </c>
      <c r="E358" s="33">
        <f t="shared" si="22"/>
        <v>70</v>
      </c>
    </row>
    <row r="359" spans="1:5" x14ac:dyDescent="0.3">
      <c r="A359" s="29">
        <f t="shared" si="20"/>
        <v>43264</v>
      </c>
      <c r="B359" s="39">
        <f>IF(Horo!K359&lt;&gt;"",Horo!K359,"")</f>
        <v>61</v>
      </c>
      <c r="C359" s="39" t="str">
        <f>IF(Horo!L359&lt;&gt;"",Horo!L359,"")</f>
        <v/>
      </c>
      <c r="D359" s="80">
        <f t="shared" si="21"/>
        <v>52</v>
      </c>
      <c r="E359" s="33">
        <f t="shared" si="22"/>
        <v>70</v>
      </c>
    </row>
    <row r="360" spans="1:5" x14ac:dyDescent="0.3">
      <c r="A360" s="29">
        <f t="shared" si="20"/>
        <v>43265</v>
      </c>
      <c r="B360" s="39">
        <f>IF(Horo!K360&lt;&gt;"",Horo!K360,"")</f>
        <v>61</v>
      </c>
      <c r="C360" s="39">
        <f>IF(Horo!L360&lt;&gt;"",Horo!L360,"")</f>
        <v>61</v>
      </c>
      <c r="D360" s="80">
        <f t="shared" si="21"/>
        <v>52</v>
      </c>
      <c r="E360" s="33">
        <f t="shared" si="22"/>
        <v>70</v>
      </c>
    </row>
    <row r="361" spans="1:5" x14ac:dyDescent="0.3">
      <c r="A361" s="20">
        <f t="shared" si="20"/>
        <v>43266</v>
      </c>
      <c r="B361" s="37" t="str">
        <f>IF(Horo!K361&lt;&gt;"",Horo!K361,"")</f>
        <v/>
      </c>
      <c r="C361" s="37" t="str">
        <f>IF(Horo!L361&lt;&gt;"",Horo!L361,"")</f>
        <v/>
      </c>
      <c r="D361" s="80">
        <f t="shared" si="21"/>
        <v>52</v>
      </c>
      <c r="E361" s="33">
        <f t="shared" si="22"/>
        <v>70</v>
      </c>
    </row>
    <row r="362" spans="1:5" x14ac:dyDescent="0.3">
      <c r="A362" s="25">
        <f t="shared" si="20"/>
        <v>43269</v>
      </c>
      <c r="B362" s="38">
        <f>IF(Horo!K362&lt;&gt;"",Horo!K362,"")</f>
        <v>70</v>
      </c>
      <c r="C362" s="38">
        <f>IF(Horo!L362&lt;&gt;"",Horo!L362,"")</f>
        <v>63</v>
      </c>
      <c r="D362" s="80">
        <f t="shared" si="21"/>
        <v>52</v>
      </c>
      <c r="E362" s="33">
        <f t="shared" si="22"/>
        <v>70</v>
      </c>
    </row>
    <row r="363" spans="1:5" x14ac:dyDescent="0.3">
      <c r="A363" s="29">
        <f t="shared" si="20"/>
        <v>43270</v>
      </c>
      <c r="B363" s="39">
        <f>IF(Horo!K363&lt;&gt;"",Horo!K363,"")</f>
        <v>70</v>
      </c>
      <c r="C363" s="39" t="str">
        <f>IF(Horo!L363&lt;&gt;"",Horo!L363,"")</f>
        <v/>
      </c>
      <c r="D363" s="80">
        <f t="shared" si="21"/>
        <v>52</v>
      </c>
      <c r="E363" s="33">
        <f t="shared" si="22"/>
        <v>70</v>
      </c>
    </row>
    <row r="364" spans="1:5" x14ac:dyDescent="0.3">
      <c r="A364" s="29">
        <f t="shared" si="20"/>
        <v>43271</v>
      </c>
      <c r="B364" s="39">
        <f>IF(Horo!K364&lt;&gt;"",Horo!K364,"")</f>
        <v>70</v>
      </c>
      <c r="C364" s="39">
        <f>IF(Horo!L364&lt;&gt;"",Horo!L364,"")</f>
        <v>65</v>
      </c>
      <c r="D364" s="80">
        <f t="shared" si="21"/>
        <v>52</v>
      </c>
      <c r="E364" s="33">
        <f t="shared" si="22"/>
        <v>70</v>
      </c>
    </row>
    <row r="365" spans="1:5" x14ac:dyDescent="0.3">
      <c r="A365" s="29">
        <f t="shared" si="20"/>
        <v>43272</v>
      </c>
      <c r="B365" s="39" t="str">
        <f>IF(Horo!K365&lt;&gt;"",Horo!K365,"")</f>
        <v/>
      </c>
      <c r="C365" s="39">
        <f>IF(Horo!L365&lt;&gt;"",Horo!L365,"")</f>
        <v>55</v>
      </c>
      <c r="D365" s="80">
        <f t="shared" si="21"/>
        <v>52</v>
      </c>
      <c r="E365" s="33">
        <f t="shared" si="22"/>
        <v>70</v>
      </c>
    </row>
    <row r="366" spans="1:5" x14ac:dyDescent="0.3">
      <c r="A366" s="20">
        <f t="shared" si="20"/>
        <v>43273</v>
      </c>
      <c r="B366" s="37" t="str">
        <f>IF(Horo!K366&lt;&gt;"",Horo!K366,"")</f>
        <v/>
      </c>
      <c r="C366" s="37">
        <f>IF(Horo!L366&lt;&gt;"",Horo!L366,"")</f>
        <v>52</v>
      </c>
      <c r="D366" s="80">
        <f t="shared" si="21"/>
        <v>40</v>
      </c>
      <c r="E366" s="33">
        <f t="shared" si="22"/>
        <v>70</v>
      </c>
    </row>
    <row r="367" spans="1:5" x14ac:dyDescent="0.3">
      <c r="A367" s="25">
        <f t="shared" si="20"/>
        <v>43276</v>
      </c>
      <c r="B367" s="38">
        <f>IF(Horo!K367&lt;&gt;"",Horo!K367,"")</f>
        <v>65</v>
      </c>
      <c r="C367" s="38">
        <f>IF(Horo!L367&lt;&gt;"",Horo!L367,"")</f>
        <v>56</v>
      </c>
      <c r="D367" s="80">
        <f t="shared" si="21"/>
        <v>40</v>
      </c>
      <c r="E367" s="33">
        <f t="shared" si="22"/>
        <v>70</v>
      </c>
    </row>
    <row r="368" spans="1:5" x14ac:dyDescent="0.3">
      <c r="A368" s="29">
        <f t="shared" si="20"/>
        <v>43277</v>
      </c>
      <c r="B368" s="39">
        <f>IF(Horo!K368&lt;&gt;"",Horo!K368,"")</f>
        <v>56</v>
      </c>
      <c r="C368" s="39">
        <f>IF(Horo!L368&lt;&gt;"",Horo!L368,"")</f>
        <v>56</v>
      </c>
      <c r="D368" s="80">
        <f t="shared" si="21"/>
        <v>40</v>
      </c>
      <c r="E368" s="33">
        <f t="shared" si="22"/>
        <v>70</v>
      </c>
    </row>
    <row r="369" spans="1:5" x14ac:dyDescent="0.3">
      <c r="A369" s="29">
        <f t="shared" si="20"/>
        <v>43278</v>
      </c>
      <c r="B369" s="39" t="str">
        <f>IF(Horo!K369&lt;&gt;"",Horo!K369,"")</f>
        <v/>
      </c>
      <c r="C369" s="39">
        <f>IF(Horo!L369&lt;&gt;"",Horo!L369,"")</f>
        <v>40</v>
      </c>
      <c r="D369" s="80">
        <f t="shared" si="21"/>
        <v>40</v>
      </c>
      <c r="E369" s="33">
        <f t="shared" si="22"/>
        <v>70</v>
      </c>
    </row>
    <row r="370" spans="1:5" x14ac:dyDescent="0.3">
      <c r="A370" s="29">
        <f t="shared" si="20"/>
        <v>43279</v>
      </c>
      <c r="B370" s="39">
        <f>IF(Horo!K370&lt;&gt;"",Horo!K370,"")</f>
        <v>53</v>
      </c>
      <c r="C370" s="39">
        <f>IF(Horo!L370&lt;&gt;"",Horo!L370,"")</f>
        <v>40</v>
      </c>
      <c r="D370" s="80">
        <f t="shared" si="21"/>
        <v>40</v>
      </c>
      <c r="E370" s="33">
        <f t="shared" si="22"/>
        <v>70</v>
      </c>
    </row>
    <row r="371" spans="1:5" x14ac:dyDescent="0.3">
      <c r="A371" s="20">
        <f t="shared" si="20"/>
        <v>43280</v>
      </c>
      <c r="B371" s="37">
        <f>IF(Horo!K371&lt;&gt;"",Horo!K371,"")</f>
        <v>40</v>
      </c>
      <c r="C371" s="37">
        <f>IF(Horo!L371&lt;&gt;"",Horo!L371,"")</f>
        <v>40</v>
      </c>
      <c r="D371" s="80">
        <f t="shared" si="21"/>
        <v>40</v>
      </c>
      <c r="E371" s="33">
        <f t="shared" si="22"/>
        <v>70</v>
      </c>
    </row>
    <row r="372" spans="1:5" x14ac:dyDescent="0.3">
      <c r="A372" s="25">
        <f t="shared" si="20"/>
        <v>43283</v>
      </c>
      <c r="B372" s="38">
        <f>IF(Horo!K372&lt;&gt;"",Horo!K372,"")</f>
        <v>59</v>
      </c>
      <c r="C372" s="38">
        <f>IF(Horo!L372&lt;&gt;"",Horo!L372,"")</f>
        <v>46</v>
      </c>
      <c r="D372" s="80">
        <f t="shared" si="21"/>
        <v>40</v>
      </c>
      <c r="E372" s="33">
        <f t="shared" si="22"/>
        <v>65</v>
      </c>
    </row>
    <row r="373" spans="1:5" x14ac:dyDescent="0.3">
      <c r="A373" s="29">
        <f t="shared" si="20"/>
        <v>43284</v>
      </c>
      <c r="B373" s="39">
        <f>IF(Horo!K373&lt;&gt;"",Horo!K373,"")</f>
        <v>53</v>
      </c>
      <c r="C373" s="39">
        <f>IF(Horo!L373&lt;&gt;"",Horo!L373,"")</f>
        <v>51</v>
      </c>
      <c r="D373" s="80">
        <f t="shared" si="21"/>
        <v>40</v>
      </c>
      <c r="E373" s="33">
        <f t="shared" si="22"/>
        <v>65</v>
      </c>
    </row>
    <row r="374" spans="1:5" x14ac:dyDescent="0.3">
      <c r="A374" s="29">
        <f t="shared" si="20"/>
        <v>43285</v>
      </c>
      <c r="B374" s="39">
        <f>IF(Horo!K374&lt;&gt;"",Horo!K374,"")</f>
        <v>48</v>
      </c>
      <c r="C374" s="39">
        <f>IF(Horo!L374&lt;&gt;"",Horo!L374,"")</f>
        <v>48</v>
      </c>
      <c r="D374" s="80">
        <f t="shared" si="21"/>
        <v>40</v>
      </c>
      <c r="E374" s="33">
        <f t="shared" si="22"/>
        <v>70</v>
      </c>
    </row>
    <row r="375" spans="1:5" x14ac:dyDescent="0.3">
      <c r="A375" s="29">
        <f t="shared" si="20"/>
        <v>43286</v>
      </c>
      <c r="B375" s="39">
        <f>IF(Horo!K375&lt;&gt;"",Horo!K375,"")</f>
        <v>55</v>
      </c>
      <c r="C375" s="39">
        <f>IF(Horo!L375&lt;&gt;"",Horo!L375,"")</f>
        <v>55</v>
      </c>
      <c r="D375" s="80">
        <f t="shared" si="21"/>
        <v>40</v>
      </c>
      <c r="E375" s="33">
        <f t="shared" si="22"/>
        <v>70</v>
      </c>
    </row>
    <row r="376" spans="1:5" x14ac:dyDescent="0.3">
      <c r="A376" s="20">
        <f t="shared" si="20"/>
        <v>43287</v>
      </c>
      <c r="B376" s="37">
        <f>IF(Horo!K376&lt;&gt;"",Horo!K376,"")</f>
        <v>50</v>
      </c>
      <c r="C376" s="37">
        <f>IF(Horo!L376&lt;&gt;"",Horo!L376,"")</f>
        <v>50</v>
      </c>
      <c r="D376" s="80">
        <f t="shared" si="21"/>
        <v>40</v>
      </c>
      <c r="E376" s="33">
        <f t="shared" si="22"/>
        <v>70</v>
      </c>
    </row>
    <row r="377" spans="1:5" x14ac:dyDescent="0.3">
      <c r="A377" s="25">
        <f t="shared" si="20"/>
        <v>43290</v>
      </c>
      <c r="B377" s="38">
        <f>IF(Horo!K377&lt;&gt;"",Horo!K377,"")</f>
        <v>70</v>
      </c>
      <c r="C377" s="38">
        <f>IF(Horo!L377&lt;&gt;"",Horo!L377,"")</f>
        <v>64</v>
      </c>
      <c r="D377" s="80">
        <f t="shared" si="21"/>
        <v>40</v>
      </c>
      <c r="E377" s="33">
        <f t="shared" si="22"/>
        <v>70</v>
      </c>
    </row>
    <row r="378" spans="1:5" x14ac:dyDescent="0.3">
      <c r="A378" s="29">
        <f t="shared" si="20"/>
        <v>43291</v>
      </c>
      <c r="B378" s="39">
        <f>IF(Horo!K378&lt;&gt;"",Horo!K378,"")</f>
        <v>64</v>
      </c>
      <c r="C378" s="39">
        <f>IF(Horo!L378&lt;&gt;"",Horo!L378,"")</f>
        <v>64</v>
      </c>
      <c r="D378" s="80">
        <f t="shared" si="21"/>
        <v>40</v>
      </c>
      <c r="E378" s="33">
        <f t="shared" si="22"/>
        <v>70</v>
      </c>
    </row>
    <row r="379" spans="1:5" x14ac:dyDescent="0.3">
      <c r="A379" s="29">
        <f t="shared" si="20"/>
        <v>43292</v>
      </c>
      <c r="B379" s="39">
        <f>IF(Horo!K379&lt;&gt;"",Horo!K379,"")</f>
        <v>64</v>
      </c>
      <c r="C379" s="39" t="str">
        <f>IF(Horo!L379&lt;&gt;"",Horo!L379,"")</f>
        <v/>
      </c>
      <c r="D379" s="80">
        <f t="shared" si="21"/>
        <v>46</v>
      </c>
      <c r="E379" s="33">
        <f t="shared" si="22"/>
        <v>82</v>
      </c>
    </row>
    <row r="380" spans="1:5" x14ac:dyDescent="0.3">
      <c r="A380" s="29">
        <f t="shared" si="20"/>
        <v>43293</v>
      </c>
      <c r="B380" s="39">
        <f>IF(Horo!K380&lt;&gt;"",Horo!K380,"")</f>
        <v>50</v>
      </c>
      <c r="C380" s="39">
        <f>IF(Horo!L380&lt;&gt;"",Horo!L380,"")</f>
        <v>59</v>
      </c>
      <c r="D380" s="80">
        <f t="shared" si="21"/>
        <v>48</v>
      </c>
      <c r="E380" s="33">
        <f t="shared" si="22"/>
        <v>82</v>
      </c>
    </row>
    <row r="381" spans="1:5" x14ac:dyDescent="0.3">
      <c r="A381" s="20">
        <f t="shared" si="20"/>
        <v>43294</v>
      </c>
      <c r="B381" s="37">
        <f>IF(Horo!K381&lt;&gt;"",Horo!K381,"")</f>
        <v>59</v>
      </c>
      <c r="C381" s="37" t="str">
        <f>IF(Horo!L381&lt;&gt;"",Horo!L381,"")</f>
        <v/>
      </c>
      <c r="D381" s="80">
        <f t="shared" si="21"/>
        <v>48</v>
      </c>
      <c r="E381" s="33">
        <f t="shared" si="22"/>
        <v>82</v>
      </c>
    </row>
    <row r="382" spans="1:5" x14ac:dyDescent="0.3">
      <c r="A382" s="25">
        <f t="shared" si="20"/>
        <v>43297</v>
      </c>
      <c r="B382" s="38">
        <f>IF(Horo!K382&lt;&gt;"",Horo!K382,"")</f>
        <v>82</v>
      </c>
      <c r="C382" s="38">
        <f>IF(Horo!L382&lt;&gt;"",Horo!L382,"")</f>
        <v>72</v>
      </c>
      <c r="D382" s="80">
        <f t="shared" si="21"/>
        <v>50</v>
      </c>
      <c r="E382" s="33">
        <f t="shared" si="22"/>
        <v>82</v>
      </c>
    </row>
    <row r="383" spans="1:5" x14ac:dyDescent="0.3">
      <c r="A383" s="29">
        <f t="shared" si="20"/>
        <v>43298</v>
      </c>
      <c r="B383" s="39">
        <f>IF(Horo!K383&lt;&gt;"",Horo!K383,"")</f>
        <v>79</v>
      </c>
      <c r="C383" s="39">
        <f>IF(Horo!L383&lt;&gt;"",Horo!L383,"")</f>
        <v>73</v>
      </c>
      <c r="D383" s="80">
        <f t="shared" si="21"/>
        <v>50</v>
      </c>
      <c r="E383" s="33">
        <f t="shared" si="22"/>
        <v>82</v>
      </c>
    </row>
    <row r="384" spans="1:5" x14ac:dyDescent="0.3">
      <c r="A384" s="29">
        <f t="shared" si="20"/>
        <v>43299</v>
      </c>
      <c r="B384" s="39">
        <f>IF(Horo!K384&lt;&gt;"",Horo!K384,"")</f>
        <v>63</v>
      </c>
      <c r="C384" s="39">
        <f>IF(Horo!L384&lt;&gt;"",Horo!L384,"")</f>
        <v>53</v>
      </c>
      <c r="D384" s="80">
        <f t="shared" si="21"/>
        <v>50</v>
      </c>
      <c r="E384" s="33">
        <f t="shared" si="22"/>
        <v>82</v>
      </c>
    </row>
    <row r="385" spans="1:5" x14ac:dyDescent="0.3">
      <c r="A385" s="29">
        <f t="shared" si="20"/>
        <v>43300</v>
      </c>
      <c r="B385" s="39">
        <f>IF(Horo!K385&lt;&gt;"",Horo!K385,"")</f>
        <v>60</v>
      </c>
      <c r="C385" s="39">
        <f>IF(Horo!L385&lt;&gt;"",Horo!L385,"")</f>
        <v>55</v>
      </c>
      <c r="D385" s="80">
        <f t="shared" si="21"/>
        <v>45</v>
      </c>
      <c r="E385" s="33">
        <f t="shared" si="22"/>
        <v>82</v>
      </c>
    </row>
    <row r="386" spans="1:5" x14ac:dyDescent="0.3">
      <c r="A386" s="20">
        <f t="shared" si="20"/>
        <v>43301</v>
      </c>
      <c r="B386" s="37">
        <f>IF(Horo!K386&lt;&gt;"",Horo!K386,"")</f>
        <v>60</v>
      </c>
      <c r="C386" s="37">
        <f>IF(Horo!L386&lt;&gt;"",Horo!L386,"")</f>
        <v>60</v>
      </c>
      <c r="D386" s="80">
        <f t="shared" si="21"/>
        <v>45</v>
      </c>
      <c r="E386" s="33">
        <f t="shared" si="22"/>
        <v>82</v>
      </c>
    </row>
    <row r="387" spans="1:5" x14ac:dyDescent="0.3">
      <c r="A387" s="25">
        <f t="shared" si="20"/>
        <v>43304</v>
      </c>
      <c r="B387" s="38">
        <f>IF(Horo!K387&lt;&gt;"",Horo!K387,"")</f>
        <v>62</v>
      </c>
      <c r="C387" s="38">
        <f>IF(Horo!L387&lt;&gt;"",Horo!L387,"")</f>
        <v>51</v>
      </c>
      <c r="D387" s="80">
        <f t="shared" si="21"/>
        <v>45</v>
      </c>
      <c r="E387" s="33">
        <f t="shared" si="22"/>
        <v>82</v>
      </c>
    </row>
    <row r="388" spans="1:5" x14ac:dyDescent="0.3">
      <c r="A388" s="29">
        <f t="shared" ref="A388:A452" si="23">A383+7</f>
        <v>43305</v>
      </c>
      <c r="B388" s="39">
        <f>IF(Horo!K388&lt;&gt;"",Horo!K388,"")</f>
        <v>51</v>
      </c>
      <c r="C388" s="39">
        <f>IF(Horo!L388&lt;&gt;"",Horo!L388,"")</f>
        <v>45</v>
      </c>
      <c r="D388" s="80">
        <f t="shared" ref="D388:D399" si="24">MIN(B381:C391)</f>
        <v>45</v>
      </c>
      <c r="E388" s="33">
        <f t="shared" ref="E388:E399" si="25">MAX(B381:C391)</f>
        <v>82</v>
      </c>
    </row>
    <row r="389" spans="1:5" x14ac:dyDescent="0.3">
      <c r="A389" s="29">
        <f t="shared" si="23"/>
        <v>43306</v>
      </c>
      <c r="B389" s="39" t="str">
        <f>IF(Horo!K389&lt;&gt;"",Horo!K389,"")</f>
        <v/>
      </c>
      <c r="C389" s="39">
        <f>IF(Horo!L389&lt;&gt;"",Horo!L389,"")</f>
        <v>45</v>
      </c>
      <c r="D389" s="80">
        <f t="shared" si="24"/>
        <v>45</v>
      </c>
      <c r="E389" s="33">
        <f t="shared" si="25"/>
        <v>82</v>
      </c>
    </row>
    <row r="390" spans="1:5" x14ac:dyDescent="0.3">
      <c r="A390" s="29">
        <f t="shared" si="23"/>
        <v>43307</v>
      </c>
      <c r="B390" s="39" t="str">
        <f>IF(Horo!K390&lt;&gt;"",Horo!K390,"")</f>
        <v/>
      </c>
      <c r="C390" s="39" t="str">
        <f>IF(Horo!L390&lt;&gt;"",Horo!L390,"")</f>
        <v/>
      </c>
      <c r="D390" s="80">
        <f t="shared" si="24"/>
        <v>45</v>
      </c>
      <c r="E390" s="33">
        <f t="shared" si="25"/>
        <v>79</v>
      </c>
    </row>
    <row r="391" spans="1:5" x14ac:dyDescent="0.3">
      <c r="A391" s="20">
        <f t="shared" si="23"/>
        <v>43308</v>
      </c>
      <c r="B391" s="37">
        <f>IF(Horo!K391&lt;&gt;"",Horo!K391,"")</f>
        <v>60</v>
      </c>
      <c r="C391" s="37">
        <f>IF(Horo!L391&lt;&gt;"",Horo!L391,"")</f>
        <v>60</v>
      </c>
      <c r="D391" s="80">
        <f t="shared" si="24"/>
        <v>38</v>
      </c>
      <c r="E391" s="33">
        <f t="shared" si="25"/>
        <v>66</v>
      </c>
    </row>
    <row r="392" spans="1:5" x14ac:dyDescent="0.3">
      <c r="A392" s="25">
        <f t="shared" si="23"/>
        <v>43311</v>
      </c>
      <c r="B392" s="38">
        <f>IF(Horo!K392&lt;&gt;"",Horo!K392,"")</f>
        <v>64</v>
      </c>
      <c r="C392" s="38">
        <f>IF(Horo!L392&lt;&gt;"",Horo!L392,"")</f>
        <v>59</v>
      </c>
      <c r="D392" s="80">
        <f t="shared" si="24"/>
        <v>34</v>
      </c>
      <c r="E392" s="33">
        <f t="shared" si="25"/>
        <v>66</v>
      </c>
    </row>
    <row r="393" spans="1:5" x14ac:dyDescent="0.3">
      <c r="A393" s="29">
        <f t="shared" si="23"/>
        <v>43312</v>
      </c>
      <c r="B393" s="39">
        <f>IF(Horo!K393&lt;&gt;"",Horo!K393,"")</f>
        <v>66</v>
      </c>
      <c r="C393" s="39">
        <f>IF(Horo!L393&lt;&gt;"",Horo!L393,"")</f>
        <v>49</v>
      </c>
      <c r="D393" s="80">
        <f t="shared" si="24"/>
        <v>18</v>
      </c>
      <c r="E393" s="33">
        <f t="shared" si="25"/>
        <v>66</v>
      </c>
    </row>
    <row r="394" spans="1:5" x14ac:dyDescent="0.3">
      <c r="A394" s="29">
        <f t="shared" si="23"/>
        <v>43313</v>
      </c>
      <c r="B394" s="39">
        <f>IF(Horo!K394&lt;&gt;"",Horo!K394,"")</f>
        <v>49</v>
      </c>
      <c r="C394" s="39">
        <f>IF(Horo!L394&lt;&gt;"",Horo!L394,"")</f>
        <v>38</v>
      </c>
      <c r="D394" s="80">
        <f t="shared" si="24"/>
        <v>18</v>
      </c>
      <c r="E394" s="33">
        <f t="shared" si="25"/>
        <v>66</v>
      </c>
    </row>
    <row r="395" spans="1:5" x14ac:dyDescent="0.3">
      <c r="A395" s="29">
        <f t="shared" si="23"/>
        <v>43314</v>
      </c>
      <c r="B395" s="39">
        <f>IF(Horo!K395&lt;&gt;"",Horo!K395,"")</f>
        <v>34</v>
      </c>
      <c r="C395" s="39">
        <f>IF(Horo!L395&lt;&gt;"",Horo!L395,"")</f>
        <v>34</v>
      </c>
      <c r="D395" s="80">
        <f t="shared" si="24"/>
        <v>18</v>
      </c>
      <c r="E395" s="33">
        <f t="shared" si="25"/>
        <v>66</v>
      </c>
    </row>
    <row r="396" spans="1:5" x14ac:dyDescent="0.3">
      <c r="A396" s="20">
        <f t="shared" si="23"/>
        <v>43315</v>
      </c>
      <c r="B396" s="37">
        <f>IF(Horo!K396&lt;&gt;"",Horo!K396,"")</f>
        <v>24</v>
      </c>
      <c r="C396" s="37">
        <f>IF(Horo!L396&lt;&gt;"",Horo!L396,"")</f>
        <v>18</v>
      </c>
      <c r="D396" s="80">
        <f t="shared" si="24"/>
        <v>18</v>
      </c>
      <c r="E396" s="33">
        <f t="shared" si="25"/>
        <v>66</v>
      </c>
    </row>
    <row r="397" spans="1:5" x14ac:dyDescent="0.3">
      <c r="A397" s="25">
        <f t="shared" si="23"/>
        <v>43318</v>
      </c>
      <c r="B397" s="38">
        <f>IF(Horo!K397&lt;&gt;"",Horo!K397,"")</f>
        <v>56</v>
      </c>
      <c r="C397" s="38">
        <f>IF(Horo!L397&lt;&gt;"",Horo!L397,"")</f>
        <v>46</v>
      </c>
      <c r="D397" s="80">
        <f t="shared" si="24"/>
        <v>18</v>
      </c>
      <c r="E397" s="33">
        <f t="shared" si="25"/>
        <v>66</v>
      </c>
    </row>
    <row r="398" spans="1:5" x14ac:dyDescent="0.3">
      <c r="A398" s="29">
        <f t="shared" si="23"/>
        <v>43319</v>
      </c>
      <c r="B398" s="39">
        <f>IF(Horo!K398&lt;&gt;"",Horo!K398,"")</f>
        <v>58</v>
      </c>
      <c r="C398" s="39">
        <f>IF(Horo!L398&lt;&gt;"",Horo!L398,"")</f>
        <v>40</v>
      </c>
      <c r="D398" s="80">
        <f t="shared" si="24"/>
        <v>18</v>
      </c>
      <c r="E398" s="33">
        <f t="shared" si="25"/>
        <v>66</v>
      </c>
    </row>
    <row r="399" spans="1:5" x14ac:dyDescent="0.3">
      <c r="A399" s="29">
        <f t="shared" si="23"/>
        <v>43320</v>
      </c>
      <c r="B399" s="39">
        <f>IF(Horo!K399&lt;&gt;"",Horo!K399,"")</f>
        <v>48</v>
      </c>
      <c r="C399" s="39">
        <f>IF(Horo!L399&lt;&gt;"",Horo!L399,"")</f>
        <v>40</v>
      </c>
      <c r="D399" s="80">
        <f t="shared" si="24"/>
        <v>18</v>
      </c>
      <c r="E399" s="33">
        <f t="shared" si="25"/>
        <v>66</v>
      </c>
    </row>
    <row r="400" spans="1:5" x14ac:dyDescent="0.3">
      <c r="A400" s="29">
        <f t="shared" si="23"/>
        <v>43321</v>
      </c>
      <c r="B400" s="39" t="str">
        <f>IF(Horo!K400&lt;&gt;"",Horo!K400,"")</f>
        <v/>
      </c>
      <c r="C400" s="39" t="str">
        <f>IF(Horo!L400&lt;&gt;"",Horo!L400,"")</f>
        <v/>
      </c>
      <c r="D400" s="80">
        <f t="shared" ref="D400:D403" si="26">MIN(B393:C403)</f>
        <v>18</v>
      </c>
      <c r="E400" s="33">
        <f t="shared" ref="E400:E403" si="27">MAX(B393:C403)</f>
        <v>66</v>
      </c>
    </row>
    <row r="401" spans="1:6" x14ac:dyDescent="0.3">
      <c r="A401" s="20">
        <f t="shared" si="23"/>
        <v>43322</v>
      </c>
      <c r="B401" s="39" t="str">
        <f>IF(Horo!K401&lt;&gt;"",Horo!K401,"")</f>
        <v/>
      </c>
      <c r="C401" s="39" t="str">
        <f>IF(Horo!L401&lt;&gt;"",Horo!L401,"")</f>
        <v/>
      </c>
      <c r="D401" s="80">
        <f t="shared" si="26"/>
        <v>18</v>
      </c>
      <c r="E401" s="33">
        <f t="shared" si="27"/>
        <v>58</v>
      </c>
    </row>
    <row r="402" spans="1:6" x14ac:dyDescent="0.3">
      <c r="A402" s="25">
        <f t="shared" si="23"/>
        <v>43325</v>
      </c>
      <c r="B402" s="39" t="str">
        <f>IF(Horo!K402&lt;&gt;"",Horo!K402,"")</f>
        <v/>
      </c>
      <c r="C402" s="39" t="str">
        <f>IF(Horo!L402&lt;&gt;"",Horo!L402,"")</f>
        <v/>
      </c>
      <c r="D402" s="80">
        <f t="shared" si="26"/>
        <v>18</v>
      </c>
      <c r="E402" s="33">
        <f t="shared" si="27"/>
        <v>58</v>
      </c>
    </row>
    <row r="403" spans="1:6" x14ac:dyDescent="0.3">
      <c r="A403" s="29">
        <f t="shared" si="23"/>
        <v>43326</v>
      </c>
      <c r="B403" s="39" t="str">
        <f>IF(Horo!K403&lt;&gt;"",Horo!K403,"")</f>
        <v/>
      </c>
      <c r="C403" s="39">
        <f>IF(Horo!L403&lt;&gt;"",Horo!L403,"")</f>
        <v>50</v>
      </c>
      <c r="D403" s="80">
        <f t="shared" si="26"/>
        <v>18</v>
      </c>
      <c r="E403" s="33">
        <f t="shared" si="27"/>
        <v>58</v>
      </c>
    </row>
    <row r="404" spans="1:6" x14ac:dyDescent="0.3">
      <c r="A404" s="29">
        <f t="shared" si="23"/>
        <v>43327</v>
      </c>
      <c r="B404" s="39" t="str">
        <f>IF(Horo!K404&lt;&gt;"",Horo!K404,"")</f>
        <v/>
      </c>
      <c r="C404" s="39" t="str">
        <f>IF(Horo!L404&lt;&gt;"",Horo!L404,"")</f>
        <v/>
      </c>
      <c r="D404" s="80">
        <f t="shared" ref="D404:D407" si="28">MIN(B397:C407)</f>
        <v>40</v>
      </c>
      <c r="E404" s="33">
        <f t="shared" ref="E404:E407" si="29">MAX(B397:C407)</f>
        <v>60</v>
      </c>
    </row>
    <row r="405" spans="1:6" x14ac:dyDescent="0.3">
      <c r="A405" s="29">
        <f t="shared" si="23"/>
        <v>43328</v>
      </c>
      <c r="B405" s="39" t="str">
        <f>IF(Horo!K405&lt;&gt;"",Horo!K405,"")</f>
        <v/>
      </c>
      <c r="C405" s="39" t="str">
        <f>IF(Horo!L405&lt;&gt;"",Horo!L405,"")</f>
        <v/>
      </c>
      <c r="D405" s="80">
        <f t="shared" si="28"/>
        <v>40</v>
      </c>
      <c r="E405" s="33">
        <f t="shared" si="29"/>
        <v>60</v>
      </c>
    </row>
    <row r="406" spans="1:6" x14ac:dyDescent="0.3">
      <c r="A406" s="20">
        <f t="shared" si="23"/>
        <v>43329</v>
      </c>
      <c r="B406" s="39" t="str">
        <f>IF(Horo!K406&lt;&gt;"",Horo!K406,"")</f>
        <v/>
      </c>
      <c r="C406" s="39" t="str">
        <f>IF(Horo!L406&lt;&gt;"",Horo!L406,"")</f>
        <v/>
      </c>
      <c r="D406" s="80">
        <f t="shared" si="28"/>
        <v>40</v>
      </c>
      <c r="E406" s="33">
        <f t="shared" si="29"/>
        <v>60</v>
      </c>
    </row>
    <row r="407" spans="1:6" x14ac:dyDescent="0.3">
      <c r="A407" s="25">
        <f t="shared" si="23"/>
        <v>43332</v>
      </c>
      <c r="B407" s="39" t="str">
        <f>IF(Horo!K407&lt;&gt;"",Horo!K407,"")</f>
        <v/>
      </c>
      <c r="C407" s="39">
        <f>IF(Horo!L407&lt;&gt;"",Horo!L407,"")</f>
        <v>60</v>
      </c>
      <c r="D407" s="80">
        <f t="shared" si="28"/>
        <v>50</v>
      </c>
      <c r="E407" s="33">
        <f t="shared" si="29"/>
        <v>60</v>
      </c>
    </row>
    <row r="408" spans="1:6" x14ac:dyDescent="0.3">
      <c r="A408" s="29">
        <f t="shared" si="23"/>
        <v>43333</v>
      </c>
      <c r="B408" s="39" t="str">
        <f>IF(Horo!K408&lt;&gt;"",Horo!K408,"")</f>
        <v/>
      </c>
      <c r="C408" s="39" t="str">
        <f>IF(Horo!L408&lt;&gt;"",Horo!L408,"")</f>
        <v/>
      </c>
      <c r="D408" s="80">
        <f t="shared" ref="D408:D427" si="30">MIN(B401:C411)</f>
        <v>50</v>
      </c>
      <c r="E408" s="33">
        <f t="shared" ref="E408:E419" si="31">MAX(B401:C411)</f>
        <v>68</v>
      </c>
    </row>
    <row r="409" spans="1:6" x14ac:dyDescent="0.3">
      <c r="A409" s="29">
        <f t="shared" si="23"/>
        <v>43334</v>
      </c>
      <c r="B409" s="39" t="str">
        <f>IF(Horo!K409&lt;&gt;"",Horo!K409,"")</f>
        <v/>
      </c>
      <c r="C409" s="39" t="str">
        <f>IF(Horo!L409&lt;&gt;"",Horo!L409,"")</f>
        <v/>
      </c>
      <c r="D409" s="80">
        <f t="shared" si="30"/>
        <v>50</v>
      </c>
      <c r="E409" s="33">
        <f t="shared" si="31"/>
        <v>74</v>
      </c>
    </row>
    <row r="410" spans="1:6" x14ac:dyDescent="0.3">
      <c r="A410" s="29">
        <f t="shared" si="23"/>
        <v>43335</v>
      </c>
      <c r="B410" s="39" t="str">
        <f>IF(Horo!K410&lt;&gt;"",Horo!K410,"")</f>
        <v/>
      </c>
      <c r="C410" s="39" t="str">
        <f>IF(Horo!L410&lt;&gt;"",Horo!L410,"")</f>
        <v/>
      </c>
      <c r="D410" s="80">
        <f t="shared" si="30"/>
        <v>50</v>
      </c>
      <c r="E410" s="33">
        <f t="shared" si="31"/>
        <v>74</v>
      </c>
    </row>
    <row r="411" spans="1:6" x14ac:dyDescent="0.3">
      <c r="A411" s="20">
        <f t="shared" si="23"/>
        <v>43336</v>
      </c>
      <c r="B411" s="39" t="str">
        <f>IF(Horo!K411&lt;&gt;"",Horo!K411,"")</f>
        <v/>
      </c>
      <c r="C411" s="39">
        <f>IF(Horo!L411&lt;&gt;"",Horo!L411,"")</f>
        <v>68</v>
      </c>
      <c r="D411" s="80">
        <f t="shared" si="30"/>
        <v>60</v>
      </c>
      <c r="E411" s="33">
        <f t="shared" si="31"/>
        <v>74</v>
      </c>
    </row>
    <row r="412" spans="1:6" x14ac:dyDescent="0.3">
      <c r="A412" s="25">
        <f t="shared" si="23"/>
        <v>43339</v>
      </c>
      <c r="B412" s="39">
        <f>IF(Horo!K412&lt;&gt;"",Horo!K412,"")</f>
        <v>74</v>
      </c>
      <c r="C412" s="39">
        <f>IF(Horo!L412&lt;&gt;"",Horo!L412,"")</f>
        <v>63</v>
      </c>
      <c r="D412" s="80">
        <f t="shared" si="30"/>
        <v>60</v>
      </c>
      <c r="E412" s="33">
        <f t="shared" si="31"/>
        <v>74</v>
      </c>
    </row>
    <row r="413" spans="1:6" x14ac:dyDescent="0.3">
      <c r="A413" s="29">
        <f t="shared" si="23"/>
        <v>43340</v>
      </c>
      <c r="B413" s="39">
        <f>IF(Horo!K413&lt;&gt;"",Horo!K413,"")</f>
        <v>63</v>
      </c>
      <c r="C413" s="39">
        <f>IF(Horo!L413&lt;&gt;"",Horo!L413,"")</f>
        <v>68</v>
      </c>
      <c r="D413" s="80">
        <f t="shared" si="30"/>
        <v>55</v>
      </c>
      <c r="E413" s="33">
        <f t="shared" si="31"/>
        <v>74</v>
      </c>
      <c r="F413" s="33">
        <f>MAX(Horo!T406:'Horo'!T416)</f>
        <v>55</v>
      </c>
    </row>
    <row r="414" spans="1:6" x14ac:dyDescent="0.3">
      <c r="A414" s="29">
        <f t="shared" si="23"/>
        <v>43341</v>
      </c>
      <c r="B414" s="39">
        <f>IF(Horo!K414&lt;&gt;"",Horo!K414,"")</f>
        <v>68</v>
      </c>
      <c r="C414" s="39">
        <f>IF(Horo!L414&lt;&gt;"",Horo!L414,"")</f>
        <v>68</v>
      </c>
      <c r="D414" s="80">
        <f t="shared" si="30"/>
        <v>46</v>
      </c>
      <c r="E414" s="33">
        <f t="shared" si="31"/>
        <v>74</v>
      </c>
      <c r="F414" s="33">
        <f>MAX(Horo!T407:'Horo'!T417)</f>
        <v>55</v>
      </c>
    </row>
    <row r="415" spans="1:6" x14ac:dyDescent="0.3">
      <c r="A415" s="29">
        <f t="shared" si="23"/>
        <v>43342</v>
      </c>
      <c r="B415" s="39">
        <f>IF(Horo!K415&lt;&gt;"",Horo!K415,"")</f>
        <v>68</v>
      </c>
      <c r="C415" s="39">
        <f>IF(Horo!L415&lt;&gt;"",Horo!L415,"")</f>
        <v>68</v>
      </c>
      <c r="D415" s="80">
        <f t="shared" si="30"/>
        <v>37</v>
      </c>
      <c r="E415" s="33">
        <f t="shared" si="31"/>
        <v>74</v>
      </c>
      <c r="F415" s="33">
        <f>MAX(Horo!T408:'Horo'!T418)</f>
        <v>55</v>
      </c>
    </row>
    <row r="416" spans="1:6" x14ac:dyDescent="0.3">
      <c r="A416" s="20">
        <f t="shared" si="23"/>
        <v>43343</v>
      </c>
      <c r="B416" s="39">
        <f>IF(Horo!K416&lt;&gt;"",Horo!K416,"")</f>
        <v>68</v>
      </c>
      <c r="C416" s="39">
        <f>IF(Horo!L416&lt;&gt;"",Horo!L416,"")</f>
        <v>55</v>
      </c>
      <c r="D416" s="80">
        <f t="shared" si="30"/>
        <v>37</v>
      </c>
      <c r="E416" s="33">
        <f t="shared" si="31"/>
        <v>74</v>
      </c>
      <c r="F416" s="33">
        <f>MAX(Horo!T409:'Horo'!T419)</f>
        <v>55</v>
      </c>
    </row>
    <row r="417" spans="1:6" x14ac:dyDescent="0.3">
      <c r="A417" s="25">
        <f t="shared" si="23"/>
        <v>43346</v>
      </c>
      <c r="B417" s="39">
        <f>IF(Horo!K417&lt;&gt;"",Horo!K417,"")</f>
        <v>53</v>
      </c>
      <c r="C417" s="39">
        <f>IF(Horo!L417&lt;&gt;"",Horo!L417,"")</f>
        <v>46</v>
      </c>
      <c r="D417" s="80">
        <f t="shared" si="30"/>
        <v>37</v>
      </c>
      <c r="E417" s="33">
        <f t="shared" si="31"/>
        <v>74</v>
      </c>
      <c r="F417" s="33">
        <f>MAX(Horo!T410:'Horo'!T420)</f>
        <v>55</v>
      </c>
    </row>
    <row r="418" spans="1:6" x14ac:dyDescent="0.3">
      <c r="A418" s="29">
        <f t="shared" si="23"/>
        <v>43347</v>
      </c>
      <c r="B418" s="39">
        <f>IF(Horo!K418&lt;&gt;"",Horo!K418,"")</f>
        <v>46</v>
      </c>
      <c r="C418" s="39">
        <f>IF(Horo!L418&lt;&gt;"",Horo!L418,"")</f>
        <v>37</v>
      </c>
      <c r="D418" s="80">
        <f t="shared" si="30"/>
        <v>37</v>
      </c>
      <c r="E418" s="33">
        <f t="shared" si="31"/>
        <v>74</v>
      </c>
      <c r="F418" s="33">
        <f>MAX(Horo!T411:'Horo'!T421)</f>
        <v>55</v>
      </c>
    </row>
    <row r="419" spans="1:6" x14ac:dyDescent="0.3">
      <c r="A419" s="29">
        <f t="shared" si="23"/>
        <v>43348</v>
      </c>
      <c r="B419" s="39">
        <f>IF(Horo!K419&lt;&gt;"",Horo!K419,"")</f>
        <v>37</v>
      </c>
      <c r="C419" s="39">
        <f>IF(Horo!L419&lt;&gt;"",Horo!L419,"")</f>
        <v>45</v>
      </c>
      <c r="D419" s="80">
        <f t="shared" si="30"/>
        <v>37</v>
      </c>
      <c r="E419" s="33">
        <f t="shared" si="31"/>
        <v>74</v>
      </c>
      <c r="F419" s="33">
        <f>MAX(Horo!T412:'Horo'!T422)</f>
        <v>55</v>
      </c>
    </row>
    <row r="420" spans="1:6" x14ac:dyDescent="0.3">
      <c r="A420" s="29">
        <f t="shared" si="23"/>
        <v>43349</v>
      </c>
      <c r="B420" s="39">
        <f>IF(Horo!K420&lt;&gt;"",Horo!K420,"")</f>
        <v>45</v>
      </c>
      <c r="C420" s="39">
        <f>IF(Horo!L420&lt;&gt;"",Horo!L420,"")</f>
        <v>38</v>
      </c>
      <c r="D420" s="80">
        <f t="shared" si="30"/>
        <v>37</v>
      </c>
      <c r="E420" s="33">
        <f t="shared" ref="E420:E427" si="32">MAX(B413:C423)</f>
        <v>68</v>
      </c>
      <c r="F420" s="33">
        <f>MAX(Horo!T413:'Horo'!T423)</f>
        <v>55</v>
      </c>
    </row>
    <row r="421" spans="1:6" x14ac:dyDescent="0.3">
      <c r="A421" s="20">
        <f t="shared" si="23"/>
        <v>43350</v>
      </c>
      <c r="B421" s="39">
        <f>IF(Horo!K421&lt;&gt;"",Horo!K421,"")</f>
        <v>43</v>
      </c>
      <c r="C421" s="39">
        <f>IF(Horo!L421&lt;&gt;"",Horo!L421,"")</f>
        <v>46</v>
      </c>
      <c r="D421" s="80">
        <f t="shared" si="30"/>
        <v>37</v>
      </c>
      <c r="E421" s="33">
        <f t="shared" si="32"/>
        <v>86</v>
      </c>
      <c r="F421" s="33">
        <f>MAX(Horo!T414:'Horo'!T424)</f>
        <v>55</v>
      </c>
    </row>
    <row r="422" spans="1:6" x14ac:dyDescent="0.3">
      <c r="A422" s="25">
        <f t="shared" si="23"/>
        <v>43353</v>
      </c>
      <c r="B422" s="39" t="str">
        <f>IF(Horo!K422&lt;&gt;"",Horo!K422,"")</f>
        <v/>
      </c>
      <c r="C422" s="39" t="str">
        <f>IF(Horo!L422&lt;&gt;"",Horo!L422,"")</f>
        <v/>
      </c>
      <c r="D422" s="80">
        <f t="shared" si="30"/>
        <v>37</v>
      </c>
      <c r="E422" s="33">
        <f t="shared" si="32"/>
        <v>86</v>
      </c>
      <c r="F422" s="33">
        <f>MAX(Horo!T415:'Horo'!T425)</f>
        <v>55</v>
      </c>
    </row>
    <row r="423" spans="1:6" x14ac:dyDescent="0.3">
      <c r="A423" s="29">
        <f t="shared" si="23"/>
        <v>43354</v>
      </c>
      <c r="B423" s="39" t="str">
        <f>IF(Horo!K423&lt;&gt;"",Horo!K423,"")</f>
        <v/>
      </c>
      <c r="C423" s="39" t="str">
        <f>IF(Horo!L423&lt;&gt;"",Horo!L423,"")</f>
        <v/>
      </c>
      <c r="D423" s="80">
        <f t="shared" si="30"/>
        <v>37</v>
      </c>
      <c r="E423" s="33">
        <f t="shared" si="32"/>
        <v>86</v>
      </c>
      <c r="F423" s="33">
        <f>MAX(Horo!T416:'Horo'!T426)</f>
        <v>59</v>
      </c>
    </row>
    <row r="424" spans="1:6" x14ac:dyDescent="0.3">
      <c r="A424" s="29">
        <f t="shared" si="23"/>
        <v>43355</v>
      </c>
      <c r="B424" s="39">
        <f>IF(Horo!K424&lt;&gt;"",Horo!K424,"")</f>
        <v>86</v>
      </c>
      <c r="C424" s="39">
        <f>IF(Horo!L424&lt;&gt;"",Horo!L424,"")</f>
        <v>66</v>
      </c>
      <c r="D424" s="80">
        <f t="shared" si="30"/>
        <v>37</v>
      </c>
      <c r="E424" s="33">
        <f t="shared" si="32"/>
        <v>86</v>
      </c>
      <c r="F424" s="33">
        <f>MAX(Horo!T417:'Horo'!T427)</f>
        <v>59</v>
      </c>
    </row>
    <row r="425" spans="1:6" x14ac:dyDescent="0.3">
      <c r="A425" s="29">
        <f t="shared" si="23"/>
        <v>43356</v>
      </c>
      <c r="B425" s="39">
        <f>IF(Horo!K425&lt;&gt;"",Horo!K425,"")</f>
        <v>64</v>
      </c>
      <c r="C425" s="39">
        <f>IF(Horo!L425&lt;&gt;"",Horo!L425,"")</f>
        <v>59</v>
      </c>
      <c r="D425" s="80">
        <f t="shared" si="30"/>
        <v>37</v>
      </c>
      <c r="E425" s="33">
        <f t="shared" si="32"/>
        <v>86</v>
      </c>
      <c r="F425" s="33">
        <f>MAX(Horo!T418:'Horo'!T428)</f>
        <v>59</v>
      </c>
    </row>
    <row r="426" spans="1:6" x14ac:dyDescent="0.3">
      <c r="A426" s="20">
        <f t="shared" si="23"/>
        <v>43357</v>
      </c>
      <c r="B426" s="39">
        <f>IF(Horo!K426&lt;&gt;"",Horo!K426,"")</f>
        <v>59</v>
      </c>
      <c r="C426" s="39">
        <f>IF(Horo!L426&lt;&gt;"",Horo!L426,"")</f>
        <v>59</v>
      </c>
      <c r="D426" s="80">
        <f t="shared" si="30"/>
        <v>37</v>
      </c>
      <c r="E426" s="33">
        <f t="shared" si="32"/>
        <v>86</v>
      </c>
      <c r="F426" s="33">
        <f>MAX(Horo!T419:'Horo'!T429)</f>
        <v>59</v>
      </c>
    </row>
    <row r="427" spans="1:6" x14ac:dyDescent="0.3">
      <c r="A427" s="25">
        <f t="shared" si="23"/>
        <v>43360</v>
      </c>
      <c r="B427" s="39">
        <f>IF(Horo!K427&lt;&gt;"",Horo!K427,"")</f>
        <v>72</v>
      </c>
      <c r="C427" s="39">
        <f>IF(Horo!L427&lt;&gt;"",Horo!L427,"")</f>
        <v>59</v>
      </c>
      <c r="D427" s="80">
        <f t="shared" si="30"/>
        <v>38</v>
      </c>
      <c r="E427" s="33">
        <f t="shared" si="32"/>
        <v>86</v>
      </c>
      <c r="F427" s="33">
        <f>MAX(Horo!T420:'Horo'!T430)</f>
        <v>59</v>
      </c>
    </row>
    <row r="428" spans="1:6" x14ac:dyDescent="0.3">
      <c r="A428" s="29">
        <f t="shared" si="23"/>
        <v>43361</v>
      </c>
      <c r="B428" s="39">
        <f>IF(Horo!K428&lt;&gt;"",Horo!K428,"")</f>
        <v>59</v>
      </c>
      <c r="C428" s="39">
        <f>IF(Horo!L428&lt;&gt;"",Horo!L428,"")</f>
        <v>59</v>
      </c>
      <c r="D428" s="80">
        <f t="shared" ref="D428:D430" si="33">MIN(B421:C431)</f>
        <v>43</v>
      </c>
      <c r="E428" s="33">
        <f t="shared" ref="E428:E430" si="34">MAX(B421:C431)</f>
        <v>86</v>
      </c>
      <c r="F428" s="33">
        <f>MAX(Horo!T421:'Horo'!T431)</f>
        <v>59</v>
      </c>
    </row>
    <row r="429" spans="1:6" x14ac:dyDescent="0.3">
      <c r="A429" s="29">
        <f t="shared" si="23"/>
        <v>43362</v>
      </c>
      <c r="B429" s="39">
        <f>IF(Horo!K429&lt;&gt;"",Horo!K429,"")</f>
        <v>59</v>
      </c>
      <c r="C429" s="39">
        <f>IF(Horo!L429&lt;&gt;"",Horo!L429,"")</f>
        <v>57</v>
      </c>
      <c r="D429" s="80">
        <f t="shared" si="33"/>
        <v>52</v>
      </c>
      <c r="E429" s="33">
        <f t="shared" si="34"/>
        <v>86</v>
      </c>
      <c r="F429" s="33">
        <f>MAX(Horo!T422:'Horo'!T432)</f>
        <v>59</v>
      </c>
    </row>
    <row r="430" spans="1:6" x14ac:dyDescent="0.3">
      <c r="A430" s="29">
        <f t="shared" si="23"/>
        <v>43363</v>
      </c>
      <c r="B430" s="39">
        <f>IF(Horo!K430&lt;&gt;"",Horo!K430,"")</f>
        <v>61</v>
      </c>
      <c r="C430" s="39" t="str">
        <f>IF(Horo!L430&lt;&gt;"",Horo!L430,"")</f>
        <v/>
      </c>
      <c r="D430" s="80">
        <f t="shared" si="33"/>
        <v>52</v>
      </c>
      <c r="E430" s="33">
        <f t="shared" si="34"/>
        <v>86</v>
      </c>
      <c r="F430" s="33">
        <f>MAX(Horo!T423:'Horo'!T433)</f>
        <v>59</v>
      </c>
    </row>
    <row r="431" spans="1:6" x14ac:dyDescent="0.3">
      <c r="A431" s="20">
        <f t="shared" si="23"/>
        <v>43364</v>
      </c>
      <c r="B431" s="39">
        <f>IF(Horo!K431&lt;&gt;"",Horo!K431,"")</f>
        <v>61</v>
      </c>
      <c r="C431" s="39">
        <f>IF(Horo!L431&lt;&gt;"",Horo!L431,"")</f>
        <v>52</v>
      </c>
      <c r="D431" s="80">
        <f t="shared" ref="D431:D446" si="35">MIN(B424:C434)</f>
        <v>51</v>
      </c>
      <c r="E431" s="33">
        <f t="shared" ref="E431:E446" si="36">MAX(B424:C434)</f>
        <v>86</v>
      </c>
      <c r="F431" s="33">
        <f>MAX(Horo!T424:'Horo'!T434)</f>
        <v>59</v>
      </c>
    </row>
    <row r="432" spans="1:6" x14ac:dyDescent="0.3">
      <c r="A432" s="25">
        <f t="shared" si="23"/>
        <v>43367</v>
      </c>
      <c r="B432" s="39" t="str">
        <f>IF(Horo!K432&lt;&gt;"",Horo!K432,"")</f>
        <v/>
      </c>
      <c r="C432" s="39" t="str">
        <f>IF(Horo!L432&lt;&gt;"",Horo!L432,"")</f>
        <v/>
      </c>
      <c r="D432" s="80">
        <f t="shared" si="35"/>
        <v>51</v>
      </c>
      <c r="E432" s="33">
        <f t="shared" si="36"/>
        <v>72</v>
      </c>
      <c r="F432" s="33">
        <f>MAX(Horo!T425:'Horo'!T435)</f>
        <v>59</v>
      </c>
    </row>
    <row r="433" spans="1:6" x14ac:dyDescent="0.3">
      <c r="A433" s="29">
        <f t="shared" si="23"/>
        <v>43368</v>
      </c>
      <c r="B433" s="39" t="str">
        <f>IF(Horo!K433&lt;&gt;"",Horo!K433,"")</f>
        <v/>
      </c>
      <c r="C433" s="39" t="str">
        <f>IF(Horo!L433&lt;&gt;"",Horo!L433,"")</f>
        <v/>
      </c>
      <c r="D433" s="80">
        <f t="shared" si="35"/>
        <v>51</v>
      </c>
      <c r="E433" s="33">
        <f t="shared" si="36"/>
        <v>72</v>
      </c>
      <c r="F433" s="33">
        <f>MAX(Horo!T426:'Horo'!T436)</f>
        <v>59</v>
      </c>
    </row>
    <row r="434" spans="1:6" x14ac:dyDescent="0.3">
      <c r="A434" s="29">
        <f t="shared" si="23"/>
        <v>43369</v>
      </c>
      <c r="B434" s="39" t="str">
        <f>IF(Horo!K434&lt;&gt;"",Horo!K434,"")</f>
        <v/>
      </c>
      <c r="C434" s="39">
        <f>IF(Horo!L434&lt;&gt;"",Horo!L434,"")</f>
        <v>51</v>
      </c>
      <c r="D434" s="80">
        <f t="shared" si="35"/>
        <v>51</v>
      </c>
      <c r="E434" s="33">
        <f t="shared" si="36"/>
        <v>72</v>
      </c>
      <c r="F434" s="33">
        <f>MAX(Horo!T427:'Horo'!T437)</f>
        <v>59</v>
      </c>
    </row>
    <row r="435" spans="1:6" x14ac:dyDescent="0.3">
      <c r="A435" s="29">
        <f t="shared" si="23"/>
        <v>43370</v>
      </c>
      <c r="B435" s="39" t="str">
        <f>IF(Horo!K435&lt;&gt;"",Horo!K435,"")</f>
        <v/>
      </c>
      <c r="C435" s="39">
        <f>IF(Horo!L435&lt;&gt;"",Horo!L435,"")</f>
        <v>51</v>
      </c>
      <c r="D435" s="80">
        <f t="shared" si="35"/>
        <v>51</v>
      </c>
      <c r="E435" s="33">
        <f t="shared" si="36"/>
        <v>61</v>
      </c>
      <c r="F435" s="33">
        <f>MAX(Horo!T428:'Horo'!T438)</f>
        <v>59</v>
      </c>
    </row>
    <row r="436" spans="1:6" x14ac:dyDescent="0.3">
      <c r="A436" s="20">
        <f t="shared" si="23"/>
        <v>43371</v>
      </c>
      <c r="B436" s="39">
        <f>IF(Horo!K436&lt;&gt;"",Horo!K436,"")</f>
        <v>51</v>
      </c>
      <c r="C436" s="39" t="str">
        <f>IF(Horo!L436&lt;&gt;"",Horo!L436,"")</f>
        <v/>
      </c>
      <c r="D436" s="80">
        <f t="shared" si="35"/>
        <v>51</v>
      </c>
      <c r="E436" s="33">
        <f t="shared" si="36"/>
        <v>61</v>
      </c>
      <c r="F436" s="33">
        <f>MAX(Horo!T429:'Horo'!T439)</f>
        <v>59</v>
      </c>
    </row>
    <row r="437" spans="1:6" x14ac:dyDescent="0.3">
      <c r="A437" s="25">
        <f t="shared" si="23"/>
        <v>43374</v>
      </c>
      <c r="B437" s="39" t="str">
        <f>IF(Horo!K437&lt;&gt;"",Horo!K437,"")</f>
        <v/>
      </c>
      <c r="C437" s="39" t="str">
        <f>IF(Horo!L437&lt;&gt;"",Horo!L437,"")</f>
        <v/>
      </c>
      <c r="D437" s="80">
        <f t="shared" si="35"/>
        <v>51</v>
      </c>
      <c r="E437" s="33">
        <f t="shared" si="36"/>
        <v>87</v>
      </c>
      <c r="F437" s="33">
        <f>MAX(Horo!T430:'Horo'!T440)</f>
        <v>59</v>
      </c>
    </row>
    <row r="438" spans="1:6" x14ac:dyDescent="0.3">
      <c r="A438" s="29">
        <f t="shared" si="23"/>
        <v>43375</v>
      </c>
      <c r="B438" s="39" t="str">
        <f>IF(Horo!K438&lt;&gt;"",Horo!K438,"")</f>
        <v/>
      </c>
      <c r="C438" s="39" t="str">
        <f>IF(Horo!L438&lt;&gt;"",Horo!L438,"")</f>
        <v/>
      </c>
      <c r="D438" s="80">
        <f t="shared" si="35"/>
        <v>51</v>
      </c>
      <c r="E438" s="33">
        <f t="shared" si="36"/>
        <v>87</v>
      </c>
      <c r="F438" s="33">
        <f>MAX(Horo!T431:'Horo'!T441)</f>
        <v>69</v>
      </c>
    </row>
    <row r="439" spans="1:6" x14ac:dyDescent="0.3">
      <c r="A439" s="29">
        <f t="shared" si="23"/>
        <v>43376</v>
      </c>
      <c r="B439" s="39" t="str">
        <f>IF(Horo!K439&lt;&gt;"",Horo!K439,"")</f>
        <v/>
      </c>
      <c r="C439" s="39" t="str">
        <f>IF(Horo!L439&lt;&gt;"",Horo!L439,"")</f>
        <v/>
      </c>
      <c r="D439" s="80">
        <f t="shared" si="35"/>
        <v>51</v>
      </c>
      <c r="E439" s="33">
        <f t="shared" si="36"/>
        <v>87</v>
      </c>
      <c r="F439" s="33">
        <f>MAX(Horo!T432:'Horo'!T442)</f>
        <v>69</v>
      </c>
    </row>
    <row r="440" spans="1:6" x14ac:dyDescent="0.3">
      <c r="A440" s="29">
        <f t="shared" si="23"/>
        <v>43377</v>
      </c>
      <c r="B440" s="39">
        <f>IF(Horo!K440&lt;&gt;"",Horo!K440,"")</f>
        <v>87</v>
      </c>
      <c r="C440" s="39">
        <f>IF(Horo!L440&lt;&gt;"",Horo!L440,"")</f>
        <v>79</v>
      </c>
      <c r="D440" s="80">
        <f t="shared" si="35"/>
        <v>51</v>
      </c>
      <c r="E440" s="33">
        <f t="shared" si="36"/>
        <v>87</v>
      </c>
      <c r="F440" s="33">
        <f>MAX(Horo!T433:'Horo'!T443)</f>
        <v>69</v>
      </c>
    </row>
    <row r="441" spans="1:6" x14ac:dyDescent="0.3">
      <c r="A441" s="20">
        <f t="shared" si="23"/>
        <v>43378</v>
      </c>
      <c r="B441" s="39">
        <f>IF(Horo!K441&lt;&gt;"",Horo!K441,"")</f>
        <v>74</v>
      </c>
      <c r="C441" s="39">
        <f>IF(Horo!L441&lt;&gt;"",Horo!L441,"")</f>
        <v>69</v>
      </c>
      <c r="D441" s="80">
        <f t="shared" si="35"/>
        <v>51</v>
      </c>
      <c r="E441" s="33">
        <f t="shared" si="36"/>
        <v>87</v>
      </c>
      <c r="F441" s="33">
        <f>MAX(Horo!T434:'Horo'!T444)</f>
        <v>69</v>
      </c>
    </row>
    <row r="442" spans="1:6" x14ac:dyDescent="0.3">
      <c r="A442" s="25">
        <f t="shared" si="23"/>
        <v>43381</v>
      </c>
      <c r="B442" s="39">
        <f>IF(Horo!K442&lt;&gt;"",Horo!K442,"")</f>
        <v>77</v>
      </c>
      <c r="C442" s="39" t="str">
        <f>IF(Horo!L442&lt;&gt;"",Horo!L442,"")</f>
        <v/>
      </c>
      <c r="D442" s="80">
        <f t="shared" si="35"/>
        <v>51</v>
      </c>
      <c r="E442" s="33">
        <f t="shared" si="36"/>
        <v>87</v>
      </c>
      <c r="F442" s="33">
        <f>MAX(Horo!T435:'Horo'!T445)</f>
        <v>69</v>
      </c>
    </row>
    <row r="443" spans="1:6" x14ac:dyDescent="0.3">
      <c r="A443" s="29">
        <f t="shared" si="23"/>
        <v>43382</v>
      </c>
      <c r="B443" s="39">
        <f>IF(Horo!K443&lt;&gt;"",Horo!K443,"")</f>
        <v>77</v>
      </c>
      <c r="C443" s="39">
        <f>IF(Horo!L443&lt;&gt;"",Horo!L443,"")</f>
        <v>59</v>
      </c>
      <c r="D443" s="80">
        <f t="shared" si="35"/>
        <v>51</v>
      </c>
      <c r="E443" s="33">
        <f t="shared" si="36"/>
        <v>87</v>
      </c>
      <c r="F443" s="33">
        <f>MAX(Horo!T436:'Horo'!T446)</f>
        <v>69</v>
      </c>
    </row>
    <row r="444" spans="1:6" x14ac:dyDescent="0.3">
      <c r="A444" s="29">
        <f t="shared" si="23"/>
        <v>43383</v>
      </c>
      <c r="B444" s="39">
        <f>IF(Horo!K444&lt;&gt;"",Horo!K444,"")</f>
        <v>73</v>
      </c>
      <c r="C444" s="39">
        <f>IF(Horo!L444&lt;&gt;"",Horo!L444,"")</f>
        <v>60</v>
      </c>
      <c r="D444" s="80">
        <f t="shared" si="35"/>
        <v>59</v>
      </c>
      <c r="E444" s="33">
        <f t="shared" si="36"/>
        <v>87</v>
      </c>
      <c r="F444" s="33">
        <f>MAX(Horo!T437:'Horo'!T447)</f>
        <v>69</v>
      </c>
    </row>
    <row r="445" spans="1:6" x14ac:dyDescent="0.3">
      <c r="A445" s="29">
        <f t="shared" si="23"/>
        <v>43384</v>
      </c>
      <c r="B445" s="39">
        <f>IF(Horo!K445&lt;&gt;"",Horo!K445,"")</f>
        <v>60</v>
      </c>
      <c r="C445" s="39">
        <f>IF(Horo!L445&lt;&gt;"",Horo!L445,"")</f>
        <v>60</v>
      </c>
      <c r="D445" s="80">
        <f t="shared" si="35"/>
        <v>59</v>
      </c>
      <c r="E445" s="33">
        <f t="shared" si="36"/>
        <v>87</v>
      </c>
      <c r="F445" s="33">
        <f>MAX(Horo!T438:'Horo'!T448)</f>
        <v>69</v>
      </c>
    </row>
    <row r="446" spans="1:6" x14ac:dyDescent="0.3">
      <c r="A446" s="20">
        <f t="shared" si="23"/>
        <v>43385</v>
      </c>
      <c r="B446" s="39">
        <f>IF(Horo!K446&lt;&gt;"",Horo!K446,"")</f>
        <v>66</v>
      </c>
      <c r="C446" s="39">
        <f>IF(Horo!L446&lt;&gt;"",Horo!L446,"")</f>
        <v>59</v>
      </c>
      <c r="D446" s="80">
        <f t="shared" si="35"/>
        <v>53</v>
      </c>
      <c r="E446" s="33">
        <f t="shared" si="36"/>
        <v>87</v>
      </c>
      <c r="F446" s="33">
        <f>MAX(Horo!T439:'Horo'!T449)</f>
        <v>69</v>
      </c>
    </row>
    <row r="447" spans="1:6" x14ac:dyDescent="0.3">
      <c r="A447" s="25">
        <f t="shared" si="23"/>
        <v>43388</v>
      </c>
      <c r="B447" s="39">
        <f>IF(Horo!K447&lt;&gt;"",Horo!K447,"")</f>
        <v>76</v>
      </c>
      <c r="C447" s="39">
        <f>IF(Horo!L447&lt;&gt;"",Horo!L447,"")</f>
        <v>69</v>
      </c>
      <c r="D447" s="80">
        <f t="shared" ref="D447:D454" si="37">MIN(B440:C450)</f>
        <v>53</v>
      </c>
      <c r="E447" s="33">
        <f t="shared" ref="E447:E454" si="38">MAX(B440:C450)</f>
        <v>87</v>
      </c>
      <c r="F447" s="33">
        <f>MAX(Horo!T440:'Horo'!T450)</f>
        <v>69</v>
      </c>
    </row>
    <row r="448" spans="1:6" x14ac:dyDescent="0.3">
      <c r="A448" s="29">
        <f t="shared" si="23"/>
        <v>43389</v>
      </c>
      <c r="B448" s="39">
        <f>IF(Horo!K448&lt;&gt;"",Horo!K448,"")</f>
        <v>69</v>
      </c>
      <c r="C448" s="39">
        <f>IF(Horo!L448&lt;&gt;"",Horo!L448,"")</f>
        <v>60</v>
      </c>
      <c r="D448" s="80">
        <f t="shared" si="37"/>
        <v>53</v>
      </c>
      <c r="E448" s="33">
        <f t="shared" si="38"/>
        <v>77</v>
      </c>
      <c r="F448" s="33">
        <f>MAX(Horo!T441:'Horo'!T451)</f>
        <v>69</v>
      </c>
    </row>
    <row r="449" spans="1:6" x14ac:dyDescent="0.3">
      <c r="A449" s="29">
        <f t="shared" si="23"/>
        <v>43390</v>
      </c>
      <c r="B449" s="39">
        <f>IF(Horo!K449&lt;&gt;"",Horo!K449,"")</f>
        <v>60</v>
      </c>
      <c r="C449" s="39">
        <f>IF(Horo!L449&lt;&gt;"",Horo!L449,"")</f>
        <v>53</v>
      </c>
      <c r="D449" s="80">
        <f t="shared" si="37"/>
        <v>53</v>
      </c>
      <c r="E449" s="33">
        <f t="shared" si="38"/>
        <v>77</v>
      </c>
      <c r="F449" s="33">
        <f>MAX(Horo!T442:'Horo'!T452)</f>
        <v>59</v>
      </c>
    </row>
    <row r="450" spans="1:6" x14ac:dyDescent="0.3">
      <c r="A450" s="29">
        <f t="shared" si="23"/>
        <v>43391</v>
      </c>
      <c r="B450" s="39">
        <f>IF(Horo!K450&lt;&gt;"",Horo!K450,"")</f>
        <v>60</v>
      </c>
      <c r="C450" s="39">
        <f>IF(Horo!L450&lt;&gt;"",Horo!L450,"")</f>
        <v>60</v>
      </c>
      <c r="D450" s="80">
        <f t="shared" si="37"/>
        <v>51</v>
      </c>
      <c r="E450" s="33">
        <f t="shared" si="38"/>
        <v>77</v>
      </c>
      <c r="F450" s="33">
        <f>MAX(Horo!T443:'Horo'!T453)</f>
        <v>59</v>
      </c>
    </row>
    <row r="451" spans="1:6" x14ac:dyDescent="0.3">
      <c r="A451" s="20">
        <f t="shared" si="23"/>
        <v>43392</v>
      </c>
      <c r="B451" s="39">
        <f>IF(Horo!K451&lt;&gt;"",Horo!K451,"")</f>
        <v>60</v>
      </c>
      <c r="C451" s="39">
        <f>IF(Horo!L451&lt;&gt;"",Horo!L451,"")</f>
        <v>55</v>
      </c>
      <c r="D451" s="80">
        <f t="shared" si="37"/>
        <v>43</v>
      </c>
      <c r="E451" s="33">
        <f t="shared" si="38"/>
        <v>76</v>
      </c>
      <c r="F451" s="33">
        <f>MAX(Horo!T444:'Horo'!T454)</f>
        <v>59</v>
      </c>
    </row>
    <row r="452" spans="1:6" x14ac:dyDescent="0.3">
      <c r="A452" s="25">
        <f t="shared" si="23"/>
        <v>43395</v>
      </c>
      <c r="B452" s="39">
        <f>IF(Horo!K452&lt;&gt;"",Horo!K452,"")</f>
        <v>74</v>
      </c>
      <c r="C452" s="39">
        <f>IF(Horo!L452&lt;&gt;"",Horo!L452,"")</f>
        <v>74</v>
      </c>
      <c r="D452" s="80">
        <f t="shared" si="37"/>
        <v>34</v>
      </c>
      <c r="E452" s="33">
        <f t="shared" si="38"/>
        <v>76</v>
      </c>
      <c r="F452" s="33">
        <f>MAX(Horo!T445:'Horo'!T455)</f>
        <v>59</v>
      </c>
    </row>
    <row r="453" spans="1:6" x14ac:dyDescent="0.3">
      <c r="A453" s="29">
        <f t="shared" ref="A453:A517" si="39">A448+7</f>
        <v>43396</v>
      </c>
      <c r="B453" s="39">
        <f>IF(Horo!K453&lt;&gt;"",Horo!K453,"")</f>
        <v>58</v>
      </c>
      <c r="C453" s="39">
        <f>IF(Horo!L453&lt;&gt;"",Horo!L453,"")</f>
        <v>51</v>
      </c>
      <c r="D453" s="80">
        <f t="shared" si="37"/>
        <v>30</v>
      </c>
      <c r="E453" s="33">
        <f t="shared" si="38"/>
        <v>76</v>
      </c>
      <c r="F453" s="33">
        <f>MAX(Horo!T446:'Horo'!T456)</f>
        <v>59</v>
      </c>
    </row>
    <row r="454" spans="1:6" x14ac:dyDescent="0.3">
      <c r="A454" s="29">
        <f t="shared" si="39"/>
        <v>43397</v>
      </c>
      <c r="B454" s="39">
        <f>IF(Horo!K454&lt;&gt;"",Horo!K454,"")</f>
        <v>51</v>
      </c>
      <c r="C454" s="39">
        <f>IF(Horo!L454&lt;&gt;"",Horo!L454,"")</f>
        <v>43</v>
      </c>
      <c r="D454" s="80">
        <f t="shared" si="37"/>
        <v>30</v>
      </c>
      <c r="E454" s="33">
        <f t="shared" si="38"/>
        <v>76</v>
      </c>
      <c r="F454" s="33">
        <f>MAX(Horo!T447:'Horo'!T457)</f>
        <v>53</v>
      </c>
    </row>
    <row r="455" spans="1:6" x14ac:dyDescent="0.3">
      <c r="A455" s="29">
        <f t="shared" si="39"/>
        <v>43398</v>
      </c>
      <c r="B455" s="39">
        <f>IF(Horo!K455&lt;&gt;"",Horo!K455,"")</f>
        <v>43</v>
      </c>
      <c r="C455" s="39">
        <f>IF(Horo!L455&lt;&gt;"",Horo!L455,"")</f>
        <v>34</v>
      </c>
      <c r="D455" s="80">
        <f t="shared" ref="D455:D458" si="40">MIN(B448:C458)</f>
        <v>30</v>
      </c>
      <c r="E455" s="33">
        <f t="shared" ref="E455:E458" si="41">MAX(B448:C458)</f>
        <v>74</v>
      </c>
      <c r="F455" s="33">
        <f>MAX(Horo!T448:'Horo'!T458)</f>
        <v>53</v>
      </c>
    </row>
    <row r="456" spans="1:6" x14ac:dyDescent="0.3">
      <c r="A456" s="20">
        <f t="shared" si="39"/>
        <v>43399</v>
      </c>
      <c r="B456" s="39">
        <f>IF(Horo!K456&lt;&gt;"",Horo!K456,"")</f>
        <v>35</v>
      </c>
      <c r="C456" s="39">
        <f>IF(Horo!L456&lt;&gt;"",Horo!L456,"")</f>
        <v>30</v>
      </c>
      <c r="D456" s="80">
        <f t="shared" si="40"/>
        <v>30</v>
      </c>
      <c r="E456" s="33">
        <f t="shared" si="41"/>
        <v>74</v>
      </c>
      <c r="F456" s="33">
        <f>MAX(Horo!T449:'Horo'!T459)</f>
        <v>53</v>
      </c>
    </row>
    <row r="457" spans="1:6" x14ac:dyDescent="0.3">
      <c r="A457" s="25">
        <f t="shared" si="39"/>
        <v>43402</v>
      </c>
      <c r="B457" s="39">
        <f>IF(Horo!K457&lt;&gt;"",Horo!K457,"")</f>
        <v>69</v>
      </c>
      <c r="C457" s="39">
        <f>IF(Horo!L457&lt;&gt;"",Horo!L457,"")</f>
        <v>56</v>
      </c>
      <c r="D457" s="80">
        <f t="shared" si="40"/>
        <v>30</v>
      </c>
      <c r="E457" s="33">
        <f t="shared" si="41"/>
        <v>74</v>
      </c>
      <c r="F457" s="33">
        <f>MAX(Horo!T450:'Horo'!T460)</f>
        <v>53</v>
      </c>
    </row>
    <row r="458" spans="1:6" x14ac:dyDescent="0.3">
      <c r="A458" s="29">
        <f t="shared" si="39"/>
        <v>43403</v>
      </c>
      <c r="B458" s="39">
        <f>IF(Horo!K458&lt;&gt;"",Horo!K458,"")</f>
        <v>56</v>
      </c>
      <c r="C458" s="39">
        <f>IF(Horo!L458&lt;&gt;"",Horo!L458,"")</f>
        <v>49</v>
      </c>
      <c r="D458" s="80">
        <f t="shared" si="40"/>
        <v>30</v>
      </c>
      <c r="E458" s="33">
        <f t="shared" si="41"/>
        <v>74</v>
      </c>
      <c r="F458" s="33">
        <f>MAX(Horo!T451:'Horo'!T461)</f>
        <v>53</v>
      </c>
    </row>
    <row r="459" spans="1:6" x14ac:dyDescent="0.3">
      <c r="A459" s="29">
        <f t="shared" si="39"/>
        <v>43404</v>
      </c>
      <c r="B459" s="39">
        <f>IF(Horo!K459&lt;&gt;"",Horo!K459,"")</f>
        <v>57</v>
      </c>
      <c r="C459" s="39">
        <f>IF(Horo!L459&lt;&gt;"",Horo!L459,"")</f>
        <v>50</v>
      </c>
      <c r="D459" s="80">
        <f t="shared" ref="D459:D461" si="42">MIN(B452:C462)</f>
        <v>30</v>
      </c>
      <c r="E459" s="33">
        <f t="shared" ref="E459:E461" si="43">MAX(B452:C462)</f>
        <v>76</v>
      </c>
      <c r="F459" s="33">
        <f>MAX(Horo!T452:'Horo'!T462)</f>
        <v>50</v>
      </c>
    </row>
    <row r="460" spans="1:6" x14ac:dyDescent="0.3">
      <c r="A460" s="29">
        <f t="shared" si="39"/>
        <v>43405</v>
      </c>
      <c r="B460" s="39">
        <f>IF(Horo!K460&lt;&gt;"",Horo!K460,"")</f>
        <v>46</v>
      </c>
      <c r="C460" s="39" t="str">
        <f>IF(Horo!L460&lt;&gt;"",Horo!L460,"")</f>
        <v/>
      </c>
      <c r="D460" s="80">
        <f t="shared" si="42"/>
        <v>30</v>
      </c>
      <c r="E460" s="33">
        <f t="shared" si="43"/>
        <v>76</v>
      </c>
      <c r="F460" s="33">
        <f>MAX(Horo!T453:'Horo'!T463)</f>
        <v>50</v>
      </c>
    </row>
    <row r="461" spans="1:6" x14ac:dyDescent="0.3">
      <c r="A461" s="20">
        <f t="shared" si="39"/>
        <v>43406</v>
      </c>
      <c r="B461" s="39">
        <f>IF(Horo!K461&lt;&gt;"",Horo!K461,"")</f>
        <v>56</v>
      </c>
      <c r="C461" s="39">
        <f>IF(Horo!L461&lt;&gt;"",Horo!L461,"")</f>
        <v>49</v>
      </c>
      <c r="D461" s="80">
        <f t="shared" si="42"/>
        <v>30</v>
      </c>
      <c r="E461" s="33">
        <f t="shared" si="43"/>
        <v>76</v>
      </c>
      <c r="F461" s="33">
        <f>MAX(Horo!T454:'Horo'!T464)</f>
        <v>50</v>
      </c>
    </row>
    <row r="462" spans="1:6" x14ac:dyDescent="0.3">
      <c r="A462" s="25">
        <f t="shared" si="39"/>
        <v>43409</v>
      </c>
      <c r="B462" s="39">
        <f>IF(Horo!K462&lt;&gt;"",Horo!K462,"")</f>
        <v>76</v>
      </c>
      <c r="C462" s="39">
        <f>IF(Horo!L462&lt;&gt;"",Horo!L462,"")</f>
        <v>67</v>
      </c>
      <c r="D462" s="80">
        <f t="shared" ref="D462" si="44">MIN(B455:C465)</f>
        <v>30</v>
      </c>
      <c r="E462" s="33">
        <f t="shared" ref="E462" si="45">MAX(B455:C465)</f>
        <v>76</v>
      </c>
      <c r="F462" s="33">
        <f>MAX(Horo!T455:'Horo'!T465)</f>
        <v>50</v>
      </c>
    </row>
    <row r="463" spans="1:6" x14ac:dyDescent="0.3">
      <c r="A463" s="29">
        <f t="shared" si="39"/>
        <v>43410</v>
      </c>
      <c r="B463" s="39">
        <f>IF(Horo!K463&lt;&gt;"",Horo!K463,"")</f>
        <v>56</v>
      </c>
      <c r="C463" s="39">
        <f>IF(Horo!L463&lt;&gt;"",Horo!L463,"")</f>
        <v>57</v>
      </c>
      <c r="D463" s="80">
        <f t="shared" ref="D463" si="46">MIN(B456:C466)</f>
        <v>30</v>
      </c>
      <c r="E463" s="33">
        <f t="shared" ref="E463" si="47">MAX(B456:C466)</f>
        <v>76</v>
      </c>
      <c r="F463" s="33">
        <f>MAX(Horo!T456:'Horo'!T466)</f>
        <v>50</v>
      </c>
    </row>
    <row r="464" spans="1:6" x14ac:dyDescent="0.3">
      <c r="A464" s="29">
        <f t="shared" si="39"/>
        <v>43411</v>
      </c>
      <c r="B464" s="39">
        <f>IF(Horo!K464&lt;&gt;"",Horo!K464,"")</f>
        <v>57</v>
      </c>
      <c r="C464" s="39">
        <f>IF(Horo!L464&lt;&gt;"",Horo!L464,"")</f>
        <v>43</v>
      </c>
      <c r="D464" s="80">
        <f t="shared" ref="D464" si="48">MIN(B457:C467)</f>
        <v>43</v>
      </c>
      <c r="E464" s="33">
        <f t="shared" ref="E464" si="49">MAX(B457:C467)</f>
        <v>76</v>
      </c>
      <c r="F464" s="33">
        <f>MAX(Horo!T457:'Horo'!T467)</f>
        <v>47</v>
      </c>
    </row>
    <row r="465" spans="1:6" x14ac:dyDescent="0.3">
      <c r="A465" s="29">
        <f t="shared" si="39"/>
        <v>43412</v>
      </c>
      <c r="B465" s="39" t="str">
        <f>IF(Horo!K465&lt;&gt;"",Horo!K465,"")</f>
        <v/>
      </c>
      <c r="C465" s="39" t="str">
        <f>IF(Horo!L465&lt;&gt;"",Horo!L465,"")</f>
        <v/>
      </c>
      <c r="D465" s="80">
        <f t="shared" ref="D465" si="50">MIN(B458:C468)</f>
        <v>43</v>
      </c>
      <c r="E465" s="33">
        <f t="shared" ref="E465" si="51">MAX(B458:C468)</f>
        <v>76</v>
      </c>
      <c r="F465" s="33">
        <f>MAX(Horo!T458:'Horo'!T468)</f>
        <v>47</v>
      </c>
    </row>
    <row r="466" spans="1:6" x14ac:dyDescent="0.3">
      <c r="A466" s="20">
        <f t="shared" si="39"/>
        <v>43413</v>
      </c>
      <c r="B466" s="39" t="str">
        <f>IF(Horo!K466&lt;&gt;"",Horo!K466,"")</f>
        <v/>
      </c>
      <c r="C466" s="39" t="str">
        <f>IF(Horo!L466&lt;&gt;"",Horo!L466,"")</f>
        <v/>
      </c>
      <c r="D466" s="80">
        <f t="shared" ref="D466:D469" si="52">MIN(B459:C469)</f>
        <v>43</v>
      </c>
      <c r="E466" s="33">
        <f t="shared" ref="E466:E469" si="53">MAX(B459:C469)</f>
        <v>76</v>
      </c>
      <c r="F466" s="33">
        <f>MAX(Horo!T459:'Horo'!T469)</f>
        <v>47</v>
      </c>
    </row>
    <row r="467" spans="1:6" x14ac:dyDescent="0.3">
      <c r="A467" s="25">
        <f t="shared" si="39"/>
        <v>43416</v>
      </c>
      <c r="B467" s="39" t="str">
        <f>IF(Horo!K467&lt;&gt;"",Horo!K467,"")</f>
        <v/>
      </c>
      <c r="C467" s="39">
        <f>IF(Horo!L467&lt;&gt;"",Horo!L467,"")</f>
        <v>65</v>
      </c>
      <c r="D467" s="80">
        <f t="shared" si="52"/>
        <v>38</v>
      </c>
      <c r="E467" s="33">
        <f t="shared" si="53"/>
        <v>76</v>
      </c>
      <c r="F467" s="33">
        <f>MAX(Horo!T460:'Horo'!T470)</f>
        <v>47</v>
      </c>
    </row>
    <row r="468" spans="1:6" x14ac:dyDescent="0.3">
      <c r="A468" s="29">
        <f t="shared" si="39"/>
        <v>43417</v>
      </c>
      <c r="B468" s="39">
        <f>IF(Horo!K468&lt;&gt;"",Horo!K468,"")</f>
        <v>65</v>
      </c>
      <c r="C468" s="39">
        <f>IF(Horo!L468&lt;&gt;"",Horo!L468,"")</f>
        <v>53</v>
      </c>
      <c r="D468" s="80">
        <f t="shared" si="52"/>
        <v>38</v>
      </c>
      <c r="E468" s="33">
        <f t="shared" si="53"/>
        <v>76</v>
      </c>
      <c r="F468" s="33">
        <f>MAX(Horo!T461:'Horo'!T471)</f>
        <v>47</v>
      </c>
    </row>
    <row r="469" spans="1:6" x14ac:dyDescent="0.3">
      <c r="A469" s="29">
        <f t="shared" si="39"/>
        <v>43418</v>
      </c>
      <c r="B469" s="39">
        <f>IF(Horo!K469&lt;&gt;"",Horo!K469,"")</f>
        <v>53</v>
      </c>
      <c r="C469" s="39">
        <f>IF(Horo!L469&lt;&gt;"",Horo!L469,"")</f>
        <v>43</v>
      </c>
      <c r="D469" s="80">
        <f t="shared" si="52"/>
        <v>38</v>
      </c>
      <c r="E469" s="33">
        <f t="shared" si="53"/>
        <v>76</v>
      </c>
      <c r="F469" s="33">
        <f>MAX(Horo!T462:'Horo'!T472)</f>
        <v>46</v>
      </c>
    </row>
    <row r="470" spans="1:6" x14ac:dyDescent="0.3">
      <c r="A470" s="29">
        <f t="shared" si="39"/>
        <v>43419</v>
      </c>
      <c r="B470" s="39">
        <f>IF(Horo!K470&lt;&gt;"",Horo!K470,"")</f>
        <v>43</v>
      </c>
      <c r="C470" s="39">
        <f>IF(Horo!L470&lt;&gt;"",Horo!L470,"")</f>
        <v>38</v>
      </c>
      <c r="D470" s="80">
        <f t="shared" ref="D470:D475" si="54">MIN(B463:C473)</f>
        <v>38</v>
      </c>
      <c r="E470" s="33">
        <f t="shared" ref="E470:E475" si="55">MAX(B463:C473)</f>
        <v>65</v>
      </c>
      <c r="F470" s="33">
        <f>MAX(Horo!T463:'Horo'!T473)</f>
        <v>46</v>
      </c>
    </row>
    <row r="471" spans="1:6" x14ac:dyDescent="0.3">
      <c r="A471" s="20">
        <f t="shared" si="39"/>
        <v>43420</v>
      </c>
      <c r="B471" s="39" t="str">
        <f>IF(Horo!K471&lt;&gt;"",Horo!K471,"")</f>
        <v/>
      </c>
      <c r="C471" s="39">
        <f>IF(Horo!L471&lt;&gt;"",Horo!L471,"")</f>
        <v>43</v>
      </c>
      <c r="D471" s="80">
        <f t="shared" si="54"/>
        <v>38</v>
      </c>
      <c r="E471" s="33">
        <f t="shared" si="55"/>
        <v>65</v>
      </c>
      <c r="F471" s="33">
        <f>MAX(Horo!T464:'Horo'!T474)</f>
        <v>46</v>
      </c>
    </row>
    <row r="472" spans="1:6" x14ac:dyDescent="0.3">
      <c r="A472" s="25">
        <f t="shared" si="39"/>
        <v>43423</v>
      </c>
      <c r="B472" s="39" t="str">
        <f>IF(Horo!K472&lt;&gt;"",Horo!K472,"")</f>
        <v/>
      </c>
      <c r="C472" s="39">
        <f>IF(Horo!L472&lt;&gt;"",Horo!L472,"")</f>
        <v>63</v>
      </c>
      <c r="D472" s="80">
        <f t="shared" si="54"/>
        <v>38</v>
      </c>
      <c r="E472" s="33">
        <f t="shared" si="55"/>
        <v>65</v>
      </c>
      <c r="F472" s="33">
        <f>MAX(Horo!T465:'Horo'!T475)</f>
        <v>46</v>
      </c>
    </row>
    <row r="473" spans="1:6" x14ac:dyDescent="0.3">
      <c r="A473" s="29">
        <f t="shared" si="39"/>
        <v>43424</v>
      </c>
      <c r="B473" s="39">
        <f>IF(Horo!K473&lt;&gt;"",Horo!K473,"")</f>
        <v>63</v>
      </c>
      <c r="C473" s="39">
        <f>IF(Horo!L473&lt;&gt;"",Horo!L473,"")</f>
        <v>63</v>
      </c>
      <c r="D473" s="80">
        <f t="shared" si="54"/>
        <v>38</v>
      </c>
      <c r="E473" s="33">
        <f t="shared" si="55"/>
        <v>65</v>
      </c>
      <c r="F473" s="33">
        <f>MAX(Horo!T466:'Horo'!T476)</f>
        <v>46</v>
      </c>
    </row>
    <row r="474" spans="1:6" x14ac:dyDescent="0.3">
      <c r="A474" s="29">
        <f t="shared" si="39"/>
        <v>43425</v>
      </c>
      <c r="B474" s="39">
        <f>IF(Horo!K474&lt;&gt;"",Horo!K474,"")</f>
        <v>63</v>
      </c>
      <c r="C474" s="39">
        <f>IF(Horo!L474&lt;&gt;"",Horo!L474,"")</f>
        <v>54</v>
      </c>
      <c r="D474" s="80">
        <f t="shared" si="54"/>
        <v>38</v>
      </c>
      <c r="E474" s="33">
        <f t="shared" si="55"/>
        <v>69</v>
      </c>
      <c r="F474" s="33">
        <f>MAX(Horo!T467:'Horo'!T477)</f>
        <v>43</v>
      </c>
    </row>
    <row r="475" spans="1:6" x14ac:dyDescent="0.3">
      <c r="A475" s="29">
        <f t="shared" si="39"/>
        <v>43426</v>
      </c>
      <c r="B475" s="39">
        <f>IF(Horo!K475&lt;&gt;"",Horo!K475,"")</f>
        <v>55</v>
      </c>
      <c r="C475" s="39">
        <f>IF(Horo!L475&lt;&gt;"",Horo!L475,"")</f>
        <v>45</v>
      </c>
      <c r="D475" s="80">
        <f t="shared" si="54"/>
        <v>38</v>
      </c>
      <c r="E475" s="33">
        <f t="shared" si="55"/>
        <v>69</v>
      </c>
      <c r="F475" s="33">
        <f>MAX(Horo!T468:'Horo'!T478)</f>
        <v>43</v>
      </c>
    </row>
    <row r="476" spans="1:6" x14ac:dyDescent="0.3">
      <c r="A476" s="20">
        <f t="shared" si="39"/>
        <v>43427</v>
      </c>
      <c r="B476" s="39">
        <f>IF(Horo!K476&lt;&gt;"",Horo!K476,"")</f>
        <v>55</v>
      </c>
      <c r="C476" s="39">
        <f>IF(Horo!L476&lt;&gt;"",Horo!L476,"")</f>
        <v>46</v>
      </c>
      <c r="D476" s="80">
        <f t="shared" ref="D476" si="56">MIN(B469:C479)</f>
        <v>38</v>
      </c>
      <c r="E476" s="33">
        <f t="shared" ref="E476" si="57">MAX(B469:C479)</f>
        <v>69</v>
      </c>
      <c r="F476" s="33">
        <f>MAX(Horo!T469:'Horo'!T479)</f>
        <v>43</v>
      </c>
    </row>
    <row r="477" spans="1:6" x14ac:dyDescent="0.3">
      <c r="A477" s="25">
        <f t="shared" si="39"/>
        <v>43430</v>
      </c>
      <c r="B477" s="39">
        <f>IF(Horo!K477&lt;&gt;"",Horo!K477,"")</f>
        <v>69</v>
      </c>
      <c r="C477" s="39">
        <f>IF(Horo!L477&lt;&gt;"",Horo!L477,"")</f>
        <v>63</v>
      </c>
      <c r="D477" s="80">
        <f t="shared" ref="D477:D478" si="58">MIN(B470:C480)</f>
        <v>38</v>
      </c>
      <c r="E477" s="33">
        <f t="shared" ref="E477:E478" si="59">MAX(B470:C480)</f>
        <v>69</v>
      </c>
      <c r="F477" s="33">
        <f>MAX(Horo!T470:'Horo'!T480)</f>
        <v>43</v>
      </c>
    </row>
    <row r="478" spans="1:6" x14ac:dyDescent="0.3">
      <c r="A478" s="29">
        <f t="shared" si="39"/>
        <v>43431</v>
      </c>
      <c r="B478" s="39" t="str">
        <f>IF(Horo!K478&lt;&gt;"",Horo!K478,"")</f>
        <v/>
      </c>
      <c r="C478" s="39">
        <f>IF(Horo!L478&lt;&gt;"",Horo!L478,"")</f>
        <v>57</v>
      </c>
      <c r="D478" s="80">
        <f t="shared" si="58"/>
        <v>43</v>
      </c>
      <c r="E478" s="33">
        <f t="shared" si="59"/>
        <v>69</v>
      </c>
      <c r="F478" s="33">
        <f>MAX(Horo!T471:'Horo'!T481)</f>
        <v>48</v>
      </c>
    </row>
    <row r="479" spans="1:6" x14ac:dyDescent="0.3">
      <c r="A479" s="29">
        <f t="shared" si="39"/>
        <v>43432</v>
      </c>
      <c r="B479" s="39">
        <f>IF(Horo!K479&lt;&gt;"",Horo!K479,"")</f>
        <v>56</v>
      </c>
      <c r="C479" s="39">
        <f>IF(Horo!L479&lt;&gt;"",Horo!L479,"")</f>
        <v>58</v>
      </c>
      <c r="D479" s="80">
        <f t="shared" ref="D479:D483" si="60">MIN(B472:C482)</f>
        <v>45</v>
      </c>
      <c r="E479" s="33">
        <f t="shared" ref="E479:E483" si="61">MAX(B472:C482)</f>
        <v>69</v>
      </c>
      <c r="F479" s="33">
        <f>MAX(Horo!T472:'Horo'!T482)</f>
        <v>48</v>
      </c>
    </row>
    <row r="480" spans="1:6" x14ac:dyDescent="0.3">
      <c r="A480" s="29">
        <f t="shared" si="39"/>
        <v>43433</v>
      </c>
      <c r="B480" s="39" t="str">
        <f>IF(Horo!K480&lt;&gt;"",Horo!K480,"")</f>
        <v/>
      </c>
      <c r="C480" s="39">
        <f>IF(Horo!L480&lt;&gt;"",Horo!L480,"")</f>
        <v>52</v>
      </c>
      <c r="D480" s="80">
        <f t="shared" si="60"/>
        <v>45</v>
      </c>
      <c r="E480" s="33">
        <f t="shared" si="61"/>
        <v>69</v>
      </c>
      <c r="F480" s="33">
        <f>MAX(Horo!T473:'Horo'!T483)</f>
        <v>48</v>
      </c>
    </row>
    <row r="481" spans="1:6" x14ac:dyDescent="0.3">
      <c r="A481" s="20">
        <f t="shared" si="39"/>
        <v>43434</v>
      </c>
      <c r="B481" s="39" t="str">
        <f>IF(Horo!K481&lt;&gt;"",Horo!K481,"")</f>
        <v/>
      </c>
      <c r="C481" s="39">
        <f>IF(Horo!L481&lt;&gt;"",Horo!L481,"")</f>
        <v>53</v>
      </c>
      <c r="D481" s="80">
        <f t="shared" si="60"/>
        <v>45</v>
      </c>
      <c r="E481" s="33">
        <f t="shared" si="61"/>
        <v>69</v>
      </c>
      <c r="F481" s="33">
        <f>MAX(Horo!T474:'Horo'!T484)</f>
        <v>48</v>
      </c>
    </row>
    <row r="482" spans="1:6" x14ac:dyDescent="0.3">
      <c r="A482" s="25">
        <f t="shared" si="39"/>
        <v>43437</v>
      </c>
      <c r="B482" s="39" t="str">
        <f>IF(Horo!K482&lt;&gt;"",Horo!K482,"")</f>
        <v/>
      </c>
      <c r="C482" s="39">
        <f>IF(Horo!L482&lt;&gt;"",Horo!L482,"")</f>
        <v>67</v>
      </c>
      <c r="D482" s="80">
        <f t="shared" si="60"/>
        <v>45</v>
      </c>
      <c r="E482" s="33">
        <f t="shared" si="61"/>
        <v>69</v>
      </c>
      <c r="F482" s="33">
        <f>MAX(Horo!T475:'Horo'!T485)</f>
        <v>48</v>
      </c>
    </row>
    <row r="483" spans="1:6" x14ac:dyDescent="0.3">
      <c r="A483" s="29">
        <f t="shared" si="39"/>
        <v>43438</v>
      </c>
      <c r="B483" s="39" t="str">
        <f>IF(Horo!K483&lt;&gt;"",Horo!K483,"")</f>
        <v/>
      </c>
      <c r="C483" s="39">
        <f>IF(Horo!L483&lt;&gt;"",Horo!L483,"")</f>
        <v>58</v>
      </c>
      <c r="D483" s="80">
        <f t="shared" si="60"/>
        <v>46</v>
      </c>
      <c r="E483" s="33">
        <f t="shared" si="61"/>
        <v>69</v>
      </c>
      <c r="F483" s="33">
        <f>MAX(Horo!T476:'Horo'!T486)</f>
        <v>48</v>
      </c>
    </row>
    <row r="484" spans="1:6" x14ac:dyDescent="0.3">
      <c r="A484" s="29">
        <f t="shared" si="39"/>
        <v>43439</v>
      </c>
      <c r="B484" s="39">
        <f>IF(Horo!K484&lt;&gt;"",Horo!K484,"")</f>
        <v>51</v>
      </c>
      <c r="C484" s="39">
        <f>IF(Horo!L484&lt;&gt;"",Horo!L484,"")</f>
        <v>51</v>
      </c>
      <c r="D484" s="80">
        <f t="shared" ref="D484:D486" si="62">MIN(B477:C487)</f>
        <v>51</v>
      </c>
      <c r="E484" s="33">
        <f t="shared" ref="E484:E486" si="63">MAX(B477:C487)</f>
        <v>69</v>
      </c>
      <c r="F484" s="33">
        <f>MAX(Horo!T477:'Horo'!T487)</f>
        <v>48</v>
      </c>
    </row>
    <row r="485" spans="1:6" x14ac:dyDescent="0.3">
      <c r="A485" s="29">
        <f t="shared" si="39"/>
        <v>43440</v>
      </c>
      <c r="B485" s="39" t="str">
        <f>IF(Horo!K485&lt;&gt;"",Horo!K485,"")</f>
        <v/>
      </c>
      <c r="C485" s="39" t="str">
        <f>IF(Horo!L485&lt;&gt;"",Horo!L485,"")</f>
        <v/>
      </c>
      <c r="D485" s="80">
        <f t="shared" si="62"/>
        <v>51</v>
      </c>
      <c r="E485" s="33">
        <f t="shared" si="63"/>
        <v>67</v>
      </c>
      <c r="F485" s="33">
        <f>MAX(Horo!T478:'Horo'!T488)</f>
        <v>48</v>
      </c>
    </row>
    <row r="486" spans="1:6" x14ac:dyDescent="0.3">
      <c r="A486" s="20">
        <f t="shared" si="39"/>
        <v>43441</v>
      </c>
      <c r="B486" s="39" t="str">
        <f>IF(Horo!K486&lt;&gt;"",Horo!K486,"")</f>
        <v/>
      </c>
      <c r="C486" s="39">
        <f>IF(Horo!L486&lt;&gt;"",Horo!L486,"")</f>
        <v>51</v>
      </c>
      <c r="D486" s="80">
        <f t="shared" si="62"/>
        <v>51</v>
      </c>
      <c r="E486" s="33">
        <f t="shared" si="63"/>
        <v>67</v>
      </c>
      <c r="F486" s="33">
        <f>MAX(Horo!T479:'Horo'!T489)</f>
        <v>48</v>
      </c>
    </row>
    <row r="487" spans="1:6" x14ac:dyDescent="0.3">
      <c r="A487" s="25">
        <f t="shared" si="39"/>
        <v>43444</v>
      </c>
      <c r="B487" s="39">
        <f>IF(Horo!K487&lt;&gt;"",Horo!K487,"")</f>
        <v>65</v>
      </c>
      <c r="C487" s="39" t="str">
        <f>IF(Horo!L487&lt;&gt;"",Horo!L487,"")</f>
        <v/>
      </c>
      <c r="D487" s="80">
        <f t="shared" ref="D487:D489" si="64">MIN(B480:C490)</f>
        <v>51</v>
      </c>
      <c r="E487" s="33">
        <f t="shared" ref="E487:E489" si="65">MAX(B480:C490)</f>
        <v>67</v>
      </c>
      <c r="F487" s="33">
        <f>MAX(Horo!T480:'Horo'!T490)</f>
        <v>48</v>
      </c>
    </row>
    <row r="488" spans="1:6" x14ac:dyDescent="0.3">
      <c r="A488" s="29">
        <f t="shared" si="39"/>
        <v>43445</v>
      </c>
      <c r="B488" s="39" t="str">
        <f>IF(Horo!K488&lt;&gt;"",Horo!K488,"")</f>
        <v/>
      </c>
      <c r="C488" s="39">
        <f>IF(Horo!L488&lt;&gt;"",Horo!L488,"")</f>
        <v>61</v>
      </c>
      <c r="D488" s="80">
        <f t="shared" si="64"/>
        <v>51</v>
      </c>
      <c r="E488" s="33">
        <f t="shared" si="65"/>
        <v>67</v>
      </c>
      <c r="F488" s="33">
        <f>MAX(Horo!T481:'Horo'!T491)</f>
        <v>48</v>
      </c>
    </row>
    <row r="489" spans="1:6" x14ac:dyDescent="0.3">
      <c r="A489" s="29">
        <f t="shared" si="39"/>
        <v>43446</v>
      </c>
      <c r="B489" s="39">
        <f>IF(Horo!K489&lt;&gt;"",Horo!K489,"")</f>
        <v>67</v>
      </c>
      <c r="C489" s="39">
        <f>IF(Horo!L489&lt;&gt;"",Horo!L489,"")</f>
        <v>58</v>
      </c>
      <c r="D489" s="80">
        <f t="shared" si="64"/>
        <v>51</v>
      </c>
      <c r="E489" s="33">
        <f t="shared" si="65"/>
        <v>69</v>
      </c>
      <c r="F489" s="33">
        <f>MAX(Horo!T482:'Horo'!T492)</f>
        <v>48</v>
      </c>
    </row>
    <row r="490" spans="1:6" x14ac:dyDescent="0.3">
      <c r="A490" s="29">
        <f t="shared" si="39"/>
        <v>43447</v>
      </c>
      <c r="B490" s="39">
        <f>IF(Horo!K490&lt;&gt;"",Horo!K490,"")</f>
        <v>67</v>
      </c>
      <c r="C490" s="39" t="str">
        <f>IF(Horo!L490&lt;&gt;"",Horo!L490,"")</f>
        <v/>
      </c>
      <c r="D490" s="80">
        <f t="shared" ref="D490:D491" si="66">MIN(B483:C493)</f>
        <v>51</v>
      </c>
      <c r="E490" s="33">
        <f t="shared" ref="E490:E491" si="67">MAX(B483:C493)</f>
        <v>69</v>
      </c>
      <c r="F490" s="33">
        <f>MAX(Horo!T483:'Horo'!T493)</f>
        <v>48</v>
      </c>
    </row>
    <row r="491" spans="1:6" x14ac:dyDescent="0.3">
      <c r="A491" s="20">
        <f t="shared" si="39"/>
        <v>43448</v>
      </c>
      <c r="B491" s="39" t="str">
        <f>IF(Horo!K491&lt;&gt;"",Horo!K491,"")</f>
        <v/>
      </c>
      <c r="C491" s="39">
        <f>IF(Horo!L491&lt;&gt;"",Horo!L491,"")</f>
        <v>61</v>
      </c>
      <c r="D491" s="80">
        <f t="shared" si="66"/>
        <v>39</v>
      </c>
      <c r="E491" s="33">
        <f t="shared" si="67"/>
        <v>69</v>
      </c>
      <c r="F491" s="33">
        <f>MAX(Horo!T484:'Horo'!T494)</f>
        <v>48</v>
      </c>
    </row>
    <row r="492" spans="1:6" x14ac:dyDescent="0.3">
      <c r="A492" s="25">
        <f t="shared" si="39"/>
        <v>43451</v>
      </c>
      <c r="B492" s="39">
        <f>IF(Horo!K492&lt;&gt;"",Horo!K492,"")</f>
        <v>69</v>
      </c>
      <c r="C492" s="39">
        <f>IF(Horo!L492&lt;&gt;"",Horo!L492,"")</f>
        <v>61</v>
      </c>
      <c r="D492" s="80">
        <f t="shared" ref="D492:D498" si="68">MIN(B485:C495)</f>
        <v>39</v>
      </c>
      <c r="E492" s="33">
        <f t="shared" ref="E492:E498" si="69">MAX(B485:C495)</f>
        <v>69</v>
      </c>
      <c r="F492" s="33">
        <f>MAX(Horo!T485:'Horo'!T495)</f>
        <v>48</v>
      </c>
    </row>
    <row r="493" spans="1:6" x14ac:dyDescent="0.3">
      <c r="A493" s="29">
        <f t="shared" si="39"/>
        <v>43452</v>
      </c>
      <c r="B493" s="39">
        <f>IF(Horo!K493&lt;&gt;"",Horo!K493,"")</f>
        <v>61</v>
      </c>
      <c r="C493" s="39">
        <f>IF(Horo!L493&lt;&gt;"",Horo!L493,"")</f>
        <v>61</v>
      </c>
      <c r="D493" s="80">
        <f t="shared" si="68"/>
        <v>39</v>
      </c>
      <c r="E493" s="33">
        <f t="shared" si="69"/>
        <v>69</v>
      </c>
      <c r="F493" s="33">
        <f>MAX(Horo!T486:'Horo'!T496)</f>
        <v>48</v>
      </c>
    </row>
    <row r="494" spans="1:6" x14ac:dyDescent="0.3">
      <c r="A494" s="29">
        <f t="shared" si="39"/>
        <v>43453</v>
      </c>
      <c r="B494" s="39" t="str">
        <f>IF(Horo!K494&lt;&gt;"",Horo!K494,"")</f>
        <v/>
      </c>
      <c r="C494" s="39">
        <f>IF(Horo!L494&lt;&gt;"",Horo!L494,"")</f>
        <v>39</v>
      </c>
      <c r="D494" s="80">
        <f t="shared" si="68"/>
        <v>39</v>
      </c>
      <c r="E494" s="33">
        <f t="shared" si="69"/>
        <v>69</v>
      </c>
      <c r="F494" s="33">
        <f>MAX(Horo!T487:'Horo'!T497)</f>
        <v>45</v>
      </c>
    </row>
    <row r="495" spans="1:6" x14ac:dyDescent="0.3">
      <c r="A495" s="29">
        <f t="shared" si="39"/>
        <v>43454</v>
      </c>
      <c r="B495" s="39" t="str">
        <f>IF(Horo!K495&lt;&gt;"",Horo!K495,"")</f>
        <v/>
      </c>
      <c r="C495" s="39">
        <f>IF(Horo!L495&lt;&gt;"",Horo!L495,"")</f>
        <v>47</v>
      </c>
      <c r="D495" s="80">
        <f t="shared" si="68"/>
        <v>39</v>
      </c>
      <c r="E495" s="33">
        <f t="shared" si="69"/>
        <v>69</v>
      </c>
      <c r="F495" s="33">
        <f>MAX(Horo!T488:'Horo'!T498)</f>
        <v>45</v>
      </c>
    </row>
    <row r="496" spans="1:6" x14ac:dyDescent="0.3">
      <c r="A496" s="20">
        <f t="shared" si="39"/>
        <v>43455</v>
      </c>
      <c r="B496" s="39" t="str">
        <f>IF(Horo!K496&lt;&gt;"",Horo!K496,"")</f>
        <v/>
      </c>
      <c r="C496" s="39">
        <f>IF(Horo!L496&lt;&gt;"",Horo!L496,"")</f>
        <v>43</v>
      </c>
      <c r="D496" s="80">
        <f t="shared" si="68"/>
        <v>39</v>
      </c>
      <c r="E496" s="33">
        <f t="shared" si="69"/>
        <v>69</v>
      </c>
      <c r="F496" s="33">
        <f>MAX(Horo!T489:'Horo'!T499)</f>
        <v>45</v>
      </c>
    </row>
    <row r="497" spans="1:6" x14ac:dyDescent="0.3">
      <c r="A497" s="25">
        <f t="shared" si="39"/>
        <v>43458</v>
      </c>
      <c r="B497" s="39" t="str">
        <f>IF(Horo!K497&lt;&gt;"",Horo!K497,"")</f>
        <v/>
      </c>
      <c r="C497" s="39" t="str">
        <f>IF(Horo!L497&lt;&gt;"",Horo!L497,"")</f>
        <v/>
      </c>
      <c r="D497" s="80">
        <f t="shared" si="68"/>
        <v>39</v>
      </c>
      <c r="E497" s="33">
        <f t="shared" si="69"/>
        <v>69</v>
      </c>
      <c r="F497" s="33">
        <f>MAX(Horo!T490:'Horo'!T500)</f>
        <v>45</v>
      </c>
    </row>
    <row r="498" spans="1:6" x14ac:dyDescent="0.3">
      <c r="A498" s="29">
        <f t="shared" si="39"/>
        <v>43459</v>
      </c>
      <c r="B498" s="39" t="str">
        <f>IF(Horo!K498&lt;&gt;"",Horo!K498,"")</f>
        <v/>
      </c>
      <c r="C498" s="39" t="str">
        <f>IF(Horo!L498&lt;&gt;"",Horo!L498,"")</f>
        <v/>
      </c>
      <c r="D498" s="80">
        <f t="shared" si="68"/>
        <v>39</v>
      </c>
      <c r="E498" s="33">
        <f t="shared" si="69"/>
        <v>69</v>
      </c>
      <c r="F498" s="33">
        <f>MAX(Horo!T491:'Horo'!T501)</f>
        <v>72</v>
      </c>
    </row>
    <row r="499" spans="1:6" x14ac:dyDescent="0.3">
      <c r="A499" s="29">
        <f t="shared" si="39"/>
        <v>43460</v>
      </c>
      <c r="B499" s="39" t="str">
        <f>IF(Horo!K499&lt;&gt;"",Horo!K499,"")</f>
        <v/>
      </c>
      <c r="C499" s="39" t="str">
        <f>IF(Horo!L499&lt;&gt;"",Horo!L499,"")</f>
        <v/>
      </c>
      <c r="D499" s="80">
        <f t="shared" ref="D499:D509" si="70">MIN(B492:C502)</f>
        <v>39</v>
      </c>
      <c r="E499" s="33">
        <f t="shared" ref="E499:E509" si="71">MAX(B492:C502)</f>
        <v>69</v>
      </c>
      <c r="F499" s="33">
        <f>MAX(Horo!T492:'Horo'!T502)</f>
        <v>72</v>
      </c>
    </row>
    <row r="500" spans="1:6" x14ac:dyDescent="0.3">
      <c r="A500" s="29">
        <f t="shared" si="39"/>
        <v>43461</v>
      </c>
      <c r="B500" s="39" t="str">
        <f>IF(Horo!K500&lt;&gt;"",Horo!K500,"")</f>
        <v/>
      </c>
      <c r="C500" s="39">
        <f>IF(Horo!L500&lt;&gt;"",Horo!L500,"")</f>
        <v>54</v>
      </c>
      <c r="D500" s="80">
        <f t="shared" si="70"/>
        <v>39</v>
      </c>
      <c r="E500" s="33">
        <f t="shared" si="71"/>
        <v>79</v>
      </c>
      <c r="F500" s="33">
        <f>MAX(Horo!T493:'Horo'!T503)</f>
        <v>72</v>
      </c>
    </row>
    <row r="501" spans="1:6" x14ac:dyDescent="0.3">
      <c r="A501" s="20">
        <f t="shared" si="39"/>
        <v>43462</v>
      </c>
      <c r="B501" s="39" t="str">
        <f>IF(Horo!K501&lt;&gt;"",Horo!K501,"")</f>
        <v/>
      </c>
      <c r="C501" s="39" t="str">
        <f>IF(Horo!L501&lt;&gt;"",Horo!L501,"")</f>
        <v/>
      </c>
      <c r="D501" s="80">
        <f t="shared" si="70"/>
        <v>39</v>
      </c>
      <c r="E501" s="33">
        <f t="shared" si="71"/>
        <v>79</v>
      </c>
      <c r="F501" s="33">
        <f>MAX(Horo!T494:'Horo'!T504)</f>
        <v>72</v>
      </c>
    </row>
    <row r="502" spans="1:6" x14ac:dyDescent="0.3">
      <c r="A502" s="25">
        <f t="shared" si="39"/>
        <v>43465</v>
      </c>
      <c r="B502" s="39" t="str">
        <f>IF(Horo!K502&lt;&gt;"",Horo!K502,"")</f>
        <v/>
      </c>
      <c r="C502" s="39" t="str">
        <f>IF(Horo!L502&lt;&gt;"",Horo!L502,"")</f>
        <v/>
      </c>
      <c r="D502" s="80">
        <f t="shared" si="70"/>
        <v>43</v>
      </c>
      <c r="E502" s="33">
        <f t="shared" si="71"/>
        <v>79</v>
      </c>
      <c r="F502" s="33">
        <f>MAX(Horo!T495:'Horo'!T505)</f>
        <v>72</v>
      </c>
    </row>
    <row r="503" spans="1:6" x14ac:dyDescent="0.3">
      <c r="A503" s="29">
        <f t="shared" si="39"/>
        <v>43466</v>
      </c>
      <c r="B503" s="39" t="str">
        <f>IF(Horo!K503&lt;&gt;"",Horo!K503,"")</f>
        <v/>
      </c>
      <c r="C503" s="39">
        <f>IF(Horo!L503&lt;&gt;"",Horo!L503,"")</f>
        <v>79</v>
      </c>
      <c r="D503" s="80">
        <f t="shared" si="70"/>
        <v>43</v>
      </c>
      <c r="E503" s="33">
        <f t="shared" si="71"/>
        <v>79</v>
      </c>
      <c r="F503" s="33">
        <f>MAX(Horo!T496:'Horo'!T506)</f>
        <v>72</v>
      </c>
    </row>
    <row r="504" spans="1:6" x14ac:dyDescent="0.3">
      <c r="A504" s="29">
        <f t="shared" si="39"/>
        <v>43467</v>
      </c>
      <c r="B504" s="39" t="str">
        <f>IF(Horo!K504&lt;&gt;"",Horo!K504,"")</f>
        <v/>
      </c>
      <c r="C504" s="39">
        <f>IF(Horo!L504&lt;&gt;"",Horo!L504,"")</f>
        <v>69</v>
      </c>
      <c r="D504" s="80">
        <f t="shared" si="70"/>
        <v>54</v>
      </c>
      <c r="E504" s="33">
        <f t="shared" si="71"/>
        <v>84</v>
      </c>
      <c r="F504" s="33">
        <f>MAX(Horo!T497:'Horo'!T507)</f>
        <v>72</v>
      </c>
    </row>
    <row r="505" spans="1:6" x14ac:dyDescent="0.3">
      <c r="A505" s="29">
        <f t="shared" si="39"/>
        <v>43468</v>
      </c>
      <c r="B505" s="39" t="str">
        <f>IF(Horo!K505&lt;&gt;"",Horo!K505,"")</f>
        <v/>
      </c>
      <c r="C505" s="39">
        <f>IF(Horo!L505&lt;&gt;"",Horo!L505,"")</f>
        <v>70</v>
      </c>
      <c r="D505" s="80">
        <f t="shared" si="70"/>
        <v>54</v>
      </c>
      <c r="E505" s="33">
        <f t="shared" si="71"/>
        <v>84</v>
      </c>
      <c r="F505" s="33">
        <f>MAX(Horo!T498:'Horo'!T508)</f>
        <v>72</v>
      </c>
    </row>
    <row r="506" spans="1:6" x14ac:dyDescent="0.3">
      <c r="A506" s="20">
        <f t="shared" si="39"/>
        <v>43469</v>
      </c>
      <c r="B506" s="39" t="str">
        <f>IF(Horo!K506&lt;&gt;"",Horo!K506,"")</f>
        <v/>
      </c>
      <c r="C506" s="39" t="str">
        <f>IF(Horo!L506&lt;&gt;"",Horo!L506,"")</f>
        <v/>
      </c>
      <c r="D506" s="80">
        <f t="shared" si="70"/>
        <v>54</v>
      </c>
      <c r="E506" s="33">
        <f t="shared" si="71"/>
        <v>84</v>
      </c>
      <c r="F506" s="33">
        <f>MAX(Horo!T499:'Horo'!T509)</f>
        <v>72</v>
      </c>
    </row>
    <row r="507" spans="1:6" x14ac:dyDescent="0.3">
      <c r="A507" s="25">
        <f t="shared" si="39"/>
        <v>43472</v>
      </c>
      <c r="B507" s="39">
        <f>IF(Horo!K507&lt;&gt;"",Horo!K507,"")</f>
        <v>84</v>
      </c>
      <c r="C507" s="39">
        <f>IF(Horo!L507&lt;&gt;"",Horo!L507,"")</f>
        <v>69</v>
      </c>
      <c r="D507" s="80">
        <f t="shared" si="70"/>
        <v>54</v>
      </c>
      <c r="E507" s="33">
        <f t="shared" si="71"/>
        <v>84</v>
      </c>
      <c r="F507" s="33">
        <f>MAX(Horo!T500:'Horo'!T510)</f>
        <v>72</v>
      </c>
    </row>
    <row r="508" spans="1:6" x14ac:dyDescent="0.3">
      <c r="A508" s="29">
        <f t="shared" si="39"/>
        <v>43473</v>
      </c>
      <c r="B508" s="39" t="str">
        <f>IF(Horo!K508&lt;&gt;"",Horo!K508,"")</f>
        <v/>
      </c>
      <c r="C508" s="39">
        <f>IF(Horo!L508&lt;&gt;"",Horo!L508,"")</f>
        <v>65</v>
      </c>
      <c r="D508" s="80">
        <f t="shared" si="70"/>
        <v>62</v>
      </c>
      <c r="E508" s="33">
        <f t="shared" si="71"/>
        <v>84</v>
      </c>
      <c r="F508" s="33">
        <f>MAX(Horo!T501:'Horo'!T511)</f>
        <v>72</v>
      </c>
    </row>
    <row r="509" spans="1:6" x14ac:dyDescent="0.3">
      <c r="A509" s="29">
        <f t="shared" si="39"/>
        <v>43474</v>
      </c>
      <c r="B509" s="39">
        <f>IF(Horo!K509&lt;&gt;"",Horo!K509,"")</f>
        <v>62</v>
      </c>
      <c r="C509" s="39" t="str">
        <f>IF(Horo!L509&lt;&gt;"",Horo!L509,"")</f>
        <v/>
      </c>
      <c r="D509" s="80">
        <f t="shared" si="70"/>
        <v>62</v>
      </c>
      <c r="E509" s="33">
        <f t="shared" si="71"/>
        <v>84</v>
      </c>
      <c r="F509" s="33">
        <f>MAX(Horo!T502:'Horo'!T512)</f>
        <v>62</v>
      </c>
    </row>
    <row r="510" spans="1:6" x14ac:dyDescent="0.3">
      <c r="A510" s="29">
        <f t="shared" si="39"/>
        <v>43475</v>
      </c>
      <c r="B510" s="39" t="str">
        <f>IF(Horo!K510&lt;&gt;"",Horo!K510,"")</f>
        <v/>
      </c>
      <c r="C510" s="39" t="str">
        <f>IF(Horo!L510&lt;&gt;"",Horo!L510,"")</f>
        <v/>
      </c>
      <c r="D510" s="80">
        <f t="shared" ref="D510:D516" si="72">MIN(B503:C513)</f>
        <v>62</v>
      </c>
      <c r="E510" s="33">
        <f t="shared" ref="E510:E516" si="73">MAX(B503:C513)</f>
        <v>84</v>
      </c>
      <c r="F510" s="33">
        <f>MAX(Horo!T503:'Horo'!T513)</f>
        <v>62</v>
      </c>
    </row>
    <row r="511" spans="1:6" x14ac:dyDescent="0.3">
      <c r="A511" s="20">
        <f t="shared" si="39"/>
        <v>43476</v>
      </c>
      <c r="B511" s="39" t="str">
        <f>IF(Horo!K511&lt;&gt;"",Horo!K511,"")</f>
        <v/>
      </c>
      <c r="C511" s="39" t="str">
        <f>IF(Horo!L511&lt;&gt;"",Horo!L511,"")</f>
        <v/>
      </c>
      <c r="D511" s="80">
        <f t="shared" si="72"/>
        <v>62</v>
      </c>
      <c r="E511" s="33">
        <f t="shared" si="73"/>
        <v>84</v>
      </c>
      <c r="F511" s="33">
        <f>MAX(Horo!T504:'Horo'!T514)</f>
        <v>62</v>
      </c>
    </row>
    <row r="512" spans="1:6" x14ac:dyDescent="0.3">
      <c r="A512" s="25">
        <f t="shared" si="39"/>
        <v>43479</v>
      </c>
      <c r="B512" s="39">
        <f>IF(Horo!K512&lt;&gt;"",Horo!K512,"")</f>
        <v>72</v>
      </c>
      <c r="C512" s="39">
        <f>IF(Horo!L512&lt;&gt;"",Horo!L512,"")</f>
        <v>67</v>
      </c>
      <c r="D512" s="80">
        <f t="shared" si="72"/>
        <v>62</v>
      </c>
      <c r="E512" s="33">
        <f t="shared" si="73"/>
        <v>84</v>
      </c>
      <c r="F512" s="33">
        <f>MAX(Horo!T505:'Horo'!T515)</f>
        <v>62</v>
      </c>
    </row>
    <row r="513" spans="1:6" x14ac:dyDescent="0.3">
      <c r="A513" s="29">
        <f t="shared" si="39"/>
        <v>43480</v>
      </c>
      <c r="B513" s="39">
        <f>IF(Horo!K513&lt;&gt;"",Horo!K513,"")</f>
        <v>72</v>
      </c>
      <c r="C513" s="39">
        <f>IF(Horo!L513&lt;&gt;"",Horo!L513,"")</f>
        <v>72</v>
      </c>
      <c r="D513" s="80">
        <f t="shared" si="72"/>
        <v>62</v>
      </c>
      <c r="E513" s="33">
        <f t="shared" si="73"/>
        <v>84</v>
      </c>
      <c r="F513" s="33">
        <f>MAX(Horo!T506:'Horo'!T516)</f>
        <v>62</v>
      </c>
    </row>
    <row r="514" spans="1:6" x14ac:dyDescent="0.3">
      <c r="A514" s="29">
        <f t="shared" si="39"/>
        <v>43481</v>
      </c>
      <c r="B514" s="39">
        <f>IF(Horo!K514&lt;&gt;"",Horo!K514,"")</f>
        <v>72</v>
      </c>
      <c r="C514" s="39">
        <f>IF(Horo!L514&lt;&gt;"",Horo!L514,"")</f>
        <v>67</v>
      </c>
      <c r="D514" s="80">
        <f t="shared" si="72"/>
        <v>62</v>
      </c>
      <c r="E514" s="33">
        <f t="shared" si="73"/>
        <v>84</v>
      </c>
      <c r="F514" s="33">
        <f>MAX(Horo!T507:'Horo'!T517)</f>
        <v>57</v>
      </c>
    </row>
    <row r="515" spans="1:6" x14ac:dyDescent="0.3">
      <c r="A515" s="29">
        <f t="shared" si="39"/>
        <v>43482</v>
      </c>
      <c r="B515" s="39" t="str">
        <f>IF(Horo!K515&lt;&gt;"",Horo!K515,"")</f>
        <v/>
      </c>
      <c r="C515" s="39" t="str">
        <f>IF(Horo!L515&lt;&gt;"",Horo!L515,"")</f>
        <v/>
      </c>
      <c r="D515" s="80">
        <f t="shared" si="72"/>
        <v>62</v>
      </c>
      <c r="E515" s="33">
        <f t="shared" si="73"/>
        <v>72</v>
      </c>
      <c r="F515" s="33">
        <f>MAX(Horo!T508:'Horo'!T518)</f>
        <v>57</v>
      </c>
    </row>
    <row r="516" spans="1:6" x14ac:dyDescent="0.3">
      <c r="A516" s="20">
        <f t="shared" si="39"/>
        <v>43483</v>
      </c>
      <c r="B516" s="39" t="str">
        <f>IF(Horo!K516&lt;&gt;"",Horo!K516,"")</f>
        <v/>
      </c>
      <c r="C516" s="39">
        <f>IF(Horo!L516&lt;&gt;"",Horo!L516,"")</f>
        <v>67</v>
      </c>
      <c r="D516" s="80">
        <f t="shared" si="72"/>
        <v>62</v>
      </c>
      <c r="E516" s="33">
        <f t="shared" si="73"/>
        <v>72</v>
      </c>
      <c r="F516" s="33">
        <f>MAX(Horo!T509:'Horo'!T519)</f>
        <v>57</v>
      </c>
    </row>
    <row r="517" spans="1:6" x14ac:dyDescent="0.3">
      <c r="A517" s="25">
        <f t="shared" si="39"/>
        <v>43486</v>
      </c>
      <c r="B517" s="39">
        <f>IF(Horo!K517&lt;&gt;"",Horo!K517,"")</f>
        <v>72</v>
      </c>
      <c r="C517" s="39">
        <f>IF(Horo!L517&lt;&gt;"",Horo!L517,"")</f>
        <v>68</v>
      </c>
      <c r="D517" s="80">
        <f t="shared" ref="D517:D528" si="74">MIN(B510:C520)</f>
        <v>63</v>
      </c>
      <c r="E517" s="33">
        <f t="shared" ref="E517:E528" si="75">MAX(B510:C520)</f>
        <v>72</v>
      </c>
      <c r="F517" s="33">
        <f>MAX(Horo!T510:'Horo'!T520)</f>
        <v>57</v>
      </c>
    </row>
    <row r="518" spans="1:6" x14ac:dyDescent="0.3">
      <c r="A518" s="29">
        <f t="shared" ref="A518:A541" si="76">A513+7</f>
        <v>43487</v>
      </c>
      <c r="B518" s="39">
        <f>IF(Horo!K518&lt;&gt;"",Horo!K518,"")</f>
        <v>72</v>
      </c>
      <c r="C518" s="39">
        <f>IF(Horo!L518&lt;&gt;"",Horo!L518,"")</f>
        <v>67</v>
      </c>
      <c r="D518" s="80">
        <f t="shared" si="74"/>
        <v>47</v>
      </c>
      <c r="E518" s="33">
        <f t="shared" si="75"/>
        <v>72</v>
      </c>
      <c r="F518" s="33">
        <f>MAX(Horo!T511:'Horo'!T521)</f>
        <v>57</v>
      </c>
    </row>
    <row r="519" spans="1:6" x14ac:dyDescent="0.3">
      <c r="A519" s="29">
        <f t="shared" si="76"/>
        <v>43488</v>
      </c>
      <c r="B519" s="39">
        <f>IF(Horo!K519&lt;&gt;"",Horo!K519,"")</f>
        <v>63</v>
      </c>
      <c r="C519" s="39" t="str">
        <f>IF(Horo!L519&lt;&gt;"",Horo!L519,"")</f>
        <v/>
      </c>
      <c r="D519" s="80">
        <f t="shared" si="74"/>
        <v>47</v>
      </c>
      <c r="E519" s="33">
        <f t="shared" si="75"/>
        <v>72</v>
      </c>
      <c r="F519" s="33">
        <f>MAX(Horo!T512:'Horo'!T522)</f>
        <v>53</v>
      </c>
    </row>
    <row r="520" spans="1:6" x14ac:dyDescent="0.3">
      <c r="A520" s="29">
        <f t="shared" si="76"/>
        <v>43489</v>
      </c>
      <c r="B520" s="39" t="str">
        <f>IF(Horo!K520&lt;&gt;"",Horo!K520,"")</f>
        <v/>
      </c>
      <c r="C520" s="39" t="str">
        <f>IF(Horo!L520&lt;&gt;"",Horo!L520,"")</f>
        <v/>
      </c>
      <c r="D520" s="80">
        <f t="shared" si="74"/>
        <v>47</v>
      </c>
      <c r="E520" s="33">
        <f t="shared" si="75"/>
        <v>72</v>
      </c>
      <c r="F520" s="33">
        <f>MAX(Horo!T513:'Horo'!T523)</f>
        <v>53</v>
      </c>
    </row>
    <row r="521" spans="1:6" x14ac:dyDescent="0.3">
      <c r="A521" s="20">
        <f t="shared" si="76"/>
        <v>43490</v>
      </c>
      <c r="B521" s="39" t="str">
        <f>IF(Horo!K521&lt;&gt;"",Horo!K521,"")</f>
        <v/>
      </c>
      <c r="C521" s="39">
        <f>IF(Horo!L521&lt;&gt;"",Horo!L521,"")</f>
        <v>47</v>
      </c>
      <c r="D521" s="80">
        <f t="shared" si="74"/>
        <v>47</v>
      </c>
      <c r="E521" s="33">
        <f t="shared" si="75"/>
        <v>72</v>
      </c>
      <c r="F521" s="33">
        <f>MAX(Horo!T514:'Horo'!T524)</f>
        <v>53</v>
      </c>
    </row>
    <row r="522" spans="1:6" x14ac:dyDescent="0.3">
      <c r="A522" s="25">
        <f t="shared" si="76"/>
        <v>43493</v>
      </c>
      <c r="B522" s="39">
        <f>IF(Horo!K522&lt;&gt;"",Horo!K522,"")</f>
        <v>56</v>
      </c>
      <c r="C522" s="39" t="str">
        <f>IF(Horo!L522&lt;&gt;"",Horo!L522,"")</f>
        <v/>
      </c>
      <c r="D522" s="80">
        <f t="shared" si="74"/>
        <v>47</v>
      </c>
      <c r="E522" s="33">
        <f t="shared" si="75"/>
        <v>72</v>
      </c>
      <c r="F522" s="33">
        <f>MAX(Horo!T515:'Horo'!T525)</f>
        <v>53</v>
      </c>
    </row>
    <row r="523" spans="1:6" x14ac:dyDescent="0.3">
      <c r="A523" s="29">
        <f t="shared" si="76"/>
        <v>43494</v>
      </c>
      <c r="B523" s="39" t="str">
        <f>IF(Horo!K523&lt;&gt;"",Horo!K523,"")</f>
        <v/>
      </c>
      <c r="C523" s="39">
        <f>IF(Horo!L523&lt;&gt;"",Horo!L523,"")</f>
        <v>55</v>
      </c>
      <c r="D523" s="80">
        <f t="shared" si="74"/>
        <v>47</v>
      </c>
      <c r="E523" s="33">
        <f t="shared" si="75"/>
        <v>72</v>
      </c>
      <c r="F523" s="33">
        <f>MAX(Horo!T516:'Horo'!T526)</f>
        <v>53</v>
      </c>
    </row>
    <row r="524" spans="1:6" x14ac:dyDescent="0.3">
      <c r="A524" s="29">
        <f t="shared" si="76"/>
        <v>43495</v>
      </c>
      <c r="D524" s="80">
        <f t="shared" si="74"/>
        <v>47</v>
      </c>
      <c r="E524" s="33">
        <f t="shared" si="75"/>
        <v>72</v>
      </c>
      <c r="F524" s="33">
        <f>MAX(Horo!T517:'Horo'!T527)</f>
        <v>50</v>
      </c>
    </row>
    <row r="525" spans="1:6" x14ac:dyDescent="0.3">
      <c r="A525" s="29">
        <f t="shared" si="76"/>
        <v>43496</v>
      </c>
      <c r="D525" s="80">
        <f t="shared" si="74"/>
        <v>47</v>
      </c>
      <c r="E525" s="33">
        <f t="shared" si="75"/>
        <v>72</v>
      </c>
      <c r="F525" s="33">
        <f>MAX(Horo!T518:'Horo'!T528)</f>
        <v>50</v>
      </c>
    </row>
    <row r="526" spans="1:6" x14ac:dyDescent="0.3">
      <c r="A526" s="20">
        <f t="shared" si="76"/>
        <v>43497</v>
      </c>
      <c r="D526" s="80">
        <f t="shared" si="74"/>
        <v>47</v>
      </c>
      <c r="E526" s="33">
        <f t="shared" si="75"/>
        <v>63</v>
      </c>
      <c r="F526" s="33">
        <f>MAX(Horo!T519:'Horo'!T529)</f>
        <v>50</v>
      </c>
    </row>
    <row r="527" spans="1:6" x14ac:dyDescent="0.3">
      <c r="A527" s="25">
        <f t="shared" si="76"/>
        <v>43500</v>
      </c>
      <c r="D527" s="80">
        <f t="shared" si="74"/>
        <v>47</v>
      </c>
      <c r="E527" s="33">
        <f t="shared" si="75"/>
        <v>56</v>
      </c>
      <c r="F527" s="33">
        <f>MAX(Horo!T520:'Horo'!T530)</f>
        <v>50</v>
      </c>
    </row>
    <row r="528" spans="1:6" x14ac:dyDescent="0.3">
      <c r="A528" s="29">
        <f t="shared" si="76"/>
        <v>43501</v>
      </c>
      <c r="D528" s="80">
        <f t="shared" si="74"/>
        <v>47</v>
      </c>
      <c r="E528" s="33">
        <f t="shared" si="75"/>
        <v>56</v>
      </c>
      <c r="F528" s="33">
        <f>MAX(Horo!T521:'Horo'!T531)</f>
        <v>50</v>
      </c>
    </row>
    <row r="529" spans="1:1" x14ac:dyDescent="0.3">
      <c r="A529" s="29">
        <f t="shared" si="76"/>
        <v>43502</v>
      </c>
    </row>
    <row r="530" spans="1:1" x14ac:dyDescent="0.3">
      <c r="A530" s="29">
        <f t="shared" si="76"/>
        <v>43503</v>
      </c>
    </row>
    <row r="531" spans="1:1" x14ac:dyDescent="0.3">
      <c r="A531" s="20">
        <f t="shared" si="76"/>
        <v>43504</v>
      </c>
    </row>
    <row r="532" spans="1:1" x14ac:dyDescent="0.3">
      <c r="A532" s="25">
        <f t="shared" si="76"/>
        <v>43507</v>
      </c>
    </row>
    <row r="533" spans="1:1" x14ac:dyDescent="0.3">
      <c r="A533" s="29">
        <f t="shared" si="76"/>
        <v>43508</v>
      </c>
    </row>
    <row r="534" spans="1:1" x14ac:dyDescent="0.3">
      <c r="A534" s="29">
        <f t="shared" si="76"/>
        <v>43509</v>
      </c>
    </row>
    <row r="535" spans="1:1" x14ac:dyDescent="0.3">
      <c r="A535" s="29">
        <f t="shared" si="76"/>
        <v>43510</v>
      </c>
    </row>
    <row r="536" spans="1:1" x14ac:dyDescent="0.3">
      <c r="A536" s="20">
        <f t="shared" si="76"/>
        <v>43511</v>
      </c>
    </row>
    <row r="537" spans="1:1" x14ac:dyDescent="0.3">
      <c r="A537" s="25">
        <f t="shared" si="76"/>
        <v>43514</v>
      </c>
    </row>
    <row r="538" spans="1:1" x14ac:dyDescent="0.3">
      <c r="A538" s="29">
        <f t="shared" si="76"/>
        <v>43515</v>
      </c>
    </row>
    <row r="539" spans="1:1" x14ac:dyDescent="0.3">
      <c r="A539" s="29">
        <f t="shared" si="76"/>
        <v>43516</v>
      </c>
    </row>
    <row r="540" spans="1:1" x14ac:dyDescent="0.3">
      <c r="A540" s="29">
        <f t="shared" si="76"/>
        <v>43517</v>
      </c>
    </row>
    <row r="541" spans="1:1" x14ac:dyDescent="0.3">
      <c r="A541" s="20">
        <f t="shared" si="76"/>
        <v>43518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5"/>
  <dimension ref="A1:I36"/>
  <sheetViews>
    <sheetView workbookViewId="0">
      <selection activeCell="C26" sqref="C26"/>
    </sheetView>
  </sheetViews>
  <sheetFormatPr baseColWidth="10" defaultRowHeight="14.4" x14ac:dyDescent="0.3"/>
  <cols>
    <col min="2" max="2" width="5" bestFit="1" customWidth="1"/>
    <col min="3" max="3" width="7.44140625" bestFit="1" customWidth="1"/>
    <col min="4" max="4" width="4" bestFit="1" customWidth="1"/>
    <col min="5" max="5" width="7" bestFit="1" customWidth="1"/>
    <col min="6" max="6" width="5" bestFit="1" customWidth="1"/>
    <col min="7" max="7" width="7.44140625" bestFit="1" customWidth="1"/>
    <col min="8" max="8" width="4" bestFit="1" customWidth="1"/>
  </cols>
  <sheetData>
    <row r="1" spans="1:9" x14ac:dyDescent="0.3">
      <c r="A1" s="42">
        <v>43101</v>
      </c>
      <c r="B1" s="195">
        <f>Horo!N264</f>
        <v>17.5</v>
      </c>
      <c r="D1">
        <v>565</v>
      </c>
      <c r="E1">
        <f>B1*D1</f>
        <v>9887.5</v>
      </c>
      <c r="F1" s="195">
        <v>16</v>
      </c>
      <c r="H1">
        <v>625</v>
      </c>
      <c r="I1">
        <f>F1*H1</f>
        <v>10000</v>
      </c>
    </row>
    <row r="2" spans="1:9" x14ac:dyDescent="0.3">
      <c r="A2" s="42">
        <v>43132</v>
      </c>
      <c r="B2" s="196">
        <f>Horo!N284</f>
        <v>19.5</v>
      </c>
      <c r="D2">
        <v>565</v>
      </c>
      <c r="E2">
        <f t="shared" ref="E2:E25" si="0">B2*D2</f>
        <v>11017.5</v>
      </c>
      <c r="F2" s="196">
        <v>17</v>
      </c>
      <c r="H2">
        <v>625</v>
      </c>
      <c r="I2">
        <f t="shared" ref="I2:I25" si="1">F2*H2</f>
        <v>10625</v>
      </c>
    </row>
    <row r="3" spans="1:9" x14ac:dyDescent="0.3">
      <c r="A3" s="42">
        <v>43160</v>
      </c>
      <c r="B3" s="196">
        <f>Horo!N306</f>
        <v>18</v>
      </c>
      <c r="D3">
        <v>565</v>
      </c>
      <c r="E3">
        <f t="shared" si="0"/>
        <v>10170</v>
      </c>
      <c r="F3" s="196">
        <v>16.5</v>
      </c>
      <c r="H3">
        <v>625</v>
      </c>
      <c r="I3">
        <f t="shared" si="1"/>
        <v>10312.5</v>
      </c>
    </row>
    <row r="4" spans="1:9" x14ac:dyDescent="0.3">
      <c r="A4" s="42">
        <v>43191</v>
      </c>
      <c r="B4" s="196">
        <f>Horo!N327</f>
        <v>15</v>
      </c>
      <c r="D4">
        <v>565</v>
      </c>
      <c r="E4">
        <f t="shared" si="0"/>
        <v>8475</v>
      </c>
      <c r="F4" s="196">
        <v>13</v>
      </c>
      <c r="H4">
        <v>625</v>
      </c>
      <c r="I4">
        <f t="shared" si="1"/>
        <v>8125</v>
      </c>
    </row>
    <row r="5" spans="1:9" x14ac:dyDescent="0.3">
      <c r="A5" s="42">
        <v>43221</v>
      </c>
      <c r="B5" s="196">
        <f>Horo!N350</f>
        <v>17</v>
      </c>
      <c r="D5">
        <v>565</v>
      </c>
      <c r="E5">
        <f t="shared" si="0"/>
        <v>9605</v>
      </c>
      <c r="F5" s="196">
        <v>17</v>
      </c>
      <c r="H5">
        <v>625</v>
      </c>
      <c r="I5">
        <f t="shared" si="1"/>
        <v>10625</v>
      </c>
    </row>
    <row r="6" spans="1:9" x14ac:dyDescent="0.3">
      <c r="A6" s="42">
        <v>43252</v>
      </c>
      <c r="B6" s="196">
        <f>Horo!N371</f>
        <v>20.5</v>
      </c>
      <c r="D6">
        <v>565</v>
      </c>
      <c r="E6">
        <f t="shared" si="0"/>
        <v>11582.5</v>
      </c>
      <c r="F6" s="196">
        <v>17.5</v>
      </c>
      <c r="G6" s="125">
        <f>SUM(F1:F9)</f>
        <v>125</v>
      </c>
      <c r="H6">
        <v>625</v>
      </c>
      <c r="I6">
        <f t="shared" si="1"/>
        <v>10937.5</v>
      </c>
    </row>
    <row r="7" spans="1:9" x14ac:dyDescent="0.3">
      <c r="A7" s="42">
        <v>43282</v>
      </c>
      <c r="B7" s="196">
        <f>Horo!N393</f>
        <v>22</v>
      </c>
      <c r="D7">
        <v>565</v>
      </c>
      <c r="E7">
        <f t="shared" si="0"/>
        <v>12430</v>
      </c>
      <c r="F7" s="196">
        <v>15</v>
      </c>
      <c r="G7" s="125">
        <v>625</v>
      </c>
      <c r="H7">
        <v>625</v>
      </c>
      <c r="I7">
        <f t="shared" si="1"/>
        <v>9375</v>
      </c>
    </row>
    <row r="8" spans="1:9" x14ac:dyDescent="0.3">
      <c r="A8" s="42">
        <v>43313</v>
      </c>
      <c r="B8" s="196">
        <f>Horo!N416</f>
        <v>11</v>
      </c>
      <c r="D8">
        <v>565</v>
      </c>
      <c r="E8">
        <f t="shared" si="0"/>
        <v>6215</v>
      </c>
      <c r="F8" s="196">
        <v>6</v>
      </c>
      <c r="H8">
        <v>625</v>
      </c>
      <c r="I8">
        <f t="shared" si="1"/>
        <v>3750</v>
      </c>
    </row>
    <row r="9" spans="1:9" x14ac:dyDescent="0.3">
      <c r="A9" s="42">
        <v>43344</v>
      </c>
      <c r="B9" s="196">
        <f>Horo!N436</f>
        <v>13.5</v>
      </c>
      <c r="D9">
        <v>565</v>
      </c>
      <c r="E9">
        <f t="shared" si="0"/>
        <v>7627.5</v>
      </c>
      <c r="F9" s="196">
        <v>7</v>
      </c>
      <c r="G9" s="191">
        <f>SUM(F10:F12)</f>
        <v>49</v>
      </c>
      <c r="H9">
        <v>625</v>
      </c>
      <c r="I9">
        <f t="shared" si="1"/>
        <v>4375</v>
      </c>
    </row>
    <row r="10" spans="1:9" x14ac:dyDescent="0.3">
      <c r="A10" s="42">
        <v>43374</v>
      </c>
      <c r="B10" s="196">
        <f>Horo!N459</f>
        <v>18.5</v>
      </c>
      <c r="D10">
        <v>565</v>
      </c>
      <c r="E10">
        <f t="shared" si="0"/>
        <v>10452.5</v>
      </c>
      <c r="F10" s="198">
        <v>19</v>
      </c>
      <c r="G10" s="83">
        <v>660</v>
      </c>
      <c r="H10">
        <v>660</v>
      </c>
      <c r="I10">
        <f t="shared" si="1"/>
        <v>12540</v>
      </c>
    </row>
    <row r="11" spans="1:9" x14ac:dyDescent="0.3">
      <c r="A11" s="42">
        <v>43405</v>
      </c>
      <c r="B11" s="196">
        <f>Horo!N481</f>
        <v>16</v>
      </c>
      <c r="D11">
        <v>565</v>
      </c>
      <c r="E11">
        <f t="shared" si="0"/>
        <v>9040</v>
      </c>
      <c r="F11" s="198">
        <v>17</v>
      </c>
      <c r="G11" s="191">
        <f>SUM(I10:I12)</f>
        <v>32340</v>
      </c>
      <c r="H11">
        <v>660</v>
      </c>
      <c r="I11">
        <f t="shared" si="1"/>
        <v>11220</v>
      </c>
    </row>
    <row r="12" spans="1:9" ht="15" thickBot="1" x14ac:dyDescent="0.35">
      <c r="A12" s="42">
        <v>43435</v>
      </c>
      <c r="B12" s="197">
        <f>Horo!N502</f>
        <v>14</v>
      </c>
      <c r="C12" s="43">
        <f>SUM(B1:B12)</f>
        <v>202.5</v>
      </c>
      <c r="D12">
        <v>565</v>
      </c>
      <c r="E12">
        <f t="shared" si="0"/>
        <v>7910</v>
      </c>
      <c r="F12" s="199">
        <v>13</v>
      </c>
      <c r="G12" s="125">
        <f>SUM(I1:I9)</f>
        <v>78125</v>
      </c>
      <c r="H12">
        <v>660</v>
      </c>
      <c r="I12">
        <f t="shared" si="1"/>
        <v>8580</v>
      </c>
    </row>
    <row r="13" spans="1:9" x14ac:dyDescent="0.3">
      <c r="A13" s="42">
        <v>43466</v>
      </c>
      <c r="B13" s="195">
        <f>Horo!N525</f>
        <v>20</v>
      </c>
      <c r="C13" s="208">
        <f>SUM(E1:E12)</f>
        <v>114412.5</v>
      </c>
      <c r="D13">
        <v>565</v>
      </c>
      <c r="E13">
        <f t="shared" si="0"/>
        <v>11300</v>
      </c>
      <c r="F13" s="200">
        <v>19</v>
      </c>
      <c r="G13" s="208">
        <f>(G11+G12)</f>
        <v>110465</v>
      </c>
      <c r="H13">
        <v>730</v>
      </c>
      <c r="I13">
        <f t="shared" si="1"/>
        <v>13870</v>
      </c>
    </row>
    <row r="14" spans="1:9" x14ac:dyDescent="0.3">
      <c r="A14" s="42">
        <v>43497</v>
      </c>
      <c r="B14" s="196">
        <f>Horo!N545</f>
        <v>17</v>
      </c>
      <c r="C14" s="43">
        <f>C13*0.6/12</f>
        <v>5720.625</v>
      </c>
      <c r="D14">
        <v>565</v>
      </c>
      <c r="E14">
        <f t="shared" si="0"/>
        <v>9605</v>
      </c>
      <c r="F14" s="198">
        <v>14</v>
      </c>
      <c r="G14" s="43">
        <f>G13*0.6/12</f>
        <v>5523.25</v>
      </c>
      <c r="H14">
        <v>730</v>
      </c>
      <c r="I14">
        <f t="shared" si="1"/>
        <v>10220</v>
      </c>
    </row>
    <row r="15" spans="1:9" x14ac:dyDescent="0.3">
      <c r="A15" s="42">
        <v>43525</v>
      </c>
      <c r="B15" s="198">
        <f>Horo!N566</f>
        <v>19</v>
      </c>
      <c r="C15" s="209">
        <f>C13-4500*12*1.8</f>
        <v>17212.5</v>
      </c>
      <c r="D15">
        <v>635</v>
      </c>
      <c r="E15">
        <f t="shared" si="0"/>
        <v>12065</v>
      </c>
      <c r="F15" s="198">
        <v>16</v>
      </c>
      <c r="G15" s="209">
        <f>G13-5000*12*1.8</f>
        <v>2465</v>
      </c>
      <c r="H15">
        <v>730</v>
      </c>
      <c r="I15">
        <f t="shared" si="1"/>
        <v>11680</v>
      </c>
    </row>
    <row r="16" spans="1:9" x14ac:dyDescent="0.3">
      <c r="A16" s="42">
        <v>43556</v>
      </c>
      <c r="B16" s="198">
        <f>Horo!N588</f>
        <v>14</v>
      </c>
      <c r="D16">
        <v>635</v>
      </c>
      <c r="E16">
        <f t="shared" si="0"/>
        <v>8890</v>
      </c>
      <c r="F16" s="198">
        <v>12</v>
      </c>
      <c r="H16">
        <v>730</v>
      </c>
      <c r="I16">
        <f t="shared" si="1"/>
        <v>8760</v>
      </c>
    </row>
    <row r="17" spans="1:9" x14ac:dyDescent="0.3">
      <c r="A17" s="42">
        <v>43586</v>
      </c>
      <c r="B17" s="198">
        <f>Horo!N611</f>
        <v>18</v>
      </c>
      <c r="D17">
        <v>635</v>
      </c>
      <c r="E17">
        <f t="shared" si="0"/>
        <v>11430</v>
      </c>
      <c r="F17" s="198">
        <v>17</v>
      </c>
      <c r="H17">
        <v>730</v>
      </c>
      <c r="I17">
        <f t="shared" si="1"/>
        <v>12410</v>
      </c>
    </row>
    <row r="18" spans="1:9" x14ac:dyDescent="0.3">
      <c r="A18" s="42">
        <v>43617</v>
      </c>
      <c r="B18" s="198">
        <f>Horo!N631</f>
        <v>19</v>
      </c>
      <c r="C18">
        <f>SUM(B13:B14)</f>
        <v>37</v>
      </c>
      <c r="D18">
        <v>635</v>
      </c>
      <c r="E18">
        <f t="shared" si="0"/>
        <v>12065</v>
      </c>
      <c r="F18" s="198">
        <v>16</v>
      </c>
      <c r="H18">
        <v>730</v>
      </c>
      <c r="I18">
        <f t="shared" si="1"/>
        <v>11680</v>
      </c>
    </row>
    <row r="19" spans="1:9" x14ac:dyDescent="0.3">
      <c r="A19" s="42">
        <v>43647</v>
      </c>
      <c r="B19" s="198">
        <f>Horo!N654</f>
        <v>20</v>
      </c>
      <c r="C19" s="43">
        <f>SUM(E13:E14)</f>
        <v>20905</v>
      </c>
      <c r="D19">
        <v>635</v>
      </c>
      <c r="E19">
        <f t="shared" si="0"/>
        <v>12700</v>
      </c>
      <c r="F19" s="198">
        <v>14</v>
      </c>
      <c r="H19">
        <v>730</v>
      </c>
      <c r="I19">
        <f t="shared" si="1"/>
        <v>10220</v>
      </c>
    </row>
    <row r="20" spans="1:9" x14ac:dyDescent="0.3">
      <c r="A20" s="42">
        <v>43678</v>
      </c>
      <c r="B20" s="198">
        <f>Horo!N676</f>
        <v>5</v>
      </c>
      <c r="C20" s="43"/>
      <c r="D20">
        <v>635</v>
      </c>
      <c r="E20">
        <f t="shared" si="0"/>
        <v>3175</v>
      </c>
      <c r="F20" s="198">
        <v>5</v>
      </c>
      <c r="H20">
        <v>730</v>
      </c>
      <c r="I20">
        <f t="shared" si="1"/>
        <v>3650</v>
      </c>
    </row>
    <row r="21" spans="1:9" x14ac:dyDescent="0.3">
      <c r="A21" s="42">
        <v>43709</v>
      </c>
      <c r="B21" s="198">
        <f>Horo!N697</f>
        <v>19</v>
      </c>
      <c r="D21">
        <v>635</v>
      </c>
      <c r="E21">
        <f t="shared" si="0"/>
        <v>12065</v>
      </c>
      <c r="F21" s="198">
        <v>10</v>
      </c>
      <c r="H21">
        <v>730</v>
      </c>
      <c r="I21">
        <f t="shared" si="1"/>
        <v>7300</v>
      </c>
    </row>
    <row r="22" spans="1:9" x14ac:dyDescent="0.3">
      <c r="A22" s="42">
        <v>43739</v>
      </c>
      <c r="B22" s="198">
        <f>Horo!N720</f>
        <v>14</v>
      </c>
      <c r="D22">
        <v>635</v>
      </c>
      <c r="E22">
        <f t="shared" si="0"/>
        <v>8890</v>
      </c>
      <c r="F22" s="198">
        <v>17</v>
      </c>
      <c r="H22">
        <v>730</v>
      </c>
      <c r="I22">
        <f t="shared" si="1"/>
        <v>12410</v>
      </c>
    </row>
    <row r="23" spans="1:9" x14ac:dyDescent="0.3">
      <c r="A23" s="42">
        <v>43770</v>
      </c>
      <c r="B23" s="198">
        <f>Horo!N741</f>
        <v>19</v>
      </c>
      <c r="D23">
        <v>635</v>
      </c>
      <c r="E23">
        <f t="shared" si="0"/>
        <v>12065</v>
      </c>
      <c r="F23" s="198">
        <v>17</v>
      </c>
      <c r="H23">
        <v>730</v>
      </c>
      <c r="I23">
        <f t="shared" si="1"/>
        <v>12410</v>
      </c>
    </row>
    <row r="24" spans="1:9" ht="15" thickBot="1" x14ac:dyDescent="0.35">
      <c r="A24" s="42">
        <v>43800</v>
      </c>
      <c r="B24" s="199">
        <f>Horo!N763</f>
        <v>13</v>
      </c>
      <c r="C24">
        <f>SUM(B15:B24)</f>
        <v>160</v>
      </c>
      <c r="D24">
        <v>635</v>
      </c>
      <c r="E24">
        <f t="shared" si="0"/>
        <v>8255</v>
      </c>
      <c r="F24" s="199">
        <v>12</v>
      </c>
      <c r="G24">
        <f>SUM(F13:F24)</f>
        <v>169</v>
      </c>
      <c r="H24">
        <v>730</v>
      </c>
      <c r="I24">
        <f t="shared" si="1"/>
        <v>8760</v>
      </c>
    </row>
    <row r="25" spans="1:9" x14ac:dyDescent="0.3">
      <c r="A25" s="42">
        <v>43831</v>
      </c>
      <c r="B25" s="194">
        <f>Horo!N786</f>
        <v>20</v>
      </c>
      <c r="C25" s="191">
        <f>SUM(E15:E24)</f>
        <v>101600</v>
      </c>
      <c r="D25">
        <v>635</v>
      </c>
      <c r="E25">
        <f t="shared" si="0"/>
        <v>12700</v>
      </c>
      <c r="F25" s="194">
        <v>17</v>
      </c>
      <c r="G25" s="191">
        <f>SUM(I13:I24)</f>
        <v>123370</v>
      </c>
      <c r="H25">
        <v>730</v>
      </c>
      <c r="I25">
        <f t="shared" si="1"/>
        <v>12410</v>
      </c>
    </row>
    <row r="26" spans="1:9" x14ac:dyDescent="0.3">
      <c r="A26" s="42">
        <v>43862</v>
      </c>
      <c r="C26" s="208">
        <f>C19+C25</f>
        <v>122505</v>
      </c>
      <c r="G26" s="208">
        <f>G25</f>
        <v>123370</v>
      </c>
    </row>
    <row r="27" spans="1:9" x14ac:dyDescent="0.3">
      <c r="A27" s="42">
        <v>43891</v>
      </c>
      <c r="C27" s="43">
        <f>C26*0.6/12</f>
        <v>6125.25</v>
      </c>
      <c r="G27" s="43">
        <f>G25*0.6/12</f>
        <v>6168.5</v>
      </c>
    </row>
    <row r="28" spans="1:9" x14ac:dyDescent="0.3">
      <c r="A28" s="42">
        <v>43922</v>
      </c>
      <c r="C28" s="209">
        <f>C26-4500*12*1.8</f>
        <v>25305</v>
      </c>
      <c r="G28" s="209">
        <f>G25-5000*12*1.8</f>
        <v>15370</v>
      </c>
    </row>
    <row r="29" spans="1:9" x14ac:dyDescent="0.3">
      <c r="A29" s="42">
        <v>43952</v>
      </c>
    </row>
    <row r="30" spans="1:9" x14ac:dyDescent="0.3">
      <c r="A30" s="42">
        <v>43983</v>
      </c>
    </row>
    <row r="31" spans="1:9" x14ac:dyDescent="0.3">
      <c r="A31" s="42">
        <v>44013</v>
      </c>
    </row>
    <row r="32" spans="1:9" x14ac:dyDescent="0.3">
      <c r="A32" s="42">
        <v>44044</v>
      </c>
    </row>
    <row r="33" spans="1:1" x14ac:dyDescent="0.3">
      <c r="A33" s="42">
        <v>44075</v>
      </c>
    </row>
    <row r="34" spans="1:1" x14ac:dyDescent="0.3">
      <c r="A34" s="42">
        <v>44105</v>
      </c>
    </row>
    <row r="35" spans="1:1" x14ac:dyDescent="0.3">
      <c r="A35" s="42">
        <v>44136</v>
      </c>
    </row>
    <row r="36" spans="1:1" x14ac:dyDescent="0.3">
      <c r="A36" s="42">
        <v>44166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AH185"/>
  <sheetViews>
    <sheetView workbookViewId="0">
      <selection activeCell="I36" sqref="I36"/>
    </sheetView>
  </sheetViews>
  <sheetFormatPr baseColWidth="10" defaultRowHeight="14.4" x14ac:dyDescent="0.3"/>
  <cols>
    <col min="1" max="1" width="5" bestFit="1" customWidth="1"/>
    <col min="3" max="3" width="4.5546875" style="129" bestFit="1" customWidth="1"/>
    <col min="4" max="4" width="7" bestFit="1" customWidth="1"/>
    <col min="5" max="5" width="5" bestFit="1" customWidth="1"/>
    <col min="6" max="6" width="5.44140625" style="43" bestFit="1" customWidth="1"/>
    <col min="7" max="7" width="7.44140625" style="44" bestFit="1" customWidth="1"/>
    <col min="8" max="8" width="5" bestFit="1" customWidth="1"/>
    <col min="9" max="9" width="6" bestFit="1" customWidth="1"/>
    <col min="10" max="10" width="4" bestFit="1" customWidth="1"/>
    <col min="11" max="11" width="5" bestFit="1" customWidth="1"/>
    <col min="12" max="15" width="3" bestFit="1" customWidth="1"/>
    <col min="16" max="16" width="5" bestFit="1" customWidth="1"/>
    <col min="17" max="17" width="12" bestFit="1" customWidth="1"/>
    <col min="18" max="19" width="4" bestFit="1" customWidth="1"/>
    <col min="20" max="20" width="7" bestFit="1" customWidth="1"/>
    <col min="21" max="22" width="4" bestFit="1" customWidth="1"/>
    <col min="23" max="24" width="7" bestFit="1" customWidth="1"/>
    <col min="25" max="26" width="5" bestFit="1" customWidth="1"/>
    <col min="27" max="27" width="7" bestFit="1" customWidth="1"/>
    <col min="28" max="28" width="6" bestFit="1" customWidth="1"/>
    <col min="29" max="29" width="8" bestFit="1" customWidth="1"/>
    <col min="30" max="30" width="7" bestFit="1" customWidth="1"/>
    <col min="31" max="31" width="8" bestFit="1" customWidth="1"/>
  </cols>
  <sheetData>
    <row r="1" spans="2:16" x14ac:dyDescent="0.3">
      <c r="B1" s="92">
        <v>41518</v>
      </c>
      <c r="C1" s="129">
        <f>(D1-$P$1)/$P$1</f>
        <v>0</v>
      </c>
      <c r="D1">
        <f>5000</f>
        <v>5000</v>
      </c>
      <c r="P1">
        <v>5000</v>
      </c>
    </row>
    <row r="2" spans="2:16" x14ac:dyDescent="0.3">
      <c r="B2" s="92">
        <v>41548</v>
      </c>
      <c r="C2" s="129">
        <f>(D2-$P$1)/$P$1+C1</f>
        <v>0</v>
      </c>
      <c r="D2">
        <f>5000</f>
        <v>5000</v>
      </c>
    </row>
    <row r="3" spans="2:16" x14ac:dyDescent="0.3">
      <c r="B3" s="92">
        <v>41579</v>
      </c>
      <c r="C3" s="129">
        <f t="shared" ref="C3:C66" si="0">(D3-$P$1)/$P$1+C2</f>
        <v>0</v>
      </c>
      <c r="D3">
        <f>5000</f>
        <v>5000</v>
      </c>
    </row>
    <row r="4" spans="2:16" x14ac:dyDescent="0.3">
      <c r="B4" s="92">
        <v>41609</v>
      </c>
      <c r="C4" s="129">
        <f t="shared" si="0"/>
        <v>0</v>
      </c>
      <c r="D4">
        <f>5000</f>
        <v>5000</v>
      </c>
    </row>
    <row r="5" spans="2:16" x14ac:dyDescent="0.3">
      <c r="B5" s="92">
        <v>41640</v>
      </c>
      <c r="C5" s="129">
        <f t="shared" si="0"/>
        <v>0</v>
      </c>
      <c r="D5">
        <f>5000</f>
        <v>5000</v>
      </c>
    </row>
    <row r="6" spans="2:16" x14ac:dyDescent="0.3">
      <c r="B6" s="92">
        <v>41671</v>
      </c>
      <c r="C6" s="129">
        <f t="shared" si="0"/>
        <v>0</v>
      </c>
      <c r="D6">
        <f>5000</f>
        <v>5000</v>
      </c>
    </row>
    <row r="7" spans="2:16" x14ac:dyDescent="0.3">
      <c r="B7" s="92">
        <v>41699</v>
      </c>
      <c r="C7" s="129">
        <f t="shared" si="0"/>
        <v>0</v>
      </c>
      <c r="D7">
        <f>5000</f>
        <v>5000</v>
      </c>
    </row>
    <row r="8" spans="2:16" x14ac:dyDescent="0.3">
      <c r="B8" s="92">
        <v>41730</v>
      </c>
      <c r="C8" s="129">
        <f t="shared" si="0"/>
        <v>0</v>
      </c>
      <c r="D8">
        <f>5000</f>
        <v>5000</v>
      </c>
    </row>
    <row r="9" spans="2:16" x14ac:dyDescent="0.3">
      <c r="B9" s="92">
        <v>41760</v>
      </c>
      <c r="C9" s="129">
        <f t="shared" si="0"/>
        <v>0</v>
      </c>
      <c r="D9">
        <f>5000</f>
        <v>5000</v>
      </c>
    </row>
    <row r="10" spans="2:16" x14ac:dyDescent="0.3">
      <c r="B10" s="92">
        <v>41791</v>
      </c>
      <c r="C10" s="129">
        <f t="shared" si="0"/>
        <v>0</v>
      </c>
      <c r="D10">
        <f>5000</f>
        <v>5000</v>
      </c>
    </row>
    <row r="11" spans="2:16" x14ac:dyDescent="0.3">
      <c r="B11" s="92">
        <v>41821</v>
      </c>
      <c r="C11" s="129">
        <f t="shared" si="0"/>
        <v>0</v>
      </c>
      <c r="D11">
        <f>5000</f>
        <v>5000</v>
      </c>
    </row>
    <row r="12" spans="2:16" x14ac:dyDescent="0.3">
      <c r="B12" s="92">
        <v>41852</v>
      </c>
      <c r="C12" s="129">
        <f t="shared" si="0"/>
        <v>0</v>
      </c>
      <c r="D12">
        <f>5000</f>
        <v>5000</v>
      </c>
    </row>
    <row r="13" spans="2:16" x14ac:dyDescent="0.3">
      <c r="B13" s="92">
        <v>41883</v>
      </c>
      <c r="C13" s="129">
        <f t="shared" si="0"/>
        <v>0</v>
      </c>
      <c r="D13">
        <f>5000</f>
        <v>5000</v>
      </c>
      <c r="F13" s="43">
        <f>SUM(D2:D13)/12</f>
        <v>5000</v>
      </c>
      <c r="G13" s="44">
        <f>F13*1.25*12/1000</f>
        <v>75</v>
      </c>
      <c r="H13">
        <v>535</v>
      </c>
      <c r="I13">
        <f t="shared" ref="I13:I18" si="1">H13*0.66</f>
        <v>353.1</v>
      </c>
      <c r="J13">
        <v>184</v>
      </c>
      <c r="K13">
        <v>1900</v>
      </c>
      <c r="L13">
        <v>15</v>
      </c>
    </row>
    <row r="14" spans="2:16" x14ac:dyDescent="0.3">
      <c r="B14" s="92">
        <v>41913</v>
      </c>
      <c r="C14" s="129">
        <f t="shared" si="0"/>
        <v>0</v>
      </c>
      <c r="D14">
        <f>5000</f>
        <v>5000</v>
      </c>
      <c r="F14" s="43">
        <f t="shared" ref="F14:F27" si="2">SUM(D3:D14)/12</f>
        <v>5000</v>
      </c>
      <c r="G14" s="44">
        <f t="shared" ref="G14:G76" si="3">F14*1.25*12/1000</f>
        <v>75</v>
      </c>
      <c r="H14">
        <v>600</v>
      </c>
      <c r="I14">
        <f t="shared" si="1"/>
        <v>396</v>
      </c>
      <c r="J14">
        <f>(15+18)*6</f>
        <v>198</v>
      </c>
      <c r="K14">
        <v>1900</v>
      </c>
      <c r="L14">
        <v>2</v>
      </c>
    </row>
    <row r="15" spans="2:16" x14ac:dyDescent="0.3">
      <c r="B15" s="92">
        <v>41944</v>
      </c>
      <c r="C15" s="129">
        <f t="shared" si="0"/>
        <v>0</v>
      </c>
      <c r="D15">
        <f>5000</f>
        <v>5000</v>
      </c>
      <c r="F15" s="43">
        <f t="shared" si="2"/>
        <v>5000</v>
      </c>
      <c r="G15" s="44">
        <f t="shared" si="3"/>
        <v>75</v>
      </c>
      <c r="H15">
        <v>565</v>
      </c>
      <c r="I15">
        <f t="shared" si="1"/>
        <v>372.90000000000003</v>
      </c>
      <c r="J15">
        <f>17*12</f>
        <v>204</v>
      </c>
      <c r="K15">
        <v>1900</v>
      </c>
      <c r="L15">
        <v>7</v>
      </c>
    </row>
    <row r="16" spans="2:16" x14ac:dyDescent="0.3">
      <c r="B16" s="92">
        <v>41974</v>
      </c>
      <c r="C16" s="129">
        <f t="shared" si="0"/>
        <v>0</v>
      </c>
      <c r="D16">
        <f>5000</f>
        <v>5000</v>
      </c>
      <c r="F16" s="43">
        <f t="shared" si="2"/>
        <v>5000</v>
      </c>
      <c r="G16" s="44">
        <f t="shared" si="3"/>
        <v>75</v>
      </c>
      <c r="H16">
        <v>565</v>
      </c>
      <c r="I16">
        <f t="shared" si="1"/>
        <v>372.90000000000003</v>
      </c>
      <c r="J16">
        <f>17*12</f>
        <v>204</v>
      </c>
      <c r="L16">
        <v>28</v>
      </c>
    </row>
    <row r="17" spans="1:34" x14ac:dyDescent="0.3">
      <c r="B17" s="92">
        <v>42005</v>
      </c>
      <c r="C17" s="129">
        <f t="shared" si="0"/>
        <v>0</v>
      </c>
      <c r="D17">
        <f>5000</f>
        <v>5000</v>
      </c>
      <c r="F17" s="43">
        <f t="shared" si="2"/>
        <v>5000</v>
      </c>
      <c r="G17" s="44">
        <f t="shared" si="3"/>
        <v>75</v>
      </c>
      <c r="H17">
        <v>665</v>
      </c>
      <c r="I17">
        <f t="shared" si="1"/>
        <v>438.90000000000003</v>
      </c>
      <c r="J17">
        <f>17*12</f>
        <v>204</v>
      </c>
      <c r="L17">
        <v>36</v>
      </c>
    </row>
    <row r="18" spans="1:34" x14ac:dyDescent="0.3">
      <c r="B18" s="92">
        <v>42036</v>
      </c>
      <c r="C18" s="129">
        <f t="shared" si="0"/>
        <v>0</v>
      </c>
      <c r="D18">
        <f>5000</f>
        <v>5000</v>
      </c>
      <c r="F18" s="43">
        <f t="shared" si="2"/>
        <v>5000</v>
      </c>
      <c r="G18" s="44">
        <f t="shared" si="3"/>
        <v>75</v>
      </c>
      <c r="H18">
        <v>700</v>
      </c>
      <c r="I18">
        <f t="shared" si="1"/>
        <v>462</v>
      </c>
      <c r="J18">
        <f>17*12</f>
        <v>204</v>
      </c>
      <c r="L18">
        <v>36</v>
      </c>
    </row>
    <row r="19" spans="1:34" x14ac:dyDescent="0.3">
      <c r="B19" s="92">
        <v>42064</v>
      </c>
      <c r="C19" s="129">
        <f t="shared" si="0"/>
        <v>0</v>
      </c>
      <c r="D19">
        <f>5000</f>
        <v>5000</v>
      </c>
      <c r="F19" s="43">
        <f t="shared" si="2"/>
        <v>5000</v>
      </c>
      <c r="G19" s="44">
        <f t="shared" si="3"/>
        <v>75</v>
      </c>
    </row>
    <row r="20" spans="1:34" x14ac:dyDescent="0.3">
      <c r="B20" s="92">
        <v>42095</v>
      </c>
      <c r="C20" s="129">
        <f t="shared" si="0"/>
        <v>0</v>
      </c>
      <c r="D20">
        <f>5000</f>
        <v>5000</v>
      </c>
      <c r="F20" s="43">
        <f t="shared" si="2"/>
        <v>5000</v>
      </c>
      <c r="G20" s="44">
        <f t="shared" si="3"/>
        <v>75</v>
      </c>
    </row>
    <row r="21" spans="1:34" x14ac:dyDescent="0.3">
      <c r="B21" s="92">
        <v>42125</v>
      </c>
      <c r="C21" s="129">
        <f t="shared" si="0"/>
        <v>0</v>
      </c>
      <c r="D21">
        <f>5000</f>
        <v>5000</v>
      </c>
      <c r="F21" s="43">
        <f t="shared" si="2"/>
        <v>5000</v>
      </c>
      <c r="G21" s="44">
        <f t="shared" si="3"/>
        <v>75</v>
      </c>
    </row>
    <row r="22" spans="1:34" x14ac:dyDescent="0.3">
      <c r="B22" s="92">
        <v>42156</v>
      </c>
      <c r="C22" s="129">
        <f t="shared" si="0"/>
        <v>0</v>
      </c>
      <c r="D22">
        <f>5000</f>
        <v>5000</v>
      </c>
      <c r="F22" s="43">
        <f t="shared" si="2"/>
        <v>5000</v>
      </c>
      <c r="G22" s="44">
        <f t="shared" si="3"/>
        <v>75</v>
      </c>
    </row>
    <row r="23" spans="1:34" x14ac:dyDescent="0.3">
      <c r="B23" s="92">
        <v>42186</v>
      </c>
      <c r="C23" s="129">
        <f t="shared" si="0"/>
        <v>0</v>
      </c>
      <c r="D23">
        <f>5000</f>
        <v>5000</v>
      </c>
      <c r="F23" s="43">
        <f t="shared" si="2"/>
        <v>5000</v>
      </c>
      <c r="G23" s="44">
        <f t="shared" si="3"/>
        <v>75</v>
      </c>
    </row>
    <row r="24" spans="1:34" x14ac:dyDescent="0.3">
      <c r="B24" s="92">
        <v>42217</v>
      </c>
      <c r="C24" s="129">
        <f t="shared" si="0"/>
        <v>0</v>
      </c>
      <c r="D24">
        <f>5000</f>
        <v>5000</v>
      </c>
      <c r="F24" s="43">
        <f t="shared" si="2"/>
        <v>5000</v>
      </c>
      <c r="G24" s="44">
        <f t="shared" si="3"/>
        <v>75</v>
      </c>
    </row>
    <row r="25" spans="1:34" x14ac:dyDescent="0.3">
      <c r="A25">
        <v>24</v>
      </c>
      <c r="B25" s="92">
        <v>42248</v>
      </c>
      <c r="C25" s="129">
        <f t="shared" si="0"/>
        <v>0.70684000000000013</v>
      </c>
      <c r="D25">
        <f>I$13*J$13/12+E25+E25</f>
        <v>8534.2000000000007</v>
      </c>
      <c r="E25">
        <f>65*A25</f>
        <v>1560</v>
      </c>
      <c r="F25" s="43">
        <f>SUM(D14:D25)/12</f>
        <v>5294.5166666666664</v>
      </c>
      <c r="G25" s="44">
        <f t="shared" si="3"/>
        <v>79.417749999999998</v>
      </c>
    </row>
    <row r="26" spans="1:34" x14ac:dyDescent="0.3">
      <c r="A26">
        <v>31</v>
      </c>
      <c r="B26" s="92">
        <v>42278</v>
      </c>
      <c r="C26" s="129">
        <f t="shared" si="0"/>
        <v>1.1926800000000002</v>
      </c>
      <c r="D26">
        <f t="shared" ref="D26:D39" si="4">I$13*J$13/12+E26</f>
        <v>7429.2</v>
      </c>
      <c r="E26">
        <f t="shared" ref="E26:E49" si="5">65*A26</f>
        <v>2015</v>
      </c>
      <c r="F26" s="43">
        <f t="shared" si="2"/>
        <v>5496.95</v>
      </c>
      <c r="G26" s="44">
        <f t="shared" si="3"/>
        <v>82.454250000000002</v>
      </c>
    </row>
    <row r="27" spans="1:34" x14ac:dyDescent="0.3">
      <c r="A27">
        <v>30</v>
      </c>
      <c r="B27" s="92">
        <v>42309</v>
      </c>
      <c r="C27" s="129">
        <f t="shared" si="0"/>
        <v>1.6655200000000001</v>
      </c>
      <c r="D27">
        <f t="shared" si="4"/>
        <v>7364.2</v>
      </c>
      <c r="E27">
        <f t="shared" si="5"/>
        <v>1950</v>
      </c>
      <c r="F27" s="43">
        <f t="shared" si="2"/>
        <v>5693.9666666666662</v>
      </c>
      <c r="G27" s="44">
        <f t="shared" si="3"/>
        <v>85.409499999999994</v>
      </c>
    </row>
    <row r="28" spans="1:34" x14ac:dyDescent="0.3">
      <c r="A28">
        <v>31</v>
      </c>
      <c r="B28" s="92">
        <v>42339</v>
      </c>
      <c r="C28" s="129">
        <f t="shared" si="0"/>
        <v>2.1513599999999999</v>
      </c>
      <c r="D28">
        <f t="shared" si="4"/>
        <v>7429.2</v>
      </c>
      <c r="E28">
        <f t="shared" si="5"/>
        <v>2015</v>
      </c>
      <c r="F28" s="43">
        <f>SUM(D17:D28)/12</f>
        <v>5896.3999999999987</v>
      </c>
      <c r="G28" s="44">
        <f t="shared" si="3"/>
        <v>88.44599999999997</v>
      </c>
      <c r="W28">
        <v>756</v>
      </c>
      <c r="X28">
        <v>4500</v>
      </c>
      <c r="Y28">
        <v>3000</v>
      </c>
    </row>
    <row r="29" spans="1:34" x14ac:dyDescent="0.3">
      <c r="A29">
        <v>31</v>
      </c>
      <c r="B29" s="92">
        <v>42370</v>
      </c>
      <c r="C29" s="129">
        <f t="shared" si="0"/>
        <v>2.6372</v>
      </c>
      <c r="D29">
        <f t="shared" si="4"/>
        <v>7429.2</v>
      </c>
      <c r="E29">
        <f t="shared" si="5"/>
        <v>2015</v>
      </c>
      <c r="F29" s="43">
        <f t="shared" ref="F29:F76" si="6">SUM(D18:D29)/12</f>
        <v>6098.8333333333321</v>
      </c>
      <c r="G29" s="44">
        <f t="shared" si="3"/>
        <v>91.482499999999987</v>
      </c>
    </row>
    <row r="30" spans="1:34" ht="15" thickBot="1" x14ac:dyDescent="0.35">
      <c r="A30">
        <v>29</v>
      </c>
      <c r="B30" s="92">
        <v>42401</v>
      </c>
      <c r="C30" s="129">
        <f t="shared" si="0"/>
        <v>3.0970399999999998</v>
      </c>
      <c r="D30">
        <f t="shared" si="4"/>
        <v>7299.2</v>
      </c>
      <c r="E30">
        <f t="shared" si="5"/>
        <v>1885</v>
      </c>
      <c r="F30" s="43">
        <f t="shared" si="6"/>
        <v>6290.4333333333316</v>
      </c>
      <c r="G30" s="44">
        <f t="shared" si="3"/>
        <v>94.356499999999969</v>
      </c>
      <c r="M30">
        <f t="shared" ref="M30:M52" si="7">P30-1966</f>
        <v>50</v>
      </c>
      <c r="N30">
        <f t="shared" ref="N30:N52" si="8">P30-1969</f>
        <v>47</v>
      </c>
      <c r="O30">
        <v>7</v>
      </c>
      <c r="P30">
        <v>2016</v>
      </c>
    </row>
    <row r="31" spans="1:34" ht="15" thickBot="1" x14ac:dyDescent="0.35">
      <c r="A31">
        <v>31</v>
      </c>
      <c r="B31" s="92">
        <v>42430</v>
      </c>
      <c r="C31" s="129">
        <f t="shared" si="0"/>
        <v>3.5828799999999998</v>
      </c>
      <c r="D31">
        <f t="shared" si="4"/>
        <v>7429.2</v>
      </c>
      <c r="E31">
        <f t="shared" si="5"/>
        <v>2015</v>
      </c>
      <c r="F31" s="43">
        <f t="shared" si="6"/>
        <v>6492.866666666665</v>
      </c>
      <c r="G31" s="44">
        <f t="shared" si="3"/>
        <v>97.392999999999972</v>
      </c>
      <c r="M31">
        <f t="shared" si="7"/>
        <v>51</v>
      </c>
      <c r="N31">
        <f t="shared" si="8"/>
        <v>48</v>
      </c>
      <c r="O31">
        <v>8</v>
      </c>
      <c r="P31">
        <v>2017</v>
      </c>
      <c r="Q31">
        <v>30000</v>
      </c>
      <c r="R31" s="94">
        <v>600</v>
      </c>
      <c r="S31" s="95">
        <f>10+17+16</f>
        <v>43</v>
      </c>
      <c r="T31" s="96">
        <f t="shared" ref="T31:T36" si="9">R31*S31</f>
        <v>25800</v>
      </c>
      <c r="U31" s="94">
        <v>565</v>
      </c>
      <c r="V31" s="95">
        <f>113.5+25+78.5</f>
        <v>217</v>
      </c>
      <c r="W31" s="96">
        <f t="shared" ref="W31:W36" si="10">U31*V31</f>
        <v>122605</v>
      </c>
      <c r="X31" s="103">
        <f t="shared" ref="X31:X48" si="11">T31+W31</f>
        <v>148405</v>
      </c>
      <c r="Y31" s="94">
        <f t="shared" ref="Y31:Z36" si="12">X$28</f>
        <v>4500</v>
      </c>
      <c r="Z31" s="106">
        <f t="shared" si="12"/>
        <v>3000</v>
      </c>
      <c r="AA31" s="109">
        <f>Y31*1.8*3+Z31*1.8*4</f>
        <v>45900</v>
      </c>
      <c r="AB31" s="96">
        <v>12000</v>
      </c>
      <c r="AC31">
        <f t="shared" ref="AC31:AC39" si="13">IF(X31-AA31-AB31&gt;0,X31-AA31-AB31,0)</f>
        <v>90505</v>
      </c>
      <c r="AD31">
        <f t="shared" ref="AD31:AD46" si="14">IF(AC31-38000&gt;0,AC31-38000,0)</f>
        <v>52505</v>
      </c>
      <c r="AE31">
        <f>AC31-AD31</f>
        <v>38000</v>
      </c>
      <c r="AF31">
        <f t="shared" ref="AF31:AF36" si="15">AD31*0.66</f>
        <v>34653.300000000003</v>
      </c>
      <c r="AG31">
        <f t="shared" ref="AG31:AG36" si="16">AE31*0.845</f>
        <v>32110</v>
      </c>
      <c r="AH31" s="7">
        <f t="shared" ref="AH31:AH36" si="17">AG31+AF31</f>
        <v>66763.3</v>
      </c>
    </row>
    <row r="32" spans="1:34" x14ac:dyDescent="0.3">
      <c r="A32">
        <v>30</v>
      </c>
      <c r="B32" s="92">
        <v>42461</v>
      </c>
      <c r="C32" s="129">
        <f t="shared" si="0"/>
        <v>4.05572</v>
      </c>
      <c r="D32">
        <f t="shared" si="4"/>
        <v>7364.2</v>
      </c>
      <c r="E32">
        <f t="shared" si="5"/>
        <v>1950</v>
      </c>
      <c r="F32" s="43">
        <f t="shared" si="6"/>
        <v>6689.8833333333323</v>
      </c>
      <c r="G32" s="44">
        <f t="shared" si="3"/>
        <v>100.34824999999999</v>
      </c>
      <c r="M32">
        <f t="shared" si="7"/>
        <v>52</v>
      </c>
      <c r="N32">
        <f t="shared" si="8"/>
        <v>49</v>
      </c>
      <c r="O32">
        <v>9</v>
      </c>
      <c r="P32">
        <v>2018</v>
      </c>
      <c r="Q32">
        <f>Q31+MAX(0,Q31-15000)*0.03+AH31</f>
        <v>97213.3</v>
      </c>
      <c r="R32" s="94">
        <v>600</v>
      </c>
      <c r="S32" s="95">
        <v>175</v>
      </c>
      <c r="T32" s="96">
        <f t="shared" si="9"/>
        <v>105000</v>
      </c>
      <c r="U32" s="94">
        <v>565</v>
      </c>
      <c r="V32" s="95">
        <v>205</v>
      </c>
      <c r="W32" s="96">
        <f t="shared" si="10"/>
        <v>115825</v>
      </c>
      <c r="X32" s="103">
        <f t="shared" si="11"/>
        <v>220825</v>
      </c>
      <c r="Y32" s="94">
        <f t="shared" si="12"/>
        <v>4500</v>
      </c>
      <c r="Z32" s="106">
        <f t="shared" si="12"/>
        <v>3000</v>
      </c>
      <c r="AA32" s="109">
        <f t="shared" ref="AA32:AA48" si="18">((Y32+Z32)*1.8*12)</f>
        <v>162000</v>
      </c>
      <c r="AB32" s="96">
        <f>12000</f>
        <v>12000</v>
      </c>
      <c r="AC32">
        <f t="shared" si="13"/>
        <v>46825</v>
      </c>
      <c r="AD32">
        <f t="shared" si="14"/>
        <v>8825</v>
      </c>
      <c r="AE32">
        <f>AC32-AD32</f>
        <v>38000</v>
      </c>
      <c r="AF32">
        <f t="shared" si="15"/>
        <v>5824.5</v>
      </c>
      <c r="AG32">
        <f t="shared" si="16"/>
        <v>32110</v>
      </c>
      <c r="AH32" s="7">
        <f t="shared" si="17"/>
        <v>37934.5</v>
      </c>
    </row>
    <row r="33" spans="1:34" x14ac:dyDescent="0.3">
      <c r="A33">
        <v>31</v>
      </c>
      <c r="B33" s="92">
        <v>42491</v>
      </c>
      <c r="C33" s="129">
        <f t="shared" si="0"/>
        <v>4.5415599999999996</v>
      </c>
      <c r="D33">
        <f t="shared" si="4"/>
        <v>7429.2</v>
      </c>
      <c r="E33">
        <f t="shared" si="5"/>
        <v>2015</v>
      </c>
      <c r="F33" s="43">
        <f t="shared" si="6"/>
        <v>6892.3166666666657</v>
      </c>
      <c r="G33" s="44">
        <f t="shared" si="3"/>
        <v>103.38474999999998</v>
      </c>
      <c r="M33">
        <f t="shared" si="7"/>
        <v>53</v>
      </c>
      <c r="N33">
        <f t="shared" si="8"/>
        <v>50</v>
      </c>
      <c r="O33">
        <v>10</v>
      </c>
      <c r="P33">
        <v>2019</v>
      </c>
      <c r="Q33">
        <f t="shared" ref="Q33:Q52" si="19">Q32+MAX(0,Q32-15000)*0.03+AH32</f>
        <v>137614.19900000002</v>
      </c>
      <c r="R33" s="97">
        <v>600</v>
      </c>
      <c r="S33" s="98">
        <v>175</v>
      </c>
      <c r="T33" s="99">
        <f t="shared" si="9"/>
        <v>105000</v>
      </c>
      <c r="U33" s="97">
        <v>565</v>
      </c>
      <c r="V33" s="98">
        <v>205</v>
      </c>
      <c r="W33" s="99">
        <f t="shared" si="10"/>
        <v>115825</v>
      </c>
      <c r="X33" s="104">
        <f t="shared" si="11"/>
        <v>220825</v>
      </c>
      <c r="Y33" s="97">
        <f t="shared" si="12"/>
        <v>4500</v>
      </c>
      <c r="Z33" s="107">
        <f t="shared" si="12"/>
        <v>3000</v>
      </c>
      <c r="AA33" s="110">
        <f t="shared" si="18"/>
        <v>162000</v>
      </c>
      <c r="AB33" s="99">
        <f>12000</f>
        <v>12000</v>
      </c>
      <c r="AC33">
        <f t="shared" si="13"/>
        <v>46825</v>
      </c>
      <c r="AD33">
        <f t="shared" si="14"/>
        <v>8825</v>
      </c>
      <c r="AE33">
        <f t="shared" ref="AE33:AE48" si="20">AC33-AD33</f>
        <v>38000</v>
      </c>
      <c r="AF33">
        <f t="shared" si="15"/>
        <v>5824.5</v>
      </c>
      <c r="AG33">
        <f t="shared" si="16"/>
        <v>32110</v>
      </c>
      <c r="AH33" s="7">
        <f t="shared" si="17"/>
        <v>37934.5</v>
      </c>
    </row>
    <row r="34" spans="1:34" x14ac:dyDescent="0.3">
      <c r="A34">
        <v>30</v>
      </c>
      <c r="B34" s="92">
        <v>42522</v>
      </c>
      <c r="C34" s="129">
        <f t="shared" si="0"/>
        <v>5.0143999999999993</v>
      </c>
      <c r="D34">
        <f t="shared" si="4"/>
        <v>7364.2</v>
      </c>
      <c r="E34">
        <f t="shared" si="5"/>
        <v>1950</v>
      </c>
      <c r="F34" s="43">
        <f t="shared" si="6"/>
        <v>7089.3333333333321</v>
      </c>
      <c r="G34" s="44">
        <f t="shared" si="3"/>
        <v>106.33999999999997</v>
      </c>
      <c r="M34">
        <f t="shared" si="7"/>
        <v>54</v>
      </c>
      <c r="N34">
        <f t="shared" si="8"/>
        <v>51</v>
      </c>
      <c r="O34">
        <v>11</v>
      </c>
      <c r="P34">
        <v>2020</v>
      </c>
      <c r="Q34">
        <f t="shared" si="19"/>
        <v>179227.12497000003</v>
      </c>
      <c r="R34" s="97">
        <v>600</v>
      </c>
      <c r="S34" s="98">
        <v>175</v>
      </c>
      <c r="T34" s="99">
        <f t="shared" si="9"/>
        <v>105000</v>
      </c>
      <c r="U34" s="97">
        <v>600</v>
      </c>
      <c r="V34" s="98">
        <v>205</v>
      </c>
      <c r="W34" s="99">
        <f t="shared" si="10"/>
        <v>123000</v>
      </c>
      <c r="X34" s="104">
        <f t="shared" si="11"/>
        <v>228000</v>
      </c>
      <c r="Y34" s="97">
        <f t="shared" si="12"/>
        <v>4500</v>
      </c>
      <c r="Z34" s="107">
        <f t="shared" si="12"/>
        <v>3000</v>
      </c>
      <c r="AA34" s="110">
        <f t="shared" si="18"/>
        <v>162000</v>
      </c>
      <c r="AB34" s="99">
        <f>12000</f>
        <v>12000</v>
      </c>
      <c r="AC34">
        <f t="shared" si="13"/>
        <v>54000</v>
      </c>
      <c r="AD34">
        <f t="shared" si="14"/>
        <v>16000</v>
      </c>
      <c r="AE34">
        <f t="shared" si="20"/>
        <v>38000</v>
      </c>
      <c r="AF34">
        <f t="shared" si="15"/>
        <v>10560</v>
      </c>
      <c r="AG34">
        <f t="shared" si="16"/>
        <v>32110</v>
      </c>
      <c r="AH34" s="7">
        <f t="shared" si="17"/>
        <v>42670</v>
      </c>
    </row>
    <row r="35" spans="1:34" x14ac:dyDescent="0.3">
      <c r="A35">
        <v>31</v>
      </c>
      <c r="B35" s="92">
        <v>42552</v>
      </c>
      <c r="C35" s="129">
        <f t="shared" si="0"/>
        <v>5.5002399999999989</v>
      </c>
      <c r="D35">
        <f t="shared" si="4"/>
        <v>7429.2</v>
      </c>
      <c r="E35">
        <f t="shared" si="5"/>
        <v>2015</v>
      </c>
      <c r="F35" s="43">
        <f t="shared" si="6"/>
        <v>7291.7666666666655</v>
      </c>
      <c r="G35" s="44">
        <f t="shared" si="3"/>
        <v>109.37649999999998</v>
      </c>
      <c r="M35">
        <f t="shared" si="7"/>
        <v>55</v>
      </c>
      <c r="N35">
        <f t="shared" si="8"/>
        <v>52</v>
      </c>
      <c r="O35">
        <v>12</v>
      </c>
      <c r="P35">
        <v>2021</v>
      </c>
      <c r="Q35">
        <f t="shared" si="19"/>
        <v>226823.93871910003</v>
      </c>
      <c r="R35" s="97">
        <v>600</v>
      </c>
      <c r="S35" s="98">
        <v>175</v>
      </c>
      <c r="T35" s="99">
        <f t="shared" si="9"/>
        <v>105000</v>
      </c>
      <c r="U35" s="97">
        <v>600</v>
      </c>
      <c r="V35" s="98">
        <v>205</v>
      </c>
      <c r="W35" s="99">
        <f t="shared" si="10"/>
        <v>123000</v>
      </c>
      <c r="X35" s="104">
        <f t="shared" si="11"/>
        <v>228000</v>
      </c>
      <c r="Y35" s="97">
        <f t="shared" si="12"/>
        <v>4500</v>
      </c>
      <c r="Z35" s="107">
        <f t="shared" si="12"/>
        <v>3000</v>
      </c>
      <c r="AA35" s="110">
        <f t="shared" si="18"/>
        <v>162000</v>
      </c>
      <c r="AB35" s="99">
        <f>12000</f>
        <v>12000</v>
      </c>
      <c r="AC35">
        <f t="shared" si="13"/>
        <v>54000</v>
      </c>
      <c r="AD35">
        <f t="shared" si="14"/>
        <v>16000</v>
      </c>
      <c r="AE35">
        <f t="shared" si="20"/>
        <v>38000</v>
      </c>
      <c r="AF35">
        <f t="shared" si="15"/>
        <v>10560</v>
      </c>
      <c r="AG35">
        <f t="shared" si="16"/>
        <v>32110</v>
      </c>
      <c r="AH35" s="7">
        <f t="shared" si="17"/>
        <v>42670</v>
      </c>
    </row>
    <row r="36" spans="1:34" x14ac:dyDescent="0.3">
      <c r="A36">
        <v>31</v>
      </c>
      <c r="B36" s="92">
        <v>42583</v>
      </c>
      <c r="C36" s="129">
        <f t="shared" si="0"/>
        <v>5.9860799999999985</v>
      </c>
      <c r="D36">
        <f t="shared" si="4"/>
        <v>7429.2</v>
      </c>
      <c r="E36">
        <f t="shared" si="5"/>
        <v>2015</v>
      </c>
      <c r="F36" s="43">
        <f t="shared" si="6"/>
        <v>7494.199999999998</v>
      </c>
      <c r="G36" s="44">
        <f t="shared" si="3"/>
        <v>112.41299999999997</v>
      </c>
      <c r="M36">
        <f t="shared" si="7"/>
        <v>56</v>
      </c>
      <c r="N36">
        <f t="shared" si="8"/>
        <v>53</v>
      </c>
      <c r="O36">
        <v>13</v>
      </c>
      <c r="P36">
        <v>2022</v>
      </c>
      <c r="Q36">
        <f t="shared" si="19"/>
        <v>275848.65688067302</v>
      </c>
      <c r="R36" s="97">
        <v>600</v>
      </c>
      <c r="S36" s="112">
        <f>S35*0.66</f>
        <v>115.5</v>
      </c>
      <c r="T36" s="99">
        <f t="shared" si="9"/>
        <v>69300</v>
      </c>
      <c r="U36" s="97">
        <v>600</v>
      </c>
      <c r="V36" s="112">
        <f>V35*0.66</f>
        <v>135.30000000000001</v>
      </c>
      <c r="W36" s="99">
        <f t="shared" si="10"/>
        <v>81180</v>
      </c>
      <c r="X36" s="104">
        <f>T36+W36</f>
        <v>150480</v>
      </c>
      <c r="Y36" s="97">
        <f t="shared" si="12"/>
        <v>4500</v>
      </c>
      <c r="Z36" s="107">
        <f t="shared" si="12"/>
        <v>3000</v>
      </c>
      <c r="AA36" s="113">
        <f>((Y36+Z36)*1.8*8)+(($W$28+$W$28)*1.8*4)</f>
        <v>118886.39999999999</v>
      </c>
      <c r="AB36" s="114">
        <f>12000</f>
        <v>12000</v>
      </c>
      <c r="AC36">
        <f t="shared" si="13"/>
        <v>19593.600000000006</v>
      </c>
      <c r="AD36">
        <f>IF(AC36-38000&gt;0,AC36-38000,0)</f>
        <v>0</v>
      </c>
      <c r="AE36">
        <f t="shared" si="20"/>
        <v>19593.600000000006</v>
      </c>
      <c r="AF36">
        <f t="shared" si="15"/>
        <v>0</v>
      </c>
      <c r="AG36">
        <f t="shared" si="16"/>
        <v>16556.592000000004</v>
      </c>
      <c r="AH36" s="7">
        <f t="shared" si="17"/>
        <v>16556.592000000004</v>
      </c>
    </row>
    <row r="37" spans="1:34" x14ac:dyDescent="0.3">
      <c r="A37">
        <v>30</v>
      </c>
      <c r="B37" s="92">
        <v>42614</v>
      </c>
      <c r="C37" s="129">
        <f t="shared" si="0"/>
        <v>6.4589199999999982</v>
      </c>
      <c r="D37">
        <f t="shared" si="4"/>
        <v>7364.2</v>
      </c>
      <c r="E37">
        <f t="shared" si="5"/>
        <v>1950</v>
      </c>
      <c r="F37" s="43">
        <f t="shared" si="6"/>
        <v>7396.699999999998</v>
      </c>
      <c r="G37" s="44">
        <f t="shared" si="3"/>
        <v>110.95049999999998</v>
      </c>
      <c r="M37">
        <f t="shared" si="7"/>
        <v>57</v>
      </c>
      <c r="N37">
        <f t="shared" si="8"/>
        <v>54</v>
      </c>
      <c r="O37">
        <v>14</v>
      </c>
      <c r="P37">
        <v>2023</v>
      </c>
      <c r="Q37">
        <f t="shared" si="19"/>
        <v>300230.70858709322</v>
      </c>
      <c r="R37" s="97">
        <v>0</v>
      </c>
      <c r="S37" s="98"/>
      <c r="T37" s="99">
        <f>R37*175</f>
        <v>0</v>
      </c>
      <c r="U37" s="97">
        <v>0</v>
      </c>
      <c r="V37" s="98"/>
      <c r="W37" s="99">
        <f>U37*205</f>
        <v>0</v>
      </c>
      <c r="X37" s="104">
        <f>T37+W37</f>
        <v>0</v>
      </c>
      <c r="Y37" s="97">
        <f t="shared" ref="Y37:Y46" si="21">$W$28</f>
        <v>756</v>
      </c>
      <c r="Z37" s="107">
        <f t="shared" ref="Z37:Z48" si="22">$W$28</f>
        <v>756</v>
      </c>
      <c r="AA37" s="110">
        <f>((Y37+Z37)*1.8*12)</f>
        <v>32659.199999999997</v>
      </c>
      <c r="AB37" s="99"/>
      <c r="AC37">
        <f t="shared" si="13"/>
        <v>0</v>
      </c>
      <c r="AD37">
        <f>IF(AC37-38000&gt;0,AC37-38000,0)</f>
        <v>0</v>
      </c>
      <c r="AE37">
        <f t="shared" si="20"/>
        <v>0</v>
      </c>
      <c r="AF37">
        <v>0</v>
      </c>
      <c r="AG37">
        <v>0</v>
      </c>
      <c r="AH37">
        <f>-AA37-AB37</f>
        <v>-32659.199999999997</v>
      </c>
    </row>
    <row r="38" spans="1:34" x14ac:dyDescent="0.3">
      <c r="A38">
        <v>31</v>
      </c>
      <c r="B38" s="92">
        <v>42644</v>
      </c>
      <c r="C38" s="129">
        <f t="shared" si="0"/>
        <v>6.9447599999999978</v>
      </c>
      <c r="D38">
        <f t="shared" si="4"/>
        <v>7429.2</v>
      </c>
      <c r="E38">
        <f t="shared" si="5"/>
        <v>2015</v>
      </c>
      <c r="F38" s="43">
        <f t="shared" si="6"/>
        <v>7396.699999999998</v>
      </c>
      <c r="G38" s="44">
        <f t="shared" si="3"/>
        <v>110.95049999999998</v>
      </c>
      <c r="M38">
        <f t="shared" si="7"/>
        <v>58</v>
      </c>
      <c r="N38">
        <f t="shared" si="8"/>
        <v>55</v>
      </c>
      <c r="O38">
        <v>15</v>
      </c>
      <c r="P38">
        <v>2024</v>
      </c>
      <c r="Q38">
        <f t="shared" si="19"/>
        <v>276128.42984470603</v>
      </c>
      <c r="R38" s="97">
        <v>0</v>
      </c>
      <c r="S38" s="98"/>
      <c r="T38" s="99">
        <f t="shared" ref="T38:T48" si="23">R38*175</f>
        <v>0</v>
      </c>
      <c r="U38" s="97">
        <v>0</v>
      </c>
      <c r="V38" s="98"/>
      <c r="W38" s="99">
        <f t="shared" ref="W38:W48" si="24">U38*205</f>
        <v>0</v>
      </c>
      <c r="X38" s="104">
        <f t="shared" si="11"/>
        <v>0</v>
      </c>
      <c r="Y38" s="97">
        <f t="shared" si="21"/>
        <v>756</v>
      </c>
      <c r="Z38" s="107">
        <f t="shared" si="22"/>
        <v>756</v>
      </c>
      <c r="AA38" s="110">
        <f t="shared" si="18"/>
        <v>32659.199999999997</v>
      </c>
      <c r="AB38" s="99"/>
      <c r="AC38">
        <f t="shared" si="13"/>
        <v>0</v>
      </c>
      <c r="AD38">
        <f t="shared" si="14"/>
        <v>0</v>
      </c>
      <c r="AE38">
        <f>AC38-AD38</f>
        <v>0</v>
      </c>
      <c r="AF38">
        <v>0</v>
      </c>
      <c r="AG38">
        <v>0</v>
      </c>
      <c r="AH38">
        <f t="shared" ref="AH38:AH48" si="25">-AA38-AB38</f>
        <v>-32659.199999999997</v>
      </c>
    </row>
    <row r="39" spans="1:34" x14ac:dyDescent="0.3">
      <c r="A39">
        <v>30</v>
      </c>
      <c r="B39" s="92">
        <v>42675</v>
      </c>
      <c r="C39" s="129">
        <f t="shared" si="0"/>
        <v>7.4175999999999975</v>
      </c>
      <c r="D39">
        <f t="shared" si="4"/>
        <v>7364.2</v>
      </c>
      <c r="E39">
        <f t="shared" si="5"/>
        <v>1950</v>
      </c>
      <c r="F39" s="43">
        <f t="shared" si="6"/>
        <v>7396.699999999998</v>
      </c>
      <c r="G39" s="44">
        <f t="shared" si="3"/>
        <v>110.95049999999998</v>
      </c>
      <c r="M39">
        <f t="shared" si="7"/>
        <v>59</v>
      </c>
      <c r="N39">
        <f t="shared" si="8"/>
        <v>56</v>
      </c>
      <c r="O39">
        <v>16</v>
      </c>
      <c r="P39">
        <v>2025</v>
      </c>
      <c r="Q39">
        <f t="shared" si="19"/>
        <v>251303.08274004719</v>
      </c>
      <c r="R39" s="97">
        <v>0</v>
      </c>
      <c r="S39" s="98"/>
      <c r="T39" s="99">
        <f t="shared" si="23"/>
        <v>0</v>
      </c>
      <c r="U39" s="97">
        <v>0</v>
      </c>
      <c r="V39" s="98"/>
      <c r="W39" s="99">
        <f t="shared" si="24"/>
        <v>0</v>
      </c>
      <c r="X39" s="104">
        <f t="shared" si="11"/>
        <v>0</v>
      </c>
      <c r="Y39" s="97">
        <f t="shared" si="21"/>
        <v>756</v>
      </c>
      <c r="Z39" s="107">
        <f t="shared" si="22"/>
        <v>756</v>
      </c>
      <c r="AA39" s="110">
        <f>((Y39+Z39)*1.8*12)</f>
        <v>32659.199999999997</v>
      </c>
      <c r="AB39" s="99"/>
      <c r="AC39">
        <f t="shared" si="13"/>
        <v>0</v>
      </c>
      <c r="AD39">
        <f t="shared" si="14"/>
        <v>0</v>
      </c>
      <c r="AE39">
        <f t="shared" si="20"/>
        <v>0</v>
      </c>
      <c r="AF39">
        <v>0</v>
      </c>
      <c r="AG39">
        <v>0</v>
      </c>
      <c r="AH39">
        <f t="shared" si="25"/>
        <v>-32659.199999999997</v>
      </c>
    </row>
    <row r="40" spans="1:34" x14ac:dyDescent="0.3">
      <c r="A40">
        <v>31</v>
      </c>
      <c r="B40" s="92">
        <v>42705</v>
      </c>
      <c r="C40" s="129">
        <f t="shared" si="0"/>
        <v>8.0085999999999977</v>
      </c>
      <c r="D40">
        <f>(I$14*15)+E40</f>
        <v>7955</v>
      </c>
      <c r="E40">
        <f t="shared" si="5"/>
        <v>2015</v>
      </c>
      <c r="F40" s="43">
        <f t="shared" si="6"/>
        <v>7440.5166666666655</v>
      </c>
      <c r="G40" s="44">
        <f t="shared" si="3"/>
        <v>111.60774999999998</v>
      </c>
      <c r="M40">
        <f t="shared" si="7"/>
        <v>60</v>
      </c>
      <c r="N40">
        <f t="shared" si="8"/>
        <v>57</v>
      </c>
      <c r="O40">
        <v>17</v>
      </c>
      <c r="P40">
        <v>2026</v>
      </c>
      <c r="Q40">
        <f t="shared" si="19"/>
        <v>225732.97522224858</v>
      </c>
      <c r="R40" s="97">
        <v>0</v>
      </c>
      <c r="S40" s="98"/>
      <c r="T40" s="99">
        <f t="shared" si="23"/>
        <v>0</v>
      </c>
      <c r="U40" s="97">
        <v>0</v>
      </c>
      <c r="V40" s="98"/>
      <c r="W40" s="99">
        <f t="shared" si="24"/>
        <v>0</v>
      </c>
      <c r="X40" s="104">
        <f t="shared" si="11"/>
        <v>0</v>
      </c>
      <c r="Y40" s="97">
        <f t="shared" si="21"/>
        <v>756</v>
      </c>
      <c r="Z40" s="107">
        <f t="shared" si="22"/>
        <v>756</v>
      </c>
      <c r="AA40" s="110">
        <f>((Y40+Z40)*1.8*12)</f>
        <v>32659.199999999997</v>
      </c>
      <c r="AB40" s="99"/>
      <c r="AC40">
        <f t="shared" ref="AC40:AC48" si="26">IF(X40-AA40-AB40&gt;0,X40-AA40-AB40,0)</f>
        <v>0</v>
      </c>
      <c r="AD40">
        <f t="shared" si="14"/>
        <v>0</v>
      </c>
      <c r="AE40">
        <f t="shared" si="20"/>
        <v>0</v>
      </c>
      <c r="AF40">
        <v>0</v>
      </c>
      <c r="AG40">
        <v>0</v>
      </c>
      <c r="AH40">
        <f t="shared" si="25"/>
        <v>-32659.199999999997</v>
      </c>
    </row>
    <row r="41" spans="1:34" x14ac:dyDescent="0.3">
      <c r="A41">
        <v>31</v>
      </c>
      <c r="B41" s="92">
        <v>42736</v>
      </c>
      <c r="C41" s="129">
        <f t="shared" si="0"/>
        <v>8.8371999999999975</v>
      </c>
      <c r="D41">
        <f>I$14*H41+E41</f>
        <v>9143</v>
      </c>
      <c r="E41">
        <f t="shared" si="5"/>
        <v>2015</v>
      </c>
      <c r="F41" s="43">
        <f t="shared" si="6"/>
        <v>7583.3333333333321</v>
      </c>
      <c r="G41" s="44">
        <f t="shared" si="3"/>
        <v>113.74999999999997</v>
      </c>
      <c r="H41">
        <v>18</v>
      </c>
      <c r="M41">
        <f t="shared" si="7"/>
        <v>61</v>
      </c>
      <c r="N41">
        <f t="shared" si="8"/>
        <v>58</v>
      </c>
      <c r="O41">
        <v>18</v>
      </c>
      <c r="P41">
        <v>2027</v>
      </c>
      <c r="Q41">
        <f t="shared" si="19"/>
        <v>199395.76447891607</v>
      </c>
      <c r="R41" s="97">
        <v>0</v>
      </c>
      <c r="S41" s="98"/>
      <c r="T41" s="99">
        <f t="shared" si="23"/>
        <v>0</v>
      </c>
      <c r="U41" s="97">
        <v>0</v>
      </c>
      <c r="V41" s="98"/>
      <c r="W41" s="99">
        <f t="shared" si="24"/>
        <v>0</v>
      </c>
      <c r="X41" s="104">
        <f t="shared" si="11"/>
        <v>0</v>
      </c>
      <c r="Y41" s="97">
        <f t="shared" si="21"/>
        <v>756</v>
      </c>
      <c r="Z41" s="107">
        <f t="shared" si="22"/>
        <v>756</v>
      </c>
      <c r="AA41" s="110">
        <f>((Y41+Z41)*1.8*12)</f>
        <v>32659.199999999997</v>
      </c>
      <c r="AB41" s="99"/>
      <c r="AC41">
        <f t="shared" si="26"/>
        <v>0</v>
      </c>
      <c r="AD41">
        <f t="shared" si="14"/>
        <v>0</v>
      </c>
      <c r="AE41">
        <f t="shared" si="20"/>
        <v>0</v>
      </c>
      <c r="AF41">
        <v>0</v>
      </c>
      <c r="AG41">
        <v>0</v>
      </c>
      <c r="AH41">
        <f t="shared" si="25"/>
        <v>-32659.199999999997</v>
      </c>
    </row>
    <row r="42" spans="1:34" x14ac:dyDescent="0.3">
      <c r="A42">
        <v>28</v>
      </c>
      <c r="B42" s="92">
        <v>42767</v>
      </c>
      <c r="C42" s="129">
        <f t="shared" si="0"/>
        <v>9.6182199999999973</v>
      </c>
      <c r="D42">
        <f>I$15*H42+E42</f>
        <v>8905.1</v>
      </c>
      <c r="E42">
        <f t="shared" si="5"/>
        <v>1820</v>
      </c>
      <c r="F42" s="43">
        <f t="shared" si="6"/>
        <v>7717.1583333333328</v>
      </c>
      <c r="G42" s="44">
        <f t="shared" si="3"/>
        <v>115.757375</v>
      </c>
      <c r="H42">
        <v>19</v>
      </c>
      <c r="M42">
        <f t="shared" si="7"/>
        <v>62</v>
      </c>
      <c r="N42">
        <f t="shared" si="8"/>
        <v>59</v>
      </c>
      <c r="O42">
        <v>19</v>
      </c>
      <c r="P42">
        <v>2028</v>
      </c>
      <c r="Q42">
        <f t="shared" si="19"/>
        <v>172268.43741328357</v>
      </c>
      <c r="R42" s="97">
        <v>0</v>
      </c>
      <c r="S42" s="98"/>
      <c r="T42" s="99">
        <f t="shared" si="23"/>
        <v>0</v>
      </c>
      <c r="U42" s="97">
        <v>0</v>
      </c>
      <c r="V42" s="98"/>
      <c r="W42" s="99">
        <f t="shared" si="24"/>
        <v>0</v>
      </c>
      <c r="X42" s="104">
        <f t="shared" si="11"/>
        <v>0</v>
      </c>
      <c r="Y42" s="97">
        <f t="shared" si="21"/>
        <v>756</v>
      </c>
      <c r="Z42" s="107">
        <f t="shared" si="22"/>
        <v>756</v>
      </c>
      <c r="AA42" s="110">
        <f>((Y42+Z42)*1.8*12)</f>
        <v>32659.199999999997</v>
      </c>
      <c r="AB42" s="99"/>
      <c r="AC42">
        <f t="shared" si="26"/>
        <v>0</v>
      </c>
      <c r="AD42">
        <f t="shared" si="14"/>
        <v>0</v>
      </c>
      <c r="AE42">
        <f t="shared" si="20"/>
        <v>0</v>
      </c>
      <c r="AF42">
        <v>0</v>
      </c>
      <c r="AG42">
        <v>0</v>
      </c>
      <c r="AH42">
        <f t="shared" si="25"/>
        <v>-32659.199999999997</v>
      </c>
    </row>
    <row r="43" spans="1:34" x14ac:dyDescent="0.3">
      <c r="A43">
        <v>31</v>
      </c>
      <c r="B43" s="92">
        <v>42795</v>
      </c>
      <c r="C43" s="129">
        <f t="shared" si="0"/>
        <v>10.624689999999998</v>
      </c>
      <c r="D43">
        <f>I$15*H43+E43</f>
        <v>10032.35</v>
      </c>
      <c r="E43">
        <f t="shared" si="5"/>
        <v>2015</v>
      </c>
      <c r="F43" s="43">
        <f t="shared" si="6"/>
        <v>7934.0875000000005</v>
      </c>
      <c r="G43" s="44">
        <f t="shared" si="3"/>
        <v>119.0113125</v>
      </c>
      <c r="H43">
        <v>21.5</v>
      </c>
      <c r="M43">
        <f t="shared" si="7"/>
        <v>63</v>
      </c>
      <c r="N43">
        <f t="shared" si="8"/>
        <v>60</v>
      </c>
      <c r="O43">
        <v>20</v>
      </c>
      <c r="P43">
        <v>2029</v>
      </c>
      <c r="Q43">
        <f t="shared" si="19"/>
        <v>144327.29053568206</v>
      </c>
      <c r="R43" s="97">
        <v>0</v>
      </c>
      <c r="S43" s="98"/>
      <c r="T43" s="99">
        <f t="shared" si="23"/>
        <v>0</v>
      </c>
      <c r="U43" s="97">
        <v>0</v>
      </c>
      <c r="V43" s="98"/>
      <c r="W43" s="99">
        <f t="shared" si="24"/>
        <v>0</v>
      </c>
      <c r="X43" s="104">
        <f t="shared" si="11"/>
        <v>0</v>
      </c>
      <c r="Y43" s="97">
        <f t="shared" si="21"/>
        <v>756</v>
      </c>
      <c r="Z43" s="107">
        <f t="shared" si="22"/>
        <v>756</v>
      </c>
      <c r="AA43" s="110">
        <f>((Y43+Z43)*1.8*12)</f>
        <v>32659.199999999997</v>
      </c>
      <c r="AB43" s="99"/>
      <c r="AC43">
        <f t="shared" si="26"/>
        <v>0</v>
      </c>
      <c r="AD43">
        <f t="shared" si="14"/>
        <v>0</v>
      </c>
      <c r="AE43">
        <f t="shared" si="20"/>
        <v>0</v>
      </c>
      <c r="AF43">
        <v>0</v>
      </c>
      <c r="AG43">
        <v>0</v>
      </c>
      <c r="AH43">
        <f t="shared" si="25"/>
        <v>-32659.199999999997</v>
      </c>
    </row>
    <row r="44" spans="1:34" x14ac:dyDescent="0.3">
      <c r="A44">
        <v>30</v>
      </c>
      <c r="B44" s="92">
        <v>42826</v>
      </c>
      <c r="C44" s="129">
        <f t="shared" si="0"/>
        <v>10.909649999999997</v>
      </c>
      <c r="D44">
        <f t="shared" ref="D44:D77" si="27">I$15*H44+E44</f>
        <v>6424.8</v>
      </c>
      <c r="E44">
        <f t="shared" si="5"/>
        <v>1950</v>
      </c>
      <c r="F44" s="43">
        <f t="shared" si="6"/>
        <v>7855.8041666666677</v>
      </c>
      <c r="G44" s="44">
        <f t="shared" si="3"/>
        <v>117.8370625</v>
      </c>
      <c r="H44">
        <v>12</v>
      </c>
      <c r="M44">
        <f t="shared" si="7"/>
        <v>64</v>
      </c>
      <c r="N44">
        <f t="shared" si="8"/>
        <v>61</v>
      </c>
      <c r="O44">
        <v>21</v>
      </c>
      <c r="P44">
        <v>2030</v>
      </c>
      <c r="Q44">
        <f t="shared" si="19"/>
        <v>115547.90925175253</v>
      </c>
      <c r="R44" s="97">
        <v>0</v>
      </c>
      <c r="S44" s="98"/>
      <c r="T44" s="99">
        <f t="shared" si="23"/>
        <v>0</v>
      </c>
      <c r="U44" s="97">
        <v>0</v>
      </c>
      <c r="V44" s="98"/>
      <c r="W44" s="99">
        <f t="shared" si="24"/>
        <v>0</v>
      </c>
      <c r="X44" s="104">
        <f t="shared" si="11"/>
        <v>0</v>
      </c>
      <c r="Y44" s="97">
        <f t="shared" si="21"/>
        <v>756</v>
      </c>
      <c r="Z44" s="107">
        <f t="shared" si="22"/>
        <v>756</v>
      </c>
      <c r="AA44" s="110">
        <f t="shared" si="18"/>
        <v>32659.199999999997</v>
      </c>
      <c r="AB44" s="99"/>
      <c r="AC44">
        <f t="shared" si="26"/>
        <v>0</v>
      </c>
      <c r="AD44">
        <f t="shared" si="14"/>
        <v>0</v>
      </c>
      <c r="AE44">
        <f t="shared" si="20"/>
        <v>0</v>
      </c>
      <c r="AF44">
        <v>0</v>
      </c>
      <c r="AG44">
        <v>0</v>
      </c>
      <c r="AH44">
        <f t="shared" si="25"/>
        <v>-32659.199999999997</v>
      </c>
    </row>
    <row r="45" spans="1:34" x14ac:dyDescent="0.3">
      <c r="A45">
        <v>31</v>
      </c>
      <c r="B45" s="92">
        <v>42856</v>
      </c>
      <c r="C45" s="129">
        <f t="shared" si="0"/>
        <v>11.729669999999997</v>
      </c>
      <c r="D45">
        <f t="shared" si="27"/>
        <v>9100.1</v>
      </c>
      <c r="E45">
        <f t="shared" si="5"/>
        <v>2015</v>
      </c>
      <c r="F45" s="43">
        <f t="shared" ref="F45:F52" si="28">SUM(D34:D45)/12</f>
        <v>7995.0458333333345</v>
      </c>
      <c r="G45" s="44">
        <f t="shared" si="3"/>
        <v>119.92568750000001</v>
      </c>
      <c r="H45">
        <v>19</v>
      </c>
      <c r="M45" s="93">
        <f t="shared" si="7"/>
        <v>65</v>
      </c>
      <c r="N45">
        <f t="shared" si="8"/>
        <v>62</v>
      </c>
      <c r="O45">
        <v>22</v>
      </c>
      <c r="P45">
        <v>2031</v>
      </c>
      <c r="Q45">
        <f t="shared" si="19"/>
        <v>85905.146529305101</v>
      </c>
      <c r="R45" s="97">
        <v>0</v>
      </c>
      <c r="S45" s="98"/>
      <c r="T45" s="99">
        <f t="shared" si="23"/>
        <v>0</v>
      </c>
      <c r="U45" s="97">
        <v>0</v>
      </c>
      <c r="V45" s="98"/>
      <c r="W45" s="99">
        <f t="shared" si="24"/>
        <v>0</v>
      </c>
      <c r="X45" s="104">
        <f t="shared" si="11"/>
        <v>0</v>
      </c>
      <c r="Y45" s="97">
        <f t="shared" si="21"/>
        <v>756</v>
      </c>
      <c r="Z45" s="107">
        <f t="shared" si="22"/>
        <v>756</v>
      </c>
      <c r="AA45" s="110">
        <f t="shared" si="18"/>
        <v>32659.199999999997</v>
      </c>
      <c r="AB45" s="99"/>
      <c r="AC45">
        <f t="shared" si="26"/>
        <v>0</v>
      </c>
      <c r="AD45">
        <f t="shared" si="14"/>
        <v>0</v>
      </c>
      <c r="AE45">
        <f t="shared" si="20"/>
        <v>0</v>
      </c>
      <c r="AF45">
        <v>0</v>
      </c>
      <c r="AG45">
        <v>0</v>
      </c>
      <c r="AH45">
        <f t="shared" si="25"/>
        <v>-32659.199999999997</v>
      </c>
    </row>
    <row r="46" spans="1:34" x14ac:dyDescent="0.3">
      <c r="A46">
        <v>30</v>
      </c>
      <c r="B46" s="92">
        <v>42887</v>
      </c>
      <c r="C46" s="129">
        <f t="shared" si="0"/>
        <v>12.163789999999997</v>
      </c>
      <c r="D46">
        <f t="shared" si="27"/>
        <v>7170.6</v>
      </c>
      <c r="E46">
        <f t="shared" si="5"/>
        <v>1950</v>
      </c>
      <c r="F46" s="43">
        <f t="shared" si="28"/>
        <v>7978.9125000000013</v>
      </c>
      <c r="G46" s="44">
        <f t="shared" si="3"/>
        <v>119.68368750000003</v>
      </c>
      <c r="H46">
        <v>14</v>
      </c>
      <c r="M46">
        <f t="shared" si="7"/>
        <v>66</v>
      </c>
      <c r="N46">
        <f t="shared" si="8"/>
        <v>63</v>
      </c>
      <c r="O46">
        <v>23</v>
      </c>
      <c r="P46">
        <v>2032</v>
      </c>
      <c r="Q46">
        <f t="shared" si="19"/>
        <v>55373.100925184262</v>
      </c>
      <c r="R46" s="97">
        <v>0</v>
      </c>
      <c r="S46" s="98"/>
      <c r="T46" s="99">
        <f t="shared" si="23"/>
        <v>0</v>
      </c>
      <c r="U46" s="97">
        <v>0</v>
      </c>
      <c r="V46" s="98"/>
      <c r="W46" s="99">
        <f t="shared" si="24"/>
        <v>0</v>
      </c>
      <c r="X46" s="104">
        <f t="shared" si="11"/>
        <v>0</v>
      </c>
      <c r="Y46" s="97">
        <f t="shared" si="21"/>
        <v>756</v>
      </c>
      <c r="Z46" s="107">
        <f t="shared" si="22"/>
        <v>756</v>
      </c>
      <c r="AA46" s="110">
        <f>Y46*1.8*6+Z46*1.8*12</f>
        <v>24494.399999999998</v>
      </c>
      <c r="AB46" s="99"/>
      <c r="AC46">
        <f t="shared" si="26"/>
        <v>0</v>
      </c>
      <c r="AD46">
        <f t="shared" si="14"/>
        <v>0</v>
      </c>
      <c r="AE46">
        <f t="shared" si="20"/>
        <v>0</v>
      </c>
      <c r="AF46">
        <v>0</v>
      </c>
      <c r="AG46">
        <v>0</v>
      </c>
      <c r="AH46">
        <f t="shared" si="25"/>
        <v>-24494.399999999998</v>
      </c>
    </row>
    <row r="47" spans="1:34" x14ac:dyDescent="0.3">
      <c r="A47">
        <v>31</v>
      </c>
      <c r="B47" s="92">
        <v>42917</v>
      </c>
      <c r="C47" s="129">
        <f t="shared" si="0"/>
        <v>13.021099999999997</v>
      </c>
      <c r="D47">
        <f t="shared" si="27"/>
        <v>9286.5500000000011</v>
      </c>
      <c r="E47">
        <f t="shared" si="5"/>
        <v>2015</v>
      </c>
      <c r="F47" s="43">
        <f t="shared" si="28"/>
        <v>8133.6916666666684</v>
      </c>
      <c r="G47" s="44">
        <f t="shared" si="3"/>
        <v>122.00537500000003</v>
      </c>
      <c r="H47">
        <v>19.5</v>
      </c>
      <c r="M47">
        <f t="shared" si="7"/>
        <v>67</v>
      </c>
      <c r="N47">
        <f t="shared" si="8"/>
        <v>64</v>
      </c>
      <c r="O47">
        <v>24</v>
      </c>
      <c r="P47">
        <v>2033</v>
      </c>
      <c r="Q47">
        <f t="shared" si="19"/>
        <v>32089.893952939794</v>
      </c>
      <c r="R47" s="97">
        <v>0</v>
      </c>
      <c r="S47" s="98"/>
      <c r="T47" s="99">
        <f t="shared" si="23"/>
        <v>0</v>
      </c>
      <c r="U47" s="97">
        <v>0</v>
      </c>
      <c r="V47" s="98"/>
      <c r="W47" s="99">
        <f t="shared" si="24"/>
        <v>0</v>
      </c>
      <c r="X47" s="104">
        <f t="shared" si="11"/>
        <v>0</v>
      </c>
      <c r="Y47" s="97">
        <v>0</v>
      </c>
      <c r="Z47" s="107">
        <f t="shared" si="22"/>
        <v>756</v>
      </c>
      <c r="AA47" s="110">
        <f t="shared" si="18"/>
        <v>16329.599999999999</v>
      </c>
      <c r="AB47" s="99"/>
      <c r="AC47">
        <f t="shared" si="26"/>
        <v>0</v>
      </c>
      <c r="AD47">
        <f>IF(AC47-38000&gt;0,AC47-38000,0)</f>
        <v>0</v>
      </c>
      <c r="AE47">
        <f t="shared" si="20"/>
        <v>0</v>
      </c>
      <c r="AF47">
        <v>0</v>
      </c>
      <c r="AG47">
        <v>0</v>
      </c>
      <c r="AH47">
        <f t="shared" si="25"/>
        <v>-16329.599999999999</v>
      </c>
    </row>
    <row r="48" spans="1:34" ht="15" thickBot="1" x14ac:dyDescent="0.35">
      <c r="A48">
        <v>31</v>
      </c>
      <c r="B48" s="92">
        <v>42948</v>
      </c>
      <c r="C48" s="129">
        <f t="shared" si="0"/>
        <v>12.983449999999998</v>
      </c>
      <c r="D48">
        <f t="shared" si="27"/>
        <v>4811.75</v>
      </c>
      <c r="E48">
        <f t="shared" si="5"/>
        <v>2015</v>
      </c>
      <c r="F48" s="43">
        <f t="shared" si="28"/>
        <v>7915.5708333333341</v>
      </c>
      <c r="G48" s="44">
        <f t="shared" si="3"/>
        <v>118.73356250000002</v>
      </c>
      <c r="H48">
        <v>7.5</v>
      </c>
      <c r="M48">
        <f t="shared" si="7"/>
        <v>68</v>
      </c>
      <c r="N48" s="93">
        <f t="shared" si="8"/>
        <v>65</v>
      </c>
      <c r="O48">
        <v>25</v>
      </c>
      <c r="P48">
        <v>2034</v>
      </c>
      <c r="Q48">
        <f t="shared" si="19"/>
        <v>16272.990771527988</v>
      </c>
      <c r="R48" s="100">
        <v>0</v>
      </c>
      <c r="S48" s="101"/>
      <c r="T48" s="102">
        <f t="shared" si="23"/>
        <v>0</v>
      </c>
      <c r="U48" s="100">
        <v>0</v>
      </c>
      <c r="V48" s="101"/>
      <c r="W48" s="102">
        <f t="shared" si="24"/>
        <v>0</v>
      </c>
      <c r="X48" s="105">
        <f t="shared" si="11"/>
        <v>0</v>
      </c>
      <c r="Y48" s="100">
        <v>0</v>
      </c>
      <c r="Z48" s="108">
        <f t="shared" si="22"/>
        <v>756</v>
      </c>
      <c r="AA48" s="111">
        <f t="shared" si="18"/>
        <v>16329.599999999999</v>
      </c>
      <c r="AB48" s="102"/>
      <c r="AC48">
        <f t="shared" si="26"/>
        <v>0</v>
      </c>
      <c r="AD48">
        <f>IF(AC48-38000&gt;0,AC48-38000,0)</f>
        <v>0</v>
      </c>
      <c r="AE48">
        <f t="shared" si="20"/>
        <v>0</v>
      </c>
      <c r="AF48">
        <v>0</v>
      </c>
      <c r="AG48">
        <v>0</v>
      </c>
      <c r="AH48">
        <f t="shared" si="25"/>
        <v>-16329.599999999999</v>
      </c>
    </row>
    <row r="49" spans="1:34" x14ac:dyDescent="0.3">
      <c r="A49">
        <v>6</v>
      </c>
      <c r="B49" s="92">
        <v>42979</v>
      </c>
      <c r="C49" s="129">
        <f t="shared" si="0"/>
        <v>13.217439999999998</v>
      </c>
      <c r="D49">
        <f t="shared" si="27"/>
        <v>6169.9500000000007</v>
      </c>
      <c r="E49">
        <f t="shared" si="5"/>
        <v>390</v>
      </c>
      <c r="F49" s="43">
        <f t="shared" si="28"/>
        <v>7816.05</v>
      </c>
      <c r="G49" s="44">
        <f t="shared" si="3"/>
        <v>117.24075000000001</v>
      </c>
      <c r="H49">
        <v>15.5</v>
      </c>
      <c r="M49">
        <f t="shared" si="7"/>
        <v>69</v>
      </c>
      <c r="N49">
        <f t="shared" si="8"/>
        <v>66</v>
      </c>
      <c r="O49">
        <v>26</v>
      </c>
      <c r="P49">
        <v>2035</v>
      </c>
      <c r="Q49">
        <f>Q48+MAX(0,Q48-15000)*0.03+AH48</f>
        <v>-18.419505326171929</v>
      </c>
    </row>
    <row r="50" spans="1:34" x14ac:dyDescent="0.3">
      <c r="B50" s="92">
        <v>43009</v>
      </c>
      <c r="C50" s="129">
        <f t="shared" si="0"/>
        <v>13.559879999999998</v>
      </c>
      <c r="D50">
        <f t="shared" si="27"/>
        <v>6712.2000000000007</v>
      </c>
      <c r="F50" s="43">
        <f t="shared" si="28"/>
        <v>7756.3</v>
      </c>
      <c r="G50" s="44">
        <f t="shared" si="3"/>
        <v>116.3445</v>
      </c>
      <c r="H50">
        <v>18</v>
      </c>
      <c r="M50">
        <f t="shared" si="7"/>
        <v>70</v>
      </c>
      <c r="N50">
        <f t="shared" si="8"/>
        <v>67</v>
      </c>
      <c r="O50">
        <v>27</v>
      </c>
      <c r="P50">
        <v>2036</v>
      </c>
      <c r="Q50">
        <f t="shared" si="19"/>
        <v>-18.419505326171929</v>
      </c>
    </row>
    <row r="51" spans="1:34" x14ac:dyDescent="0.3">
      <c r="B51" s="42">
        <v>43040</v>
      </c>
      <c r="C51" s="129">
        <f t="shared" si="0"/>
        <v>14.126059999999999</v>
      </c>
      <c r="D51">
        <f t="shared" si="27"/>
        <v>7830.9000000000005</v>
      </c>
      <c r="F51" s="43">
        <f t="shared" si="28"/>
        <v>7795.1916666666657</v>
      </c>
      <c r="G51" s="44">
        <f t="shared" si="3"/>
        <v>116.92787499999999</v>
      </c>
      <c r="H51">
        <v>21</v>
      </c>
      <c r="M51">
        <f t="shared" si="7"/>
        <v>71</v>
      </c>
      <c r="N51">
        <f t="shared" si="8"/>
        <v>68</v>
      </c>
      <c r="O51">
        <v>28</v>
      </c>
      <c r="P51">
        <v>2037</v>
      </c>
      <c r="Q51">
        <f t="shared" si="19"/>
        <v>-18.419505326171929</v>
      </c>
    </row>
    <row r="52" spans="1:34" x14ac:dyDescent="0.3">
      <c r="B52" s="42">
        <v>43070</v>
      </c>
      <c r="C52" s="129">
        <f t="shared" si="0"/>
        <v>14.692239999999998</v>
      </c>
      <c r="D52">
        <f t="shared" si="27"/>
        <v>7830.9000000000005</v>
      </c>
      <c r="F52" s="43">
        <f t="shared" si="28"/>
        <v>7784.8499999999985</v>
      </c>
      <c r="G52" s="44">
        <f t="shared" si="3"/>
        <v>116.77274999999997</v>
      </c>
      <c r="H52">
        <v>21</v>
      </c>
      <c r="M52">
        <f t="shared" si="7"/>
        <v>72</v>
      </c>
      <c r="N52">
        <f t="shared" si="8"/>
        <v>69</v>
      </c>
      <c r="O52">
        <v>29</v>
      </c>
      <c r="P52">
        <v>2038</v>
      </c>
      <c r="Q52">
        <f t="shared" si="19"/>
        <v>-18.419505326171929</v>
      </c>
    </row>
    <row r="53" spans="1:34" x14ac:dyDescent="0.3">
      <c r="B53" s="42">
        <v>43101</v>
      </c>
      <c r="C53" s="129">
        <f t="shared" si="0"/>
        <v>14.885519999999998</v>
      </c>
      <c r="D53">
        <f t="shared" si="27"/>
        <v>5966.4000000000005</v>
      </c>
      <c r="F53" s="43">
        <f t="shared" ref="F53:F63" si="29">SUM(D42:D53)/12</f>
        <v>7520.1333333333314</v>
      </c>
      <c r="G53" s="44">
        <f t="shared" si="3"/>
        <v>112.80199999999996</v>
      </c>
      <c r="H53">
        <v>16</v>
      </c>
      <c r="W53">
        <v>1500</v>
      </c>
      <c r="X53">
        <v>4500</v>
      </c>
      <c r="Y53">
        <v>3000</v>
      </c>
    </row>
    <row r="54" spans="1:34" x14ac:dyDescent="0.3">
      <c r="B54" s="42">
        <v>43132</v>
      </c>
      <c r="C54" s="129">
        <f t="shared" si="0"/>
        <v>15.078799999999998</v>
      </c>
      <c r="D54">
        <f t="shared" si="27"/>
        <v>5966.4000000000005</v>
      </c>
      <c r="F54" s="43">
        <f t="shared" si="29"/>
        <v>7275.241666666665</v>
      </c>
      <c r="G54" s="44">
        <f t="shared" si="3"/>
        <v>109.12862499999999</v>
      </c>
      <c r="H54">
        <v>16</v>
      </c>
    </row>
    <row r="55" spans="1:34" ht="15" thickBot="1" x14ac:dyDescent="0.35">
      <c r="B55" s="42">
        <v>43160</v>
      </c>
      <c r="C55" s="129">
        <f t="shared" si="0"/>
        <v>15.272079999999997</v>
      </c>
      <c r="D55">
        <f t="shared" si="27"/>
        <v>5966.4000000000005</v>
      </c>
      <c r="F55" s="43">
        <f t="shared" si="29"/>
        <v>6936.4124999999985</v>
      </c>
      <c r="G55" s="44">
        <f t="shared" si="3"/>
        <v>104.04618749999997</v>
      </c>
      <c r="H55">
        <v>16</v>
      </c>
      <c r="L55">
        <v>7</v>
      </c>
      <c r="M55">
        <f t="shared" ref="M55:M77" si="30">P55-1966</f>
        <v>50</v>
      </c>
      <c r="N55">
        <f t="shared" ref="N55:N77" si="31">P55-1969</f>
        <v>47</v>
      </c>
      <c r="O55">
        <v>7</v>
      </c>
      <c r="P55">
        <v>2016</v>
      </c>
    </row>
    <row r="56" spans="1:34" x14ac:dyDescent="0.3">
      <c r="B56" s="42">
        <v>43191</v>
      </c>
      <c r="C56" s="129">
        <f t="shared" si="0"/>
        <v>15.465359999999997</v>
      </c>
      <c r="D56">
        <f t="shared" si="27"/>
        <v>5966.4000000000005</v>
      </c>
      <c r="F56" s="43">
        <f t="shared" si="29"/>
        <v>6898.2124999999987</v>
      </c>
      <c r="G56" s="44">
        <f t="shared" si="3"/>
        <v>103.47318749999997</v>
      </c>
      <c r="H56">
        <v>16</v>
      </c>
      <c r="L56">
        <v>8</v>
      </c>
      <c r="M56">
        <f t="shared" si="30"/>
        <v>51</v>
      </c>
      <c r="N56">
        <f t="shared" si="31"/>
        <v>48</v>
      </c>
      <c r="O56">
        <v>8</v>
      </c>
      <c r="P56">
        <v>2017</v>
      </c>
      <c r="Q56">
        <v>30000</v>
      </c>
      <c r="R56" s="94">
        <v>600</v>
      </c>
      <c r="S56" s="95">
        <f>10+17+16</f>
        <v>43</v>
      </c>
      <c r="T56" s="96">
        <f t="shared" ref="T56:T64" si="32">R56*S56</f>
        <v>25800</v>
      </c>
      <c r="U56" s="94">
        <v>565</v>
      </c>
      <c r="V56" s="95">
        <f>113.5+25+78.5</f>
        <v>217</v>
      </c>
      <c r="W56" s="96">
        <f t="shared" ref="W56:W64" si="33">U56*V56</f>
        <v>122605</v>
      </c>
      <c r="X56" s="103">
        <f t="shared" ref="X56:X73" si="34">T56+W56</f>
        <v>148405</v>
      </c>
      <c r="Y56" s="94">
        <f t="shared" ref="Y56:Z64" si="35">X$53</f>
        <v>4500</v>
      </c>
      <c r="Z56" s="106">
        <f t="shared" si="35"/>
        <v>3000</v>
      </c>
      <c r="AA56" s="109">
        <f>Y56*1.8*3+Z56*1.8*4</f>
        <v>45900</v>
      </c>
      <c r="AB56" s="96">
        <v>12000</v>
      </c>
      <c r="AC56">
        <f t="shared" ref="AC56:AC64" si="36">IF(X56-AA56-AB56&gt;0,X56-AA56-AB56,0)</f>
        <v>90505</v>
      </c>
      <c r="AD56">
        <f t="shared" ref="AD56:AD73" si="37">IF(AC56-38000&gt;0,AC56-38000,0)</f>
        <v>52505</v>
      </c>
      <c r="AE56">
        <f>AC56-AD56</f>
        <v>38000</v>
      </c>
      <c r="AF56">
        <f t="shared" ref="AF56:AF64" si="38">AD56*0.66</f>
        <v>34653.300000000003</v>
      </c>
      <c r="AG56">
        <f t="shared" ref="AG56:AG64" si="39">AE56*0.845</f>
        <v>32110</v>
      </c>
      <c r="AH56" s="7">
        <f t="shared" ref="AH56:AH64" si="40">AG56+AF56</f>
        <v>66763.3</v>
      </c>
    </row>
    <row r="57" spans="1:34" x14ac:dyDescent="0.3">
      <c r="B57" s="42">
        <v>43221</v>
      </c>
      <c r="C57" s="129">
        <f t="shared" si="0"/>
        <v>15.658639999999997</v>
      </c>
      <c r="D57">
        <f t="shared" si="27"/>
        <v>5966.4000000000005</v>
      </c>
      <c r="F57" s="43">
        <f t="shared" si="29"/>
        <v>6637.0708333333323</v>
      </c>
      <c r="G57" s="44">
        <f t="shared" si="3"/>
        <v>99.556062499999996</v>
      </c>
      <c r="H57">
        <v>16</v>
      </c>
      <c r="L57">
        <v>9</v>
      </c>
      <c r="M57">
        <f t="shared" si="30"/>
        <v>52</v>
      </c>
      <c r="N57">
        <f t="shared" si="31"/>
        <v>49</v>
      </c>
      <c r="O57">
        <v>9</v>
      </c>
      <c r="P57">
        <v>2018</v>
      </c>
      <c r="Q57">
        <f>Q56+MAX(0,Q56-15000)*0.03+AH56</f>
        <v>97213.3</v>
      </c>
      <c r="R57" s="97">
        <v>600</v>
      </c>
      <c r="S57" s="98">
        <v>175</v>
      </c>
      <c r="T57" s="99">
        <f t="shared" si="32"/>
        <v>105000</v>
      </c>
      <c r="U57" s="97">
        <v>565</v>
      </c>
      <c r="V57" s="98">
        <v>205</v>
      </c>
      <c r="W57" s="99">
        <f t="shared" si="33"/>
        <v>115825</v>
      </c>
      <c r="X57" s="104">
        <f t="shared" si="34"/>
        <v>220825</v>
      </c>
      <c r="Y57" s="97">
        <f t="shared" si="35"/>
        <v>4500</v>
      </c>
      <c r="Z57" s="107">
        <f t="shared" si="35"/>
        <v>3000</v>
      </c>
      <c r="AA57" s="110">
        <f t="shared" ref="AA57:AA63" si="41">((Y57+Z57)*1.8*12)</f>
        <v>162000</v>
      </c>
      <c r="AB57" s="99">
        <f>12000</f>
        <v>12000</v>
      </c>
      <c r="AC57">
        <f t="shared" si="36"/>
        <v>46825</v>
      </c>
      <c r="AD57">
        <f t="shared" si="37"/>
        <v>8825</v>
      </c>
      <c r="AE57">
        <f>AC57-AD57</f>
        <v>38000</v>
      </c>
      <c r="AF57">
        <f t="shared" si="38"/>
        <v>5824.5</v>
      </c>
      <c r="AG57">
        <f t="shared" si="39"/>
        <v>32110</v>
      </c>
      <c r="AH57" s="7">
        <f t="shared" si="40"/>
        <v>37934.5</v>
      </c>
    </row>
    <row r="58" spans="1:34" x14ac:dyDescent="0.3">
      <c r="B58" s="42">
        <v>43252</v>
      </c>
      <c r="C58" s="129">
        <f t="shared" si="0"/>
        <v>15.851919999999996</v>
      </c>
      <c r="D58">
        <f t="shared" si="27"/>
        <v>5966.4000000000005</v>
      </c>
      <c r="F58" s="43">
        <f t="shared" si="29"/>
        <v>6536.7208333333328</v>
      </c>
      <c r="G58" s="44">
        <f t="shared" si="3"/>
        <v>98.050812500000006</v>
      </c>
      <c r="H58">
        <v>16</v>
      </c>
      <c r="L58">
        <v>10</v>
      </c>
      <c r="M58">
        <f t="shared" si="30"/>
        <v>53</v>
      </c>
      <c r="N58">
        <f t="shared" si="31"/>
        <v>50</v>
      </c>
      <c r="O58">
        <v>10</v>
      </c>
      <c r="P58">
        <v>2019</v>
      </c>
      <c r="Q58">
        <f t="shared" ref="Q58:Q73" si="42">Q57+MAX(0,Q57-15000)*0.03+AH57</f>
        <v>137614.19900000002</v>
      </c>
      <c r="R58" s="97">
        <v>600</v>
      </c>
      <c r="S58" s="98">
        <v>175</v>
      </c>
      <c r="T58" s="99">
        <f t="shared" si="32"/>
        <v>105000</v>
      </c>
      <c r="U58" s="97">
        <v>565</v>
      </c>
      <c r="V58" s="98">
        <v>205</v>
      </c>
      <c r="W58" s="99">
        <f t="shared" si="33"/>
        <v>115825</v>
      </c>
      <c r="X58" s="104">
        <f t="shared" si="34"/>
        <v>220825</v>
      </c>
      <c r="Y58" s="97">
        <f t="shared" si="35"/>
        <v>4500</v>
      </c>
      <c r="Z58" s="107">
        <f t="shared" si="35"/>
        <v>3000</v>
      </c>
      <c r="AA58" s="110">
        <f t="shared" si="41"/>
        <v>162000</v>
      </c>
      <c r="AB58" s="99">
        <f>12000</f>
        <v>12000</v>
      </c>
      <c r="AC58">
        <f t="shared" si="36"/>
        <v>46825</v>
      </c>
      <c r="AD58">
        <f t="shared" si="37"/>
        <v>8825</v>
      </c>
      <c r="AE58">
        <f t="shared" ref="AE58:AE73" si="43">AC58-AD58</f>
        <v>38000</v>
      </c>
      <c r="AF58">
        <f t="shared" si="38"/>
        <v>5824.5</v>
      </c>
      <c r="AG58">
        <f t="shared" si="39"/>
        <v>32110</v>
      </c>
      <c r="AH58" s="7">
        <f t="shared" si="40"/>
        <v>37934.5</v>
      </c>
    </row>
    <row r="59" spans="1:34" x14ac:dyDescent="0.3">
      <c r="B59" s="42">
        <v>43282</v>
      </c>
      <c r="C59" s="129">
        <f t="shared" si="0"/>
        <v>16.045199999999998</v>
      </c>
      <c r="D59">
        <f t="shared" si="27"/>
        <v>5966.4000000000005</v>
      </c>
      <c r="F59" s="43">
        <f t="shared" si="29"/>
        <v>6260.041666666667</v>
      </c>
      <c r="G59" s="44">
        <f t="shared" si="3"/>
        <v>93.900625000000005</v>
      </c>
      <c r="H59">
        <v>16</v>
      </c>
      <c r="L59">
        <v>11</v>
      </c>
      <c r="M59">
        <f t="shared" si="30"/>
        <v>54</v>
      </c>
      <c r="N59">
        <f t="shared" si="31"/>
        <v>51</v>
      </c>
      <c r="O59">
        <v>11</v>
      </c>
      <c r="P59">
        <v>2020</v>
      </c>
      <c r="Q59">
        <f t="shared" si="42"/>
        <v>179227.12497000003</v>
      </c>
      <c r="R59" s="97">
        <v>600</v>
      </c>
      <c r="S59" s="98">
        <v>175</v>
      </c>
      <c r="T59" s="99">
        <f t="shared" si="32"/>
        <v>105000</v>
      </c>
      <c r="U59" s="97">
        <v>600</v>
      </c>
      <c r="V59" s="98">
        <v>205</v>
      </c>
      <c r="W59" s="99">
        <f t="shared" si="33"/>
        <v>123000</v>
      </c>
      <c r="X59" s="104">
        <f t="shared" si="34"/>
        <v>228000</v>
      </c>
      <c r="Y59" s="97">
        <f t="shared" si="35"/>
        <v>4500</v>
      </c>
      <c r="Z59" s="107">
        <f t="shared" si="35"/>
        <v>3000</v>
      </c>
      <c r="AA59" s="110">
        <f t="shared" si="41"/>
        <v>162000</v>
      </c>
      <c r="AB59" s="99">
        <f>12000</f>
        <v>12000</v>
      </c>
      <c r="AC59">
        <f t="shared" si="36"/>
        <v>54000</v>
      </c>
      <c r="AD59">
        <f t="shared" si="37"/>
        <v>16000</v>
      </c>
      <c r="AE59">
        <f t="shared" si="43"/>
        <v>38000</v>
      </c>
      <c r="AF59">
        <f t="shared" si="38"/>
        <v>10560</v>
      </c>
      <c r="AG59">
        <f t="shared" si="39"/>
        <v>32110</v>
      </c>
      <c r="AH59" s="7">
        <f t="shared" si="40"/>
        <v>42670</v>
      </c>
    </row>
    <row r="60" spans="1:34" x14ac:dyDescent="0.3">
      <c r="B60" s="42">
        <v>43313</v>
      </c>
      <c r="C60" s="129">
        <f t="shared" si="0"/>
        <v>16.238479999999999</v>
      </c>
      <c r="D60">
        <f t="shared" si="27"/>
        <v>5966.4000000000005</v>
      </c>
      <c r="F60" s="43">
        <f t="shared" si="29"/>
        <v>6356.2625000000007</v>
      </c>
      <c r="G60" s="44">
        <f t="shared" si="3"/>
        <v>95.34393750000001</v>
      </c>
      <c r="H60">
        <v>16</v>
      </c>
      <c r="L60">
        <v>12</v>
      </c>
      <c r="M60">
        <f t="shared" si="30"/>
        <v>55</v>
      </c>
      <c r="N60">
        <f t="shared" si="31"/>
        <v>52</v>
      </c>
      <c r="O60">
        <v>12</v>
      </c>
      <c r="P60">
        <v>2021</v>
      </c>
      <c r="Q60">
        <f t="shared" si="42"/>
        <v>226823.93871910003</v>
      </c>
      <c r="R60" s="97">
        <v>600</v>
      </c>
      <c r="S60" s="98">
        <v>175</v>
      </c>
      <c r="T60" s="99">
        <f t="shared" si="32"/>
        <v>105000</v>
      </c>
      <c r="U60" s="97">
        <v>600</v>
      </c>
      <c r="V60" s="98">
        <v>205</v>
      </c>
      <c r="W60" s="99">
        <f t="shared" si="33"/>
        <v>123000</v>
      </c>
      <c r="X60" s="104">
        <f t="shared" si="34"/>
        <v>228000</v>
      </c>
      <c r="Y60" s="97">
        <f t="shared" si="35"/>
        <v>4500</v>
      </c>
      <c r="Z60" s="107">
        <f t="shared" si="35"/>
        <v>3000</v>
      </c>
      <c r="AA60" s="110">
        <f t="shared" si="41"/>
        <v>162000</v>
      </c>
      <c r="AB60" s="99">
        <f>12000</f>
        <v>12000</v>
      </c>
      <c r="AC60">
        <f t="shared" si="36"/>
        <v>54000</v>
      </c>
      <c r="AD60">
        <f t="shared" si="37"/>
        <v>16000</v>
      </c>
      <c r="AE60">
        <f t="shared" si="43"/>
        <v>38000</v>
      </c>
      <c r="AF60">
        <f t="shared" si="38"/>
        <v>10560</v>
      </c>
      <c r="AG60">
        <f t="shared" si="39"/>
        <v>32110</v>
      </c>
      <c r="AH60" s="7">
        <f t="shared" si="40"/>
        <v>42670</v>
      </c>
    </row>
    <row r="61" spans="1:34" x14ac:dyDescent="0.3">
      <c r="B61" s="42">
        <v>43344</v>
      </c>
      <c r="C61" s="129">
        <f t="shared" si="0"/>
        <v>16.431760000000001</v>
      </c>
      <c r="D61">
        <f t="shared" si="27"/>
        <v>5966.4000000000005</v>
      </c>
      <c r="F61" s="43">
        <f t="shared" si="29"/>
        <v>6339.3</v>
      </c>
      <c r="G61" s="44">
        <f t="shared" si="3"/>
        <v>95.089500000000001</v>
      </c>
      <c r="H61">
        <v>16</v>
      </c>
      <c r="L61">
        <v>13</v>
      </c>
      <c r="M61">
        <f t="shared" si="30"/>
        <v>56</v>
      </c>
      <c r="N61">
        <f t="shared" si="31"/>
        <v>53</v>
      </c>
      <c r="O61">
        <v>13</v>
      </c>
      <c r="P61">
        <v>2022</v>
      </c>
      <c r="Q61">
        <f t="shared" si="42"/>
        <v>275848.65688067302</v>
      </c>
      <c r="R61" s="97">
        <v>600</v>
      </c>
      <c r="S61" s="98">
        <v>175</v>
      </c>
      <c r="T61" s="99">
        <f t="shared" si="32"/>
        <v>105000</v>
      </c>
      <c r="U61" s="97">
        <v>600</v>
      </c>
      <c r="V61" s="98">
        <v>205</v>
      </c>
      <c r="W61" s="99">
        <f t="shared" si="33"/>
        <v>123000</v>
      </c>
      <c r="X61" s="104">
        <f>T61+W61</f>
        <v>228000</v>
      </c>
      <c r="Y61" s="97">
        <f t="shared" si="35"/>
        <v>4500</v>
      </c>
      <c r="Z61" s="107">
        <f t="shared" si="35"/>
        <v>3000</v>
      </c>
      <c r="AA61" s="110">
        <f t="shared" si="41"/>
        <v>162000</v>
      </c>
      <c r="AB61" s="99">
        <f>12000</f>
        <v>12000</v>
      </c>
      <c r="AC61">
        <f t="shared" si="36"/>
        <v>54000</v>
      </c>
      <c r="AD61">
        <f>IF(AC61-38000&gt;0,AC61-38000,0)</f>
        <v>16000</v>
      </c>
      <c r="AE61">
        <f>AC61-AD61</f>
        <v>38000</v>
      </c>
      <c r="AF61">
        <f t="shared" si="38"/>
        <v>10560</v>
      </c>
      <c r="AG61">
        <f t="shared" si="39"/>
        <v>32110</v>
      </c>
      <c r="AH61" s="7">
        <f t="shared" si="40"/>
        <v>42670</v>
      </c>
    </row>
    <row r="62" spans="1:34" x14ac:dyDescent="0.3">
      <c r="B62" s="42">
        <v>43374</v>
      </c>
      <c r="C62" s="129">
        <f t="shared" si="0"/>
        <v>16.625040000000002</v>
      </c>
      <c r="D62">
        <f t="shared" si="27"/>
        <v>5966.4000000000005</v>
      </c>
      <c r="F62" s="43">
        <f t="shared" si="29"/>
        <v>6277.1500000000005</v>
      </c>
      <c r="G62" s="44">
        <f t="shared" si="3"/>
        <v>94.157250000000019</v>
      </c>
      <c r="H62">
        <v>16</v>
      </c>
      <c r="L62">
        <v>14</v>
      </c>
      <c r="M62">
        <f t="shared" si="30"/>
        <v>57</v>
      </c>
      <c r="N62">
        <f t="shared" si="31"/>
        <v>54</v>
      </c>
      <c r="O62">
        <v>14</v>
      </c>
      <c r="P62">
        <v>2023</v>
      </c>
      <c r="Q62">
        <f t="shared" si="42"/>
        <v>326344.11658709322</v>
      </c>
      <c r="R62" s="97">
        <v>600</v>
      </c>
      <c r="S62" s="98">
        <v>175</v>
      </c>
      <c r="T62" s="99">
        <f t="shared" si="32"/>
        <v>105000</v>
      </c>
      <c r="U62" s="97">
        <v>600</v>
      </c>
      <c r="V62" s="98">
        <v>205</v>
      </c>
      <c r="W62" s="99">
        <f t="shared" si="33"/>
        <v>123000</v>
      </c>
      <c r="X62" s="104">
        <f>T62+W62</f>
        <v>228000</v>
      </c>
      <c r="Y62" s="97">
        <f t="shared" si="35"/>
        <v>4500</v>
      </c>
      <c r="Z62" s="107">
        <f t="shared" si="35"/>
        <v>3000</v>
      </c>
      <c r="AA62" s="110">
        <f t="shared" si="41"/>
        <v>162000</v>
      </c>
      <c r="AB62" s="99">
        <f>12000</f>
        <v>12000</v>
      </c>
      <c r="AC62">
        <f t="shared" si="36"/>
        <v>54000</v>
      </c>
      <c r="AD62">
        <f>IF(AC62-38000&gt;0,AC62-38000,0)</f>
        <v>16000</v>
      </c>
      <c r="AE62">
        <f>AC62-AD62</f>
        <v>38000</v>
      </c>
      <c r="AF62">
        <f t="shared" si="38"/>
        <v>10560</v>
      </c>
      <c r="AG62">
        <f t="shared" si="39"/>
        <v>32110</v>
      </c>
      <c r="AH62" s="7">
        <f t="shared" si="40"/>
        <v>42670</v>
      </c>
    </row>
    <row r="63" spans="1:34" x14ac:dyDescent="0.3">
      <c r="B63" s="42">
        <v>43405</v>
      </c>
      <c r="C63" s="129">
        <f t="shared" si="0"/>
        <v>16.818320000000003</v>
      </c>
      <c r="D63">
        <f t="shared" si="27"/>
        <v>5966.4000000000005</v>
      </c>
      <c r="F63" s="43">
        <f t="shared" si="29"/>
        <v>6121.7750000000005</v>
      </c>
      <c r="G63" s="44">
        <f t="shared" si="3"/>
        <v>91.826625000000021</v>
      </c>
      <c r="H63">
        <v>16</v>
      </c>
      <c r="L63">
        <v>15</v>
      </c>
      <c r="M63">
        <f t="shared" si="30"/>
        <v>58</v>
      </c>
      <c r="N63">
        <f t="shared" si="31"/>
        <v>55</v>
      </c>
      <c r="O63">
        <v>15</v>
      </c>
      <c r="P63">
        <v>2024</v>
      </c>
      <c r="Q63">
        <f t="shared" si="42"/>
        <v>378354.440084706</v>
      </c>
      <c r="R63" s="97">
        <v>600</v>
      </c>
      <c r="S63" s="98">
        <v>175</v>
      </c>
      <c r="T63" s="99">
        <f t="shared" si="32"/>
        <v>105000</v>
      </c>
      <c r="U63" s="97">
        <v>600</v>
      </c>
      <c r="V63" s="98">
        <v>205</v>
      </c>
      <c r="W63" s="99">
        <f t="shared" si="33"/>
        <v>123000</v>
      </c>
      <c r="X63" s="104">
        <f>T63+W63</f>
        <v>228000</v>
      </c>
      <c r="Y63" s="97">
        <f t="shared" si="35"/>
        <v>4500</v>
      </c>
      <c r="Z63" s="107">
        <f t="shared" si="35"/>
        <v>3000</v>
      </c>
      <c r="AA63" s="110">
        <f t="shared" si="41"/>
        <v>162000</v>
      </c>
      <c r="AB63" s="99">
        <f>12000</f>
        <v>12000</v>
      </c>
      <c r="AC63">
        <f t="shared" si="36"/>
        <v>54000</v>
      </c>
      <c r="AD63">
        <f>IF(AC63-38000&gt;0,AC63-38000,0)</f>
        <v>16000</v>
      </c>
      <c r="AE63">
        <f>AC63-AD63</f>
        <v>38000</v>
      </c>
      <c r="AF63">
        <f t="shared" si="38"/>
        <v>10560</v>
      </c>
      <c r="AG63">
        <f t="shared" si="39"/>
        <v>32110</v>
      </c>
      <c r="AH63" s="7">
        <f t="shared" si="40"/>
        <v>42670</v>
      </c>
    </row>
    <row r="64" spans="1:34" x14ac:dyDescent="0.3">
      <c r="B64" s="42">
        <v>43435</v>
      </c>
      <c r="C64" s="129">
        <f t="shared" si="0"/>
        <v>17.011600000000005</v>
      </c>
      <c r="D64">
        <f t="shared" si="27"/>
        <v>5966.4000000000005</v>
      </c>
      <c r="F64" s="43">
        <f t="shared" si="6"/>
        <v>5966.4000000000005</v>
      </c>
      <c r="G64" s="44">
        <f t="shared" si="3"/>
        <v>89.496000000000009</v>
      </c>
      <c r="H64">
        <v>16</v>
      </c>
      <c r="L64">
        <v>16</v>
      </c>
      <c r="M64">
        <f t="shared" si="30"/>
        <v>59</v>
      </c>
      <c r="N64">
        <f t="shared" si="31"/>
        <v>56</v>
      </c>
      <c r="O64">
        <v>16</v>
      </c>
      <c r="P64">
        <v>2025</v>
      </c>
      <c r="Q64">
        <f t="shared" si="42"/>
        <v>431925.07328724716</v>
      </c>
      <c r="R64" s="97">
        <v>600</v>
      </c>
      <c r="S64" s="112">
        <f>S63*0.66</f>
        <v>115.5</v>
      </c>
      <c r="T64" s="99">
        <f t="shared" si="32"/>
        <v>69300</v>
      </c>
      <c r="U64" s="97">
        <v>600</v>
      </c>
      <c r="V64" s="112">
        <f>V63*0.66</f>
        <v>135.30000000000001</v>
      </c>
      <c r="W64" s="99">
        <f t="shared" si="33"/>
        <v>81180</v>
      </c>
      <c r="X64" s="104">
        <f>T64+W64</f>
        <v>150480</v>
      </c>
      <c r="Y64" s="97">
        <f t="shared" si="35"/>
        <v>4500</v>
      </c>
      <c r="Z64" s="107">
        <f t="shared" si="35"/>
        <v>3000</v>
      </c>
      <c r="AA64" s="113">
        <f>((Y64+Z64)*1.8*8)+(($W$53+$W$53)*1.8*4)</f>
        <v>129600</v>
      </c>
      <c r="AB64" s="114">
        <f>12000</f>
        <v>12000</v>
      </c>
      <c r="AC64">
        <f t="shared" si="36"/>
        <v>8880</v>
      </c>
      <c r="AD64">
        <f>IF(AC64-38000&gt;0,AC64-38000,0)</f>
        <v>0</v>
      </c>
      <c r="AE64">
        <f>AC64-AD64</f>
        <v>8880</v>
      </c>
      <c r="AF64">
        <f t="shared" si="38"/>
        <v>0</v>
      </c>
      <c r="AG64">
        <f t="shared" si="39"/>
        <v>7503.5999999999995</v>
      </c>
      <c r="AH64" s="7">
        <f t="shared" si="40"/>
        <v>7503.5999999999995</v>
      </c>
    </row>
    <row r="65" spans="2:34" x14ac:dyDescent="0.3">
      <c r="B65" s="42">
        <v>43466</v>
      </c>
      <c r="C65" s="129">
        <f t="shared" si="0"/>
        <v>17.204880000000006</v>
      </c>
      <c r="D65">
        <f t="shared" si="27"/>
        <v>5966.4000000000005</v>
      </c>
      <c r="F65" s="43">
        <f t="shared" si="6"/>
        <v>5966.4000000000005</v>
      </c>
      <c r="G65" s="44">
        <f t="shared" si="3"/>
        <v>89.496000000000009</v>
      </c>
      <c r="H65">
        <v>16</v>
      </c>
      <c r="L65">
        <v>17</v>
      </c>
      <c r="M65">
        <f t="shared" si="30"/>
        <v>60</v>
      </c>
      <c r="N65">
        <f t="shared" si="31"/>
        <v>57</v>
      </c>
      <c r="O65">
        <v>17</v>
      </c>
      <c r="P65">
        <v>2026</v>
      </c>
      <c r="Q65">
        <f t="shared" si="42"/>
        <v>451936.42548586457</v>
      </c>
      <c r="R65" s="97">
        <v>0</v>
      </c>
      <c r="S65" s="98"/>
      <c r="T65" s="99">
        <f t="shared" ref="T65:T73" si="44">R65*175</f>
        <v>0</v>
      </c>
      <c r="U65" s="97">
        <v>0</v>
      </c>
      <c r="V65" s="98"/>
      <c r="W65" s="99">
        <f t="shared" ref="W65:W73" si="45">U65*205</f>
        <v>0</v>
      </c>
      <c r="X65" s="104">
        <f t="shared" si="34"/>
        <v>0</v>
      </c>
      <c r="Y65" s="97">
        <f t="shared" ref="Y65:Z73" si="46">$W$53</f>
        <v>1500</v>
      </c>
      <c r="Z65" s="107">
        <f t="shared" si="46"/>
        <v>1500</v>
      </c>
      <c r="AA65" s="110">
        <f t="shared" ref="AA65:AA70" si="47">((Y65+Z65)*1.8*12)</f>
        <v>64800</v>
      </c>
      <c r="AB65" s="99"/>
      <c r="AC65">
        <f t="shared" ref="AC65:AC73" si="48">IF(X65-AA65-AB65&gt;0,X65-AA65-AB65,0)</f>
        <v>0</v>
      </c>
      <c r="AD65">
        <f t="shared" si="37"/>
        <v>0</v>
      </c>
      <c r="AE65">
        <f t="shared" si="43"/>
        <v>0</v>
      </c>
      <c r="AF65">
        <v>0</v>
      </c>
      <c r="AG65">
        <v>0</v>
      </c>
      <c r="AH65">
        <f t="shared" ref="AH65:AH73" si="49">-AA65-AB65</f>
        <v>-64800</v>
      </c>
    </row>
    <row r="66" spans="2:34" x14ac:dyDescent="0.3">
      <c r="B66" s="42">
        <v>43497</v>
      </c>
      <c r="C66" s="129">
        <f t="shared" si="0"/>
        <v>17.398160000000008</v>
      </c>
      <c r="D66">
        <f t="shared" si="27"/>
        <v>5966.4000000000005</v>
      </c>
      <c r="F66" s="43">
        <f t="shared" si="6"/>
        <v>5966.4000000000005</v>
      </c>
      <c r="G66" s="44">
        <f t="shared" si="3"/>
        <v>89.496000000000009</v>
      </c>
      <c r="H66">
        <v>16</v>
      </c>
      <c r="L66">
        <v>18</v>
      </c>
      <c r="M66">
        <f t="shared" si="30"/>
        <v>61</v>
      </c>
      <c r="N66">
        <f t="shared" si="31"/>
        <v>58</v>
      </c>
      <c r="O66">
        <v>18</v>
      </c>
      <c r="P66">
        <v>2027</v>
      </c>
      <c r="Q66">
        <f t="shared" si="42"/>
        <v>400244.51825044048</v>
      </c>
      <c r="R66" s="97">
        <v>0</v>
      </c>
      <c r="S66" s="98"/>
      <c r="T66" s="99">
        <f t="shared" si="44"/>
        <v>0</v>
      </c>
      <c r="U66" s="97">
        <v>0</v>
      </c>
      <c r="V66" s="98"/>
      <c r="W66" s="99">
        <f t="shared" si="45"/>
        <v>0</v>
      </c>
      <c r="X66" s="104">
        <f t="shared" si="34"/>
        <v>0</v>
      </c>
      <c r="Y66" s="97">
        <f t="shared" si="46"/>
        <v>1500</v>
      </c>
      <c r="Z66" s="107">
        <f t="shared" si="46"/>
        <v>1500</v>
      </c>
      <c r="AA66" s="110">
        <f t="shared" si="47"/>
        <v>64800</v>
      </c>
      <c r="AB66" s="99"/>
      <c r="AC66">
        <f t="shared" si="48"/>
        <v>0</v>
      </c>
      <c r="AD66">
        <f t="shared" si="37"/>
        <v>0</v>
      </c>
      <c r="AE66">
        <f t="shared" si="43"/>
        <v>0</v>
      </c>
      <c r="AF66">
        <v>0</v>
      </c>
      <c r="AG66">
        <v>0</v>
      </c>
      <c r="AH66">
        <f t="shared" si="49"/>
        <v>-64800</v>
      </c>
    </row>
    <row r="67" spans="2:34" x14ac:dyDescent="0.3">
      <c r="B67" s="42">
        <v>43525</v>
      </c>
      <c r="C67" s="129">
        <f t="shared" ref="C67:C77" si="50">(D67-$P$1)/$P$1+C66</f>
        <v>17.591440000000009</v>
      </c>
      <c r="D67">
        <f t="shared" si="27"/>
        <v>5966.4000000000005</v>
      </c>
      <c r="F67" s="43">
        <f t="shared" si="6"/>
        <v>5966.4000000000005</v>
      </c>
      <c r="G67" s="44">
        <f t="shared" si="3"/>
        <v>89.496000000000009</v>
      </c>
      <c r="H67">
        <v>16</v>
      </c>
      <c r="L67">
        <v>19</v>
      </c>
      <c r="M67">
        <f t="shared" si="30"/>
        <v>62</v>
      </c>
      <c r="N67">
        <f t="shared" si="31"/>
        <v>59</v>
      </c>
      <c r="O67">
        <v>19</v>
      </c>
      <c r="P67">
        <v>2028</v>
      </c>
      <c r="Q67">
        <f t="shared" si="42"/>
        <v>347001.85379795369</v>
      </c>
      <c r="R67" s="97">
        <v>0</v>
      </c>
      <c r="S67" s="98"/>
      <c r="T67" s="99">
        <f t="shared" si="44"/>
        <v>0</v>
      </c>
      <c r="U67" s="97">
        <v>0</v>
      </c>
      <c r="V67" s="98"/>
      <c r="W67" s="99">
        <f t="shared" si="45"/>
        <v>0</v>
      </c>
      <c r="X67" s="104">
        <f t="shared" si="34"/>
        <v>0</v>
      </c>
      <c r="Y67" s="97">
        <f t="shared" si="46"/>
        <v>1500</v>
      </c>
      <c r="Z67" s="107">
        <f t="shared" si="46"/>
        <v>1500</v>
      </c>
      <c r="AA67" s="110">
        <f t="shared" si="47"/>
        <v>64800</v>
      </c>
      <c r="AB67" s="99"/>
      <c r="AC67">
        <f t="shared" si="48"/>
        <v>0</v>
      </c>
      <c r="AD67">
        <f t="shared" si="37"/>
        <v>0</v>
      </c>
      <c r="AE67">
        <f t="shared" si="43"/>
        <v>0</v>
      </c>
      <c r="AF67">
        <v>0</v>
      </c>
      <c r="AG67">
        <v>0</v>
      </c>
      <c r="AH67">
        <f t="shared" si="49"/>
        <v>-64800</v>
      </c>
    </row>
    <row r="68" spans="2:34" x14ac:dyDescent="0.3">
      <c r="B68" s="42">
        <v>43556</v>
      </c>
      <c r="C68" s="129">
        <f t="shared" si="50"/>
        <v>17.784720000000011</v>
      </c>
      <c r="D68">
        <f t="shared" si="27"/>
        <v>5966.4000000000005</v>
      </c>
      <c r="F68" s="43">
        <f t="shared" si="6"/>
        <v>5966.4000000000005</v>
      </c>
      <c r="G68" s="44">
        <f t="shared" si="3"/>
        <v>89.496000000000009</v>
      </c>
      <c r="H68">
        <v>16</v>
      </c>
      <c r="L68">
        <v>20</v>
      </c>
      <c r="M68">
        <f t="shared" si="30"/>
        <v>63</v>
      </c>
      <c r="N68">
        <f t="shared" si="31"/>
        <v>60</v>
      </c>
      <c r="O68">
        <v>20</v>
      </c>
      <c r="P68">
        <v>2029</v>
      </c>
      <c r="Q68">
        <f t="shared" si="42"/>
        <v>292161.90941189229</v>
      </c>
      <c r="R68" s="97">
        <v>0</v>
      </c>
      <c r="S68" s="98"/>
      <c r="T68" s="99">
        <f t="shared" si="44"/>
        <v>0</v>
      </c>
      <c r="U68" s="97">
        <v>0</v>
      </c>
      <c r="V68" s="98"/>
      <c r="W68" s="99">
        <f t="shared" si="45"/>
        <v>0</v>
      </c>
      <c r="X68" s="104">
        <f t="shared" si="34"/>
        <v>0</v>
      </c>
      <c r="Y68" s="97">
        <f t="shared" si="46"/>
        <v>1500</v>
      </c>
      <c r="Z68" s="107">
        <f t="shared" si="46"/>
        <v>1500</v>
      </c>
      <c r="AA68" s="110">
        <f t="shared" si="47"/>
        <v>64800</v>
      </c>
      <c r="AB68" s="99"/>
      <c r="AC68">
        <f t="shared" si="48"/>
        <v>0</v>
      </c>
      <c r="AD68">
        <f t="shared" si="37"/>
        <v>0</v>
      </c>
      <c r="AE68">
        <f t="shared" si="43"/>
        <v>0</v>
      </c>
      <c r="AF68">
        <v>0</v>
      </c>
      <c r="AG68">
        <v>0</v>
      </c>
      <c r="AH68">
        <f t="shared" si="49"/>
        <v>-64800</v>
      </c>
    </row>
    <row r="69" spans="2:34" x14ac:dyDescent="0.3">
      <c r="B69" s="42">
        <v>43586</v>
      </c>
      <c r="C69" s="129">
        <f t="shared" si="50"/>
        <v>17.978000000000012</v>
      </c>
      <c r="D69">
        <f t="shared" si="27"/>
        <v>5966.4000000000005</v>
      </c>
      <c r="F69" s="43">
        <f t="shared" si="6"/>
        <v>5966.4000000000005</v>
      </c>
      <c r="G69" s="44">
        <f t="shared" si="3"/>
        <v>89.496000000000009</v>
      </c>
      <c r="H69">
        <v>16</v>
      </c>
      <c r="L69">
        <v>21</v>
      </c>
      <c r="M69">
        <f t="shared" si="30"/>
        <v>64</v>
      </c>
      <c r="N69">
        <f t="shared" si="31"/>
        <v>61</v>
      </c>
      <c r="O69">
        <v>21</v>
      </c>
      <c r="P69">
        <v>2030</v>
      </c>
      <c r="Q69">
        <f t="shared" si="42"/>
        <v>235676.76669424906</v>
      </c>
      <c r="R69" s="97">
        <v>0</v>
      </c>
      <c r="S69" s="98"/>
      <c r="T69" s="99">
        <f t="shared" si="44"/>
        <v>0</v>
      </c>
      <c r="U69" s="97">
        <v>0</v>
      </c>
      <c r="V69" s="98"/>
      <c r="W69" s="99">
        <f t="shared" si="45"/>
        <v>0</v>
      </c>
      <c r="X69" s="104">
        <f t="shared" si="34"/>
        <v>0</v>
      </c>
      <c r="Y69" s="97">
        <f t="shared" si="46"/>
        <v>1500</v>
      </c>
      <c r="Z69" s="107">
        <f t="shared" si="46"/>
        <v>1500</v>
      </c>
      <c r="AA69" s="110">
        <f t="shared" si="47"/>
        <v>64800</v>
      </c>
      <c r="AB69" s="99"/>
      <c r="AC69">
        <f t="shared" si="48"/>
        <v>0</v>
      </c>
      <c r="AD69">
        <f t="shared" si="37"/>
        <v>0</v>
      </c>
      <c r="AE69">
        <f t="shared" si="43"/>
        <v>0</v>
      </c>
      <c r="AF69">
        <v>0</v>
      </c>
      <c r="AG69">
        <v>0</v>
      </c>
      <c r="AH69">
        <f t="shared" si="49"/>
        <v>-64800</v>
      </c>
    </row>
    <row r="70" spans="2:34" x14ac:dyDescent="0.3">
      <c r="B70" s="42">
        <v>43617</v>
      </c>
      <c r="C70" s="129">
        <f t="shared" si="50"/>
        <v>18.171280000000014</v>
      </c>
      <c r="D70">
        <f t="shared" si="27"/>
        <v>5966.4000000000005</v>
      </c>
      <c r="F70" s="43">
        <f t="shared" si="6"/>
        <v>5966.4000000000005</v>
      </c>
      <c r="G70" s="44">
        <f t="shared" si="3"/>
        <v>89.496000000000009</v>
      </c>
      <c r="H70">
        <v>16</v>
      </c>
      <c r="L70">
        <v>22</v>
      </c>
      <c r="M70" s="93">
        <f t="shared" si="30"/>
        <v>65</v>
      </c>
      <c r="N70">
        <f t="shared" si="31"/>
        <v>62</v>
      </c>
      <c r="O70">
        <v>22</v>
      </c>
      <c r="P70">
        <v>2031</v>
      </c>
      <c r="Q70">
        <f t="shared" si="42"/>
        <v>177497.06969507653</v>
      </c>
      <c r="R70" s="97">
        <v>0</v>
      </c>
      <c r="S70" s="98"/>
      <c r="T70" s="99">
        <f t="shared" si="44"/>
        <v>0</v>
      </c>
      <c r="U70" s="97">
        <v>0</v>
      </c>
      <c r="V70" s="98"/>
      <c r="W70" s="99">
        <f t="shared" si="45"/>
        <v>0</v>
      </c>
      <c r="X70" s="104">
        <f t="shared" si="34"/>
        <v>0</v>
      </c>
      <c r="Y70" s="97">
        <f t="shared" si="46"/>
        <v>1500</v>
      </c>
      <c r="Z70" s="107">
        <f t="shared" si="46"/>
        <v>1500</v>
      </c>
      <c r="AA70" s="110">
        <f t="shared" si="47"/>
        <v>64800</v>
      </c>
      <c r="AB70" s="99"/>
      <c r="AC70">
        <f t="shared" si="48"/>
        <v>0</v>
      </c>
      <c r="AD70">
        <f t="shared" si="37"/>
        <v>0</v>
      </c>
      <c r="AE70">
        <f t="shared" si="43"/>
        <v>0</v>
      </c>
      <c r="AF70">
        <v>0</v>
      </c>
      <c r="AG70">
        <v>0</v>
      </c>
      <c r="AH70">
        <f t="shared" si="49"/>
        <v>-64800</v>
      </c>
    </row>
    <row r="71" spans="2:34" x14ac:dyDescent="0.3">
      <c r="B71" s="42">
        <v>43647</v>
      </c>
      <c r="C71" s="129">
        <f t="shared" si="50"/>
        <v>18.364560000000015</v>
      </c>
      <c r="D71">
        <f t="shared" si="27"/>
        <v>5966.4000000000005</v>
      </c>
      <c r="F71" s="43">
        <f t="shared" si="6"/>
        <v>5966.4000000000005</v>
      </c>
      <c r="G71" s="44">
        <f t="shared" si="3"/>
        <v>89.496000000000009</v>
      </c>
      <c r="H71">
        <v>16</v>
      </c>
      <c r="L71">
        <v>23</v>
      </c>
      <c r="M71">
        <f t="shared" si="30"/>
        <v>66</v>
      </c>
      <c r="N71">
        <f t="shared" si="31"/>
        <v>63</v>
      </c>
      <c r="O71">
        <v>23</v>
      </c>
      <c r="P71">
        <v>2032</v>
      </c>
      <c r="Q71">
        <f t="shared" si="42"/>
        <v>117571.98178592883</v>
      </c>
      <c r="R71" s="97">
        <v>0</v>
      </c>
      <c r="S71" s="98"/>
      <c r="T71" s="99">
        <f t="shared" si="44"/>
        <v>0</v>
      </c>
      <c r="U71" s="97">
        <v>0</v>
      </c>
      <c r="V71" s="98"/>
      <c r="W71" s="99">
        <f t="shared" si="45"/>
        <v>0</v>
      </c>
      <c r="X71" s="104">
        <f t="shared" si="34"/>
        <v>0</v>
      </c>
      <c r="Y71" s="97">
        <f t="shared" si="46"/>
        <v>1500</v>
      </c>
      <c r="Z71" s="107">
        <f t="shared" si="46"/>
        <v>1500</v>
      </c>
      <c r="AA71" s="110">
        <f>Y71*1.8*6+Z71*1.8*12</f>
        <v>48600</v>
      </c>
      <c r="AB71" s="99"/>
      <c r="AC71">
        <f t="shared" si="48"/>
        <v>0</v>
      </c>
      <c r="AD71">
        <f t="shared" si="37"/>
        <v>0</v>
      </c>
      <c r="AE71">
        <f t="shared" si="43"/>
        <v>0</v>
      </c>
      <c r="AF71">
        <v>0</v>
      </c>
      <c r="AG71">
        <v>0</v>
      </c>
      <c r="AH71">
        <f t="shared" si="49"/>
        <v>-48600</v>
      </c>
    </row>
    <row r="72" spans="2:34" x14ac:dyDescent="0.3">
      <c r="B72" s="42">
        <v>43678</v>
      </c>
      <c r="C72" s="129">
        <f t="shared" si="50"/>
        <v>18.557840000000017</v>
      </c>
      <c r="D72">
        <f t="shared" si="27"/>
        <v>5966.4000000000005</v>
      </c>
      <c r="F72" s="43">
        <f t="shared" si="6"/>
        <v>5966.4000000000005</v>
      </c>
      <c r="G72" s="44">
        <f t="shared" si="3"/>
        <v>89.496000000000009</v>
      </c>
      <c r="H72">
        <v>16</v>
      </c>
      <c r="L72">
        <v>24</v>
      </c>
      <c r="M72">
        <f t="shared" si="30"/>
        <v>67</v>
      </c>
      <c r="N72">
        <f t="shared" si="31"/>
        <v>64</v>
      </c>
      <c r="O72">
        <v>24</v>
      </c>
      <c r="P72">
        <v>2033</v>
      </c>
      <c r="Q72">
        <f t="shared" si="42"/>
        <v>72049.141239506702</v>
      </c>
      <c r="R72" s="97">
        <v>0</v>
      </c>
      <c r="S72" s="98"/>
      <c r="T72" s="99">
        <f t="shared" si="44"/>
        <v>0</v>
      </c>
      <c r="U72" s="97">
        <v>0</v>
      </c>
      <c r="V72" s="98"/>
      <c r="W72" s="99">
        <f t="shared" si="45"/>
        <v>0</v>
      </c>
      <c r="X72" s="104">
        <f t="shared" si="34"/>
        <v>0</v>
      </c>
      <c r="Y72" s="97">
        <v>0</v>
      </c>
      <c r="Z72" s="107">
        <f t="shared" si="46"/>
        <v>1500</v>
      </c>
      <c r="AA72" s="110">
        <f>((Y72+Z72)*1.8*12)</f>
        <v>32400</v>
      </c>
      <c r="AB72" s="99"/>
      <c r="AC72">
        <f t="shared" si="48"/>
        <v>0</v>
      </c>
      <c r="AD72">
        <f t="shared" si="37"/>
        <v>0</v>
      </c>
      <c r="AE72">
        <f t="shared" si="43"/>
        <v>0</v>
      </c>
      <c r="AF72">
        <v>0</v>
      </c>
      <c r="AG72">
        <v>0</v>
      </c>
      <c r="AH72">
        <f t="shared" si="49"/>
        <v>-32400</v>
      </c>
    </row>
    <row r="73" spans="2:34" ht="15" thickBot="1" x14ac:dyDescent="0.35">
      <c r="B73" s="42">
        <v>43709</v>
      </c>
      <c r="C73" s="129">
        <f t="shared" si="50"/>
        <v>18.751120000000018</v>
      </c>
      <c r="D73">
        <f t="shared" si="27"/>
        <v>5966.4000000000005</v>
      </c>
      <c r="F73" s="43">
        <f t="shared" si="6"/>
        <v>5966.4000000000005</v>
      </c>
      <c r="G73" s="44">
        <f t="shared" si="3"/>
        <v>89.496000000000009</v>
      </c>
      <c r="H73">
        <v>16</v>
      </c>
      <c r="L73">
        <v>25</v>
      </c>
      <c r="M73">
        <f t="shared" si="30"/>
        <v>68</v>
      </c>
      <c r="N73" s="93">
        <f t="shared" si="31"/>
        <v>65</v>
      </c>
      <c r="O73">
        <v>25</v>
      </c>
      <c r="P73">
        <v>2034</v>
      </c>
      <c r="Q73">
        <f t="shared" si="42"/>
        <v>41360.615476691906</v>
      </c>
      <c r="R73" s="100">
        <v>0</v>
      </c>
      <c r="S73" s="101"/>
      <c r="T73" s="102">
        <f t="shared" si="44"/>
        <v>0</v>
      </c>
      <c r="U73" s="100">
        <v>0</v>
      </c>
      <c r="V73" s="101"/>
      <c r="W73" s="102">
        <f t="shared" si="45"/>
        <v>0</v>
      </c>
      <c r="X73" s="105">
        <f t="shared" si="34"/>
        <v>0</v>
      </c>
      <c r="Y73" s="100">
        <v>0</v>
      </c>
      <c r="Z73" s="108">
        <f t="shared" si="46"/>
        <v>1500</v>
      </c>
      <c r="AA73" s="111">
        <f>((Y73+Z73)*1.8*12)</f>
        <v>32400</v>
      </c>
      <c r="AB73" s="102"/>
      <c r="AC73">
        <f t="shared" si="48"/>
        <v>0</v>
      </c>
      <c r="AD73">
        <f t="shared" si="37"/>
        <v>0</v>
      </c>
      <c r="AE73">
        <f t="shared" si="43"/>
        <v>0</v>
      </c>
      <c r="AF73">
        <v>0</v>
      </c>
      <c r="AG73">
        <v>0</v>
      </c>
      <c r="AH73">
        <f t="shared" si="49"/>
        <v>-32400</v>
      </c>
    </row>
    <row r="74" spans="2:34" x14ac:dyDescent="0.3">
      <c r="B74" s="42">
        <v>43739</v>
      </c>
      <c r="C74" s="129">
        <f t="shared" si="50"/>
        <v>18.944400000000019</v>
      </c>
      <c r="D74">
        <f t="shared" si="27"/>
        <v>5966.4000000000005</v>
      </c>
      <c r="F74" s="43">
        <f t="shared" si="6"/>
        <v>5966.4000000000005</v>
      </c>
      <c r="G74" s="44">
        <f t="shared" si="3"/>
        <v>89.496000000000009</v>
      </c>
      <c r="H74">
        <v>16</v>
      </c>
      <c r="M74">
        <f t="shared" si="30"/>
        <v>69</v>
      </c>
      <c r="N74">
        <f t="shared" si="31"/>
        <v>66</v>
      </c>
      <c r="O74">
        <v>26</v>
      </c>
      <c r="P74">
        <v>2035</v>
      </c>
      <c r="Q74">
        <f>Q73+MAX(0,Q73-15000)*0.03+AH73</f>
        <v>9751.4339409926615</v>
      </c>
    </row>
    <row r="75" spans="2:34" x14ac:dyDescent="0.3">
      <c r="B75" s="42">
        <v>43770</v>
      </c>
      <c r="C75" s="129">
        <f t="shared" si="50"/>
        <v>19.137680000000021</v>
      </c>
      <c r="D75">
        <f t="shared" si="27"/>
        <v>5966.4000000000005</v>
      </c>
      <c r="F75" s="43">
        <f t="shared" si="6"/>
        <v>5966.4000000000005</v>
      </c>
      <c r="G75" s="44">
        <f t="shared" si="3"/>
        <v>89.496000000000009</v>
      </c>
      <c r="H75">
        <v>16</v>
      </c>
      <c r="M75">
        <f t="shared" si="30"/>
        <v>70</v>
      </c>
      <c r="N75">
        <f t="shared" si="31"/>
        <v>67</v>
      </c>
      <c r="O75">
        <v>27</v>
      </c>
      <c r="P75">
        <v>2036</v>
      </c>
      <c r="Q75">
        <f>Q74+MAX(0,Q74-15000)*0.03+AH74</f>
        <v>9751.4339409926615</v>
      </c>
    </row>
    <row r="76" spans="2:34" x14ac:dyDescent="0.3">
      <c r="B76" s="42">
        <v>43800</v>
      </c>
      <c r="C76" s="129">
        <f t="shared" si="50"/>
        <v>19.330960000000022</v>
      </c>
      <c r="D76">
        <f t="shared" si="27"/>
        <v>5966.4000000000005</v>
      </c>
      <c r="F76" s="43">
        <f t="shared" si="6"/>
        <v>5966.4000000000005</v>
      </c>
      <c r="G76" s="44">
        <f t="shared" si="3"/>
        <v>89.496000000000009</v>
      </c>
      <c r="H76">
        <v>16</v>
      </c>
      <c r="M76">
        <f t="shared" si="30"/>
        <v>71</v>
      </c>
      <c r="N76">
        <f t="shared" si="31"/>
        <v>68</v>
      </c>
      <c r="O76">
        <v>28</v>
      </c>
      <c r="P76">
        <v>2037</v>
      </c>
      <c r="Q76">
        <f>Q75+MAX(0,Q75-15000)*0.03+AH75</f>
        <v>9751.4339409926615</v>
      </c>
    </row>
    <row r="77" spans="2:34" x14ac:dyDescent="0.3">
      <c r="B77" s="42">
        <v>43831</v>
      </c>
      <c r="C77" s="129">
        <f t="shared" si="50"/>
        <v>19.524240000000024</v>
      </c>
      <c r="D77">
        <f t="shared" si="27"/>
        <v>5966.4000000000005</v>
      </c>
      <c r="F77" s="43">
        <f>SUM(D66:D77)/12</f>
        <v>5966.4000000000005</v>
      </c>
      <c r="G77" s="44">
        <f t="shared" ref="G77:G83" si="51">F77*1.25*12/1000</f>
        <v>89.496000000000009</v>
      </c>
      <c r="H77">
        <v>16</v>
      </c>
      <c r="M77">
        <f t="shared" si="30"/>
        <v>72</v>
      </c>
      <c r="N77">
        <f t="shared" si="31"/>
        <v>69</v>
      </c>
      <c r="O77">
        <v>29</v>
      </c>
      <c r="P77">
        <v>2038</v>
      </c>
      <c r="Q77">
        <f>Q76+MAX(0,Q76-15000)*0.03+AH76</f>
        <v>9751.4339409926615</v>
      </c>
    </row>
    <row r="78" spans="2:34" x14ac:dyDescent="0.3">
      <c r="B78" s="130">
        <v>43862</v>
      </c>
      <c r="C78" s="129">
        <f t="shared" ref="C78:C91" si="52">(D78-$P$1)/$P$1+C77</f>
        <v>19.928720000000023</v>
      </c>
      <c r="D78">
        <f>I$17*H78+E78</f>
        <v>7022.4000000000005</v>
      </c>
      <c r="F78" s="43">
        <f t="shared" ref="F78:F83" si="53">SUM(D67:D78)/12</f>
        <v>6054.4000000000005</v>
      </c>
      <c r="G78" s="44">
        <f t="shared" si="51"/>
        <v>90.816000000000017</v>
      </c>
      <c r="H78">
        <v>16</v>
      </c>
    </row>
    <row r="79" spans="2:34" x14ac:dyDescent="0.3">
      <c r="B79" s="42">
        <v>43891</v>
      </c>
      <c r="C79" s="129">
        <f t="shared" si="52"/>
        <v>20.333200000000023</v>
      </c>
      <c r="D79">
        <f t="shared" ref="D79:D91" si="54">I$17*H79+E79</f>
        <v>7022.4000000000005</v>
      </c>
      <c r="F79" s="43">
        <f t="shared" si="53"/>
        <v>6142.4000000000005</v>
      </c>
      <c r="G79" s="44">
        <f t="shared" si="51"/>
        <v>92.13600000000001</v>
      </c>
      <c r="H79">
        <v>16</v>
      </c>
    </row>
    <row r="80" spans="2:34" x14ac:dyDescent="0.3">
      <c r="B80" s="42">
        <v>43922</v>
      </c>
      <c r="C80" s="129">
        <f t="shared" si="52"/>
        <v>20.737680000000022</v>
      </c>
      <c r="D80">
        <f t="shared" si="54"/>
        <v>7022.4000000000005</v>
      </c>
      <c r="F80" s="43">
        <f t="shared" si="53"/>
        <v>6230.4000000000005</v>
      </c>
      <c r="G80" s="44">
        <f t="shared" si="51"/>
        <v>93.456000000000017</v>
      </c>
      <c r="H80">
        <v>16</v>
      </c>
    </row>
    <row r="81" spans="2:8" x14ac:dyDescent="0.3">
      <c r="B81" s="42">
        <v>43952</v>
      </c>
      <c r="C81" s="129">
        <f t="shared" si="52"/>
        <v>21.142160000000022</v>
      </c>
      <c r="D81">
        <f t="shared" si="54"/>
        <v>7022.4000000000005</v>
      </c>
      <c r="F81" s="43">
        <f t="shared" si="53"/>
        <v>6318.4000000000005</v>
      </c>
      <c r="G81" s="44">
        <f t="shared" si="51"/>
        <v>94.77600000000001</v>
      </c>
      <c r="H81">
        <v>16</v>
      </c>
    </row>
    <row r="82" spans="2:8" x14ac:dyDescent="0.3">
      <c r="B82" s="42">
        <v>43983</v>
      </c>
      <c r="C82" s="129">
        <f t="shared" si="52"/>
        <v>21.546640000000021</v>
      </c>
      <c r="D82">
        <f t="shared" si="54"/>
        <v>7022.4000000000005</v>
      </c>
      <c r="F82" s="43">
        <f t="shared" si="53"/>
        <v>6406.4000000000005</v>
      </c>
      <c r="G82" s="44">
        <f t="shared" si="51"/>
        <v>96.096000000000018</v>
      </c>
      <c r="H82">
        <v>16</v>
      </c>
    </row>
    <row r="83" spans="2:8" x14ac:dyDescent="0.3">
      <c r="B83" s="42">
        <v>44013</v>
      </c>
      <c r="C83" s="129">
        <f t="shared" si="52"/>
        <v>21.951120000000021</v>
      </c>
      <c r="D83">
        <f t="shared" si="54"/>
        <v>7022.4000000000005</v>
      </c>
      <c r="F83" s="43">
        <f t="shared" si="53"/>
        <v>6494.4000000000005</v>
      </c>
      <c r="G83" s="44">
        <f t="shared" si="51"/>
        <v>97.416000000000011</v>
      </c>
      <c r="H83">
        <v>16</v>
      </c>
    </row>
    <row r="84" spans="2:8" x14ac:dyDescent="0.3">
      <c r="B84" s="42">
        <v>44044</v>
      </c>
      <c r="C84" s="129">
        <f t="shared" si="52"/>
        <v>22.35560000000002</v>
      </c>
      <c r="D84">
        <f t="shared" si="54"/>
        <v>7022.4000000000005</v>
      </c>
      <c r="F84" s="43">
        <f>SUM(D73:D84)/12</f>
        <v>6582.4000000000005</v>
      </c>
      <c r="G84" s="44">
        <f t="shared" ref="G84:G95" si="55">F84*1.25*12/1000</f>
        <v>98.736000000000004</v>
      </c>
      <c r="H84">
        <v>16</v>
      </c>
    </row>
    <row r="85" spans="2:8" x14ac:dyDescent="0.3">
      <c r="B85" s="42">
        <v>44075</v>
      </c>
      <c r="C85" s="129">
        <f t="shared" si="52"/>
        <v>22.76008000000002</v>
      </c>
      <c r="D85">
        <f t="shared" si="54"/>
        <v>7022.4000000000005</v>
      </c>
      <c r="F85" s="43">
        <f t="shared" ref="F85:F90" si="56">SUM(D74:D85)/12</f>
        <v>6670.3999999999987</v>
      </c>
      <c r="G85" s="44">
        <f t="shared" si="55"/>
        <v>100.05599999999997</v>
      </c>
      <c r="H85">
        <v>16</v>
      </c>
    </row>
    <row r="86" spans="2:8" x14ac:dyDescent="0.3">
      <c r="B86" s="42">
        <v>44105</v>
      </c>
      <c r="C86" s="129">
        <f t="shared" si="52"/>
        <v>23.164560000000019</v>
      </c>
      <c r="D86">
        <f t="shared" si="54"/>
        <v>7022.4000000000005</v>
      </c>
      <c r="F86" s="43">
        <f t="shared" si="56"/>
        <v>6758.3999999999987</v>
      </c>
      <c r="G86" s="44">
        <f t="shared" si="55"/>
        <v>101.37599999999998</v>
      </c>
      <c r="H86">
        <v>16</v>
      </c>
    </row>
    <row r="87" spans="2:8" x14ac:dyDescent="0.3">
      <c r="B87" s="42">
        <v>44136</v>
      </c>
      <c r="C87" s="129">
        <f t="shared" si="52"/>
        <v>23.569040000000019</v>
      </c>
      <c r="D87">
        <f t="shared" si="54"/>
        <v>7022.4000000000005</v>
      </c>
      <c r="F87" s="43">
        <f t="shared" si="56"/>
        <v>6846.3999999999987</v>
      </c>
      <c r="G87" s="44">
        <f t="shared" si="55"/>
        <v>102.69599999999997</v>
      </c>
      <c r="H87">
        <v>16</v>
      </c>
    </row>
    <row r="88" spans="2:8" x14ac:dyDescent="0.3">
      <c r="B88" s="42">
        <v>44166</v>
      </c>
      <c r="C88" s="129">
        <f t="shared" si="52"/>
        <v>23.973520000000018</v>
      </c>
      <c r="D88">
        <f t="shared" si="54"/>
        <v>7022.4000000000005</v>
      </c>
      <c r="F88" s="43">
        <f t="shared" si="56"/>
        <v>6934.3999999999987</v>
      </c>
      <c r="G88" s="44">
        <f t="shared" si="55"/>
        <v>104.01599999999998</v>
      </c>
      <c r="H88">
        <v>16</v>
      </c>
    </row>
    <row r="89" spans="2:8" x14ac:dyDescent="0.3">
      <c r="B89" s="42">
        <v>44197</v>
      </c>
      <c r="C89" s="129">
        <f t="shared" si="52"/>
        <v>24.378000000000018</v>
      </c>
      <c r="D89">
        <f t="shared" si="54"/>
        <v>7022.4000000000005</v>
      </c>
      <c r="F89" s="43">
        <f t="shared" si="56"/>
        <v>7022.3999999999987</v>
      </c>
      <c r="G89" s="44">
        <f t="shared" si="55"/>
        <v>105.33599999999997</v>
      </c>
      <c r="H89">
        <v>16</v>
      </c>
    </row>
    <row r="90" spans="2:8" x14ac:dyDescent="0.3">
      <c r="B90" s="42">
        <v>44228</v>
      </c>
      <c r="C90" s="129">
        <f t="shared" si="52"/>
        <v>24.782480000000017</v>
      </c>
      <c r="D90">
        <f t="shared" si="54"/>
        <v>7022.4000000000005</v>
      </c>
      <c r="F90" s="43">
        <f t="shared" si="56"/>
        <v>7022.3999999999987</v>
      </c>
      <c r="G90" s="44">
        <f t="shared" si="55"/>
        <v>105.33599999999997</v>
      </c>
      <c r="H90">
        <v>16</v>
      </c>
    </row>
    <row r="91" spans="2:8" x14ac:dyDescent="0.3">
      <c r="B91" s="42">
        <v>44256</v>
      </c>
      <c r="C91" s="129">
        <f t="shared" si="52"/>
        <v>25.186960000000017</v>
      </c>
      <c r="D91">
        <f t="shared" si="54"/>
        <v>7022.4000000000005</v>
      </c>
      <c r="F91" s="43">
        <f t="shared" ref="F91:F96" si="57">SUM(D80:D91)/12</f>
        <v>7022.3999999999987</v>
      </c>
      <c r="G91" s="44">
        <f t="shared" si="55"/>
        <v>105.33599999999997</v>
      </c>
      <c r="H91">
        <v>16</v>
      </c>
    </row>
    <row r="92" spans="2:8" x14ac:dyDescent="0.3">
      <c r="B92" s="42">
        <v>44287</v>
      </c>
      <c r="C92" s="129">
        <f t="shared" ref="C92:C121" si="58">(D92-$P$1)/$P$1+C91</f>
        <v>25.591440000000016</v>
      </c>
      <c r="D92">
        <f t="shared" ref="D92:D113" si="59">I$17*H92+E92</f>
        <v>7022.4000000000005</v>
      </c>
      <c r="F92" s="43">
        <f t="shared" si="57"/>
        <v>7022.3999999999987</v>
      </c>
      <c r="G92" s="44">
        <f t="shared" si="55"/>
        <v>105.33599999999997</v>
      </c>
      <c r="H92">
        <v>16</v>
      </c>
    </row>
    <row r="93" spans="2:8" x14ac:dyDescent="0.3">
      <c r="B93" s="42">
        <v>44317</v>
      </c>
      <c r="C93" s="129">
        <f t="shared" si="58"/>
        <v>25.995920000000016</v>
      </c>
      <c r="D93">
        <f t="shared" si="59"/>
        <v>7022.4000000000005</v>
      </c>
      <c r="F93" s="43">
        <f t="shared" si="57"/>
        <v>7022.3999999999987</v>
      </c>
      <c r="G93" s="44">
        <f t="shared" si="55"/>
        <v>105.33599999999997</v>
      </c>
      <c r="H93">
        <v>16</v>
      </c>
    </row>
    <row r="94" spans="2:8" x14ac:dyDescent="0.3">
      <c r="B94" s="42">
        <v>44348</v>
      </c>
      <c r="C94" s="129">
        <f t="shared" si="58"/>
        <v>26.400400000000015</v>
      </c>
      <c r="D94">
        <f t="shared" si="59"/>
        <v>7022.4000000000005</v>
      </c>
      <c r="F94" s="43">
        <f t="shared" si="57"/>
        <v>7022.3999999999987</v>
      </c>
      <c r="G94" s="44">
        <f t="shared" si="55"/>
        <v>105.33599999999997</v>
      </c>
      <c r="H94">
        <v>16</v>
      </c>
    </row>
    <row r="95" spans="2:8" x14ac:dyDescent="0.3">
      <c r="B95" s="42">
        <v>44378</v>
      </c>
      <c r="C95" s="129">
        <f t="shared" si="58"/>
        <v>26.804880000000015</v>
      </c>
      <c r="D95">
        <f t="shared" si="59"/>
        <v>7022.4000000000005</v>
      </c>
      <c r="F95" s="43">
        <f t="shared" si="57"/>
        <v>7022.3999999999987</v>
      </c>
      <c r="G95" s="44">
        <f t="shared" si="55"/>
        <v>105.33599999999997</v>
      </c>
      <c r="H95">
        <v>16</v>
      </c>
    </row>
    <row r="96" spans="2:8" x14ac:dyDescent="0.3">
      <c r="B96" s="42">
        <v>44409</v>
      </c>
      <c r="C96" s="129">
        <f t="shared" si="58"/>
        <v>27.209360000000014</v>
      </c>
      <c r="D96">
        <f t="shared" si="59"/>
        <v>7022.4000000000005</v>
      </c>
      <c r="F96" s="43">
        <f t="shared" si="57"/>
        <v>7022.3999999999987</v>
      </c>
      <c r="G96" s="44">
        <f t="shared" ref="G96:G122" si="60">F96*1.25*12/1000</f>
        <v>105.33599999999997</v>
      </c>
      <c r="H96">
        <v>16</v>
      </c>
    </row>
    <row r="97" spans="2:8" x14ac:dyDescent="0.3">
      <c r="B97" s="42">
        <v>44440</v>
      </c>
      <c r="C97" s="129">
        <f t="shared" si="58"/>
        <v>27.613840000000014</v>
      </c>
      <c r="D97">
        <f t="shared" si="59"/>
        <v>7022.4000000000005</v>
      </c>
      <c r="F97" s="43">
        <f t="shared" ref="F97:F102" si="61">SUM(D86:D97)/12</f>
        <v>7022.3999999999987</v>
      </c>
      <c r="G97" s="44">
        <f t="shared" si="60"/>
        <v>105.33599999999997</v>
      </c>
      <c r="H97">
        <v>16</v>
      </c>
    </row>
    <row r="98" spans="2:8" x14ac:dyDescent="0.3">
      <c r="B98" s="42">
        <v>44470</v>
      </c>
      <c r="C98" s="129">
        <f t="shared" si="58"/>
        <v>28.018320000000013</v>
      </c>
      <c r="D98">
        <f t="shared" si="59"/>
        <v>7022.4000000000005</v>
      </c>
      <c r="F98" s="43">
        <f t="shared" si="61"/>
        <v>7022.3999999999987</v>
      </c>
      <c r="G98" s="44">
        <f t="shared" si="60"/>
        <v>105.33599999999997</v>
      </c>
      <c r="H98">
        <v>16</v>
      </c>
    </row>
    <row r="99" spans="2:8" x14ac:dyDescent="0.3">
      <c r="B99" s="42">
        <v>44501</v>
      </c>
      <c r="C99" s="129">
        <f t="shared" si="58"/>
        <v>28.422800000000013</v>
      </c>
      <c r="D99">
        <f t="shared" si="59"/>
        <v>7022.4000000000005</v>
      </c>
      <c r="F99" s="43">
        <f t="shared" si="61"/>
        <v>7022.3999999999987</v>
      </c>
      <c r="G99" s="44">
        <f t="shared" si="60"/>
        <v>105.33599999999997</v>
      </c>
      <c r="H99">
        <v>16</v>
      </c>
    </row>
    <row r="100" spans="2:8" x14ac:dyDescent="0.3">
      <c r="B100" s="42">
        <v>44531</v>
      </c>
      <c r="C100" s="129">
        <f t="shared" si="58"/>
        <v>28.827280000000012</v>
      </c>
      <c r="D100">
        <f t="shared" si="59"/>
        <v>7022.4000000000005</v>
      </c>
      <c r="F100" s="43">
        <f t="shared" si="61"/>
        <v>7022.3999999999987</v>
      </c>
      <c r="G100" s="44">
        <f t="shared" si="60"/>
        <v>105.33599999999997</v>
      </c>
      <c r="H100">
        <v>16</v>
      </c>
    </row>
    <row r="101" spans="2:8" x14ac:dyDescent="0.3">
      <c r="B101" s="42">
        <v>44562</v>
      </c>
      <c r="C101" s="129">
        <f t="shared" si="58"/>
        <v>29.231760000000012</v>
      </c>
      <c r="D101">
        <f t="shared" si="59"/>
        <v>7022.4000000000005</v>
      </c>
      <c r="F101" s="43">
        <f t="shared" si="61"/>
        <v>7022.3999999999987</v>
      </c>
      <c r="G101" s="44">
        <f t="shared" si="60"/>
        <v>105.33599999999997</v>
      </c>
      <c r="H101">
        <v>16</v>
      </c>
    </row>
    <row r="102" spans="2:8" x14ac:dyDescent="0.3">
      <c r="B102" s="42">
        <v>44593</v>
      </c>
      <c r="C102" s="129">
        <f t="shared" si="58"/>
        <v>29.636240000000011</v>
      </c>
      <c r="D102">
        <f t="shared" si="59"/>
        <v>7022.4000000000005</v>
      </c>
      <c r="F102" s="43">
        <f t="shared" si="61"/>
        <v>7022.3999999999987</v>
      </c>
      <c r="G102" s="44">
        <f t="shared" si="60"/>
        <v>105.33599999999997</v>
      </c>
      <c r="H102">
        <v>16</v>
      </c>
    </row>
    <row r="103" spans="2:8" x14ac:dyDescent="0.3">
      <c r="B103" s="42">
        <v>44621</v>
      </c>
      <c r="C103" s="129">
        <f t="shared" si="58"/>
        <v>30.040720000000011</v>
      </c>
      <c r="D103">
        <f t="shared" si="59"/>
        <v>7022.4000000000005</v>
      </c>
      <c r="F103" s="43">
        <f t="shared" ref="F103:F114" si="62">SUM(D92:D103)/12</f>
        <v>7022.3999999999987</v>
      </c>
      <c r="G103" s="44">
        <f t="shared" si="60"/>
        <v>105.33599999999997</v>
      </c>
      <c r="H103">
        <v>16</v>
      </c>
    </row>
    <row r="104" spans="2:8" x14ac:dyDescent="0.3">
      <c r="B104" s="42">
        <v>44652</v>
      </c>
      <c r="C104" s="129">
        <f t="shared" si="58"/>
        <v>30.44520000000001</v>
      </c>
      <c r="D104">
        <f t="shared" si="59"/>
        <v>7022.4000000000005</v>
      </c>
      <c r="F104" s="43">
        <f t="shared" si="62"/>
        <v>7022.3999999999987</v>
      </c>
      <c r="G104" s="44">
        <f t="shared" si="60"/>
        <v>105.33599999999997</v>
      </c>
      <c r="H104">
        <v>16</v>
      </c>
    </row>
    <row r="105" spans="2:8" x14ac:dyDescent="0.3">
      <c r="B105" s="42">
        <v>44682</v>
      </c>
      <c r="C105" s="129">
        <f t="shared" si="58"/>
        <v>30.84968000000001</v>
      </c>
      <c r="D105">
        <f t="shared" si="59"/>
        <v>7022.4000000000005</v>
      </c>
      <c r="F105" s="43">
        <f t="shared" si="62"/>
        <v>7022.3999999999987</v>
      </c>
      <c r="G105" s="44">
        <f t="shared" si="60"/>
        <v>105.33599999999997</v>
      </c>
      <c r="H105">
        <v>16</v>
      </c>
    </row>
    <row r="106" spans="2:8" x14ac:dyDescent="0.3">
      <c r="B106" s="42">
        <v>44713</v>
      </c>
      <c r="C106" s="129">
        <f t="shared" si="58"/>
        <v>31.254160000000009</v>
      </c>
      <c r="D106">
        <f t="shared" si="59"/>
        <v>7022.4000000000005</v>
      </c>
      <c r="F106" s="43">
        <f t="shared" si="62"/>
        <v>7022.3999999999987</v>
      </c>
      <c r="G106" s="44">
        <f t="shared" si="60"/>
        <v>105.33599999999997</v>
      </c>
      <c r="H106">
        <v>16</v>
      </c>
    </row>
    <row r="107" spans="2:8" x14ac:dyDescent="0.3">
      <c r="B107" s="42">
        <v>44743</v>
      </c>
      <c r="C107" s="129">
        <f t="shared" si="58"/>
        <v>31.658640000000009</v>
      </c>
      <c r="D107">
        <f t="shared" si="59"/>
        <v>7022.4000000000005</v>
      </c>
      <c r="F107" s="43">
        <f t="shared" si="62"/>
        <v>7022.3999999999987</v>
      </c>
      <c r="G107" s="44">
        <f t="shared" si="60"/>
        <v>105.33599999999997</v>
      </c>
      <c r="H107">
        <v>16</v>
      </c>
    </row>
    <row r="108" spans="2:8" x14ac:dyDescent="0.3">
      <c r="B108" s="42">
        <v>44774</v>
      </c>
      <c r="C108" s="129">
        <f t="shared" si="58"/>
        <v>32.063120000000012</v>
      </c>
      <c r="D108">
        <f t="shared" si="59"/>
        <v>7022.4000000000005</v>
      </c>
      <c r="F108" s="43">
        <f t="shared" si="62"/>
        <v>7022.3999999999987</v>
      </c>
      <c r="G108" s="44">
        <f t="shared" si="60"/>
        <v>105.33599999999997</v>
      </c>
      <c r="H108">
        <v>16</v>
      </c>
    </row>
    <row r="109" spans="2:8" x14ac:dyDescent="0.3">
      <c r="B109" s="42">
        <v>44805</v>
      </c>
      <c r="C109" s="129">
        <f t="shared" si="58"/>
        <v>32.467600000000012</v>
      </c>
      <c r="D109">
        <f t="shared" si="59"/>
        <v>7022.4000000000005</v>
      </c>
      <c r="F109" s="43">
        <f t="shared" si="62"/>
        <v>7022.3999999999987</v>
      </c>
      <c r="G109" s="44">
        <f t="shared" si="60"/>
        <v>105.33599999999997</v>
      </c>
      <c r="H109">
        <v>16</v>
      </c>
    </row>
    <row r="110" spans="2:8" x14ac:dyDescent="0.3">
      <c r="B110" s="42">
        <v>44835</v>
      </c>
      <c r="C110" s="129">
        <f t="shared" si="58"/>
        <v>32.872080000000011</v>
      </c>
      <c r="D110">
        <f t="shared" si="59"/>
        <v>7022.4000000000005</v>
      </c>
      <c r="F110" s="43">
        <f t="shared" si="62"/>
        <v>7022.3999999999987</v>
      </c>
      <c r="G110" s="44">
        <f t="shared" si="60"/>
        <v>105.33599999999997</v>
      </c>
      <c r="H110">
        <v>16</v>
      </c>
    </row>
    <row r="111" spans="2:8" x14ac:dyDescent="0.3">
      <c r="B111" s="42">
        <v>44866</v>
      </c>
      <c r="C111" s="129">
        <f t="shared" si="58"/>
        <v>33.276560000000011</v>
      </c>
      <c r="D111">
        <f t="shared" si="59"/>
        <v>7022.4000000000005</v>
      </c>
      <c r="F111" s="43">
        <f t="shared" si="62"/>
        <v>7022.3999999999987</v>
      </c>
      <c r="G111" s="44">
        <f t="shared" si="60"/>
        <v>105.33599999999997</v>
      </c>
      <c r="H111">
        <v>16</v>
      </c>
    </row>
    <row r="112" spans="2:8" x14ac:dyDescent="0.3">
      <c r="B112" s="42">
        <v>44896</v>
      </c>
      <c r="C112" s="129">
        <f t="shared" si="58"/>
        <v>33.68104000000001</v>
      </c>
      <c r="D112">
        <f t="shared" si="59"/>
        <v>7022.4000000000005</v>
      </c>
      <c r="F112" s="43">
        <f t="shared" si="62"/>
        <v>7022.3999999999987</v>
      </c>
      <c r="G112" s="44">
        <f t="shared" si="60"/>
        <v>105.33599999999997</v>
      </c>
      <c r="H112">
        <v>16</v>
      </c>
    </row>
    <row r="113" spans="2:8" x14ac:dyDescent="0.3">
      <c r="B113" s="42">
        <v>44927</v>
      </c>
      <c r="C113" s="129">
        <f t="shared" si="58"/>
        <v>34.08552000000001</v>
      </c>
      <c r="D113">
        <f t="shared" si="59"/>
        <v>7022.4000000000005</v>
      </c>
      <c r="F113" s="43">
        <f t="shared" si="62"/>
        <v>7022.3999999999987</v>
      </c>
      <c r="G113" s="44">
        <f t="shared" si="60"/>
        <v>105.33599999999997</v>
      </c>
      <c r="H113">
        <v>16</v>
      </c>
    </row>
    <row r="114" spans="2:8" x14ac:dyDescent="0.3">
      <c r="B114" s="130">
        <v>44958</v>
      </c>
      <c r="C114" s="129">
        <f t="shared" si="58"/>
        <v>34.56392000000001</v>
      </c>
      <c r="D114">
        <f>I$18*H114+E114</f>
        <v>7392</v>
      </c>
      <c r="F114" s="43">
        <f t="shared" si="62"/>
        <v>7053.2</v>
      </c>
      <c r="G114" s="44">
        <f t="shared" si="60"/>
        <v>105.798</v>
      </c>
      <c r="H114">
        <v>16</v>
      </c>
    </row>
    <row r="115" spans="2:8" x14ac:dyDescent="0.3">
      <c r="B115" s="42">
        <v>44986</v>
      </c>
      <c r="C115" s="129">
        <f t="shared" si="58"/>
        <v>35.042320000000011</v>
      </c>
      <c r="D115">
        <f t="shared" ref="D115:D122" si="63">I$18*H115+E115</f>
        <v>7392</v>
      </c>
      <c r="F115" s="43">
        <f t="shared" ref="F115:F120" si="64">SUM(D104:D115)/12</f>
        <v>7084</v>
      </c>
      <c r="G115" s="44">
        <f t="shared" si="60"/>
        <v>106.26</v>
      </c>
      <c r="H115">
        <v>16</v>
      </c>
    </row>
    <row r="116" spans="2:8" x14ac:dyDescent="0.3">
      <c r="B116" s="42">
        <v>45017</v>
      </c>
      <c r="C116" s="129">
        <f t="shared" si="58"/>
        <v>35.520720000000011</v>
      </c>
      <c r="D116">
        <f t="shared" si="63"/>
        <v>7392</v>
      </c>
      <c r="F116" s="43">
        <f t="shared" si="64"/>
        <v>7114.8</v>
      </c>
      <c r="G116" s="44">
        <f t="shared" si="60"/>
        <v>106.72199999999999</v>
      </c>
      <c r="H116">
        <v>16</v>
      </c>
    </row>
    <row r="117" spans="2:8" x14ac:dyDescent="0.3">
      <c r="B117" s="42">
        <v>45047</v>
      </c>
      <c r="C117" s="129">
        <f t="shared" si="58"/>
        <v>35.999120000000012</v>
      </c>
      <c r="D117">
        <f t="shared" si="63"/>
        <v>7392</v>
      </c>
      <c r="F117" s="43">
        <f t="shared" si="64"/>
        <v>7145.6000000000013</v>
      </c>
      <c r="G117" s="44">
        <f t="shared" si="60"/>
        <v>107.18400000000003</v>
      </c>
      <c r="H117">
        <v>16</v>
      </c>
    </row>
    <row r="118" spans="2:8" x14ac:dyDescent="0.3">
      <c r="B118" s="42">
        <v>45078</v>
      </c>
      <c r="C118" s="129">
        <f t="shared" si="58"/>
        <v>36.477520000000013</v>
      </c>
      <c r="D118">
        <f t="shared" si="63"/>
        <v>7392</v>
      </c>
      <c r="F118" s="43">
        <f t="shared" si="64"/>
        <v>7176.4000000000005</v>
      </c>
      <c r="G118" s="44">
        <f t="shared" si="60"/>
        <v>107.646</v>
      </c>
      <c r="H118">
        <v>16</v>
      </c>
    </row>
    <row r="119" spans="2:8" x14ac:dyDescent="0.3">
      <c r="B119" s="42">
        <v>45108</v>
      </c>
      <c r="C119" s="129">
        <f t="shared" si="58"/>
        <v>36.955920000000013</v>
      </c>
      <c r="D119">
        <f t="shared" si="63"/>
        <v>7392</v>
      </c>
      <c r="F119" s="43">
        <f t="shared" si="64"/>
        <v>7207.2</v>
      </c>
      <c r="G119" s="44">
        <f t="shared" si="60"/>
        <v>108.108</v>
      </c>
      <c r="H119">
        <v>16</v>
      </c>
    </row>
    <row r="120" spans="2:8" x14ac:dyDescent="0.3">
      <c r="B120" s="42">
        <v>45139</v>
      </c>
      <c r="C120" s="129">
        <f t="shared" si="58"/>
        <v>37.434320000000014</v>
      </c>
      <c r="D120">
        <f t="shared" si="63"/>
        <v>7392</v>
      </c>
      <c r="F120" s="43">
        <f t="shared" si="64"/>
        <v>7238</v>
      </c>
      <c r="G120" s="44">
        <f t="shared" si="60"/>
        <v>108.57</v>
      </c>
      <c r="H120">
        <v>16</v>
      </c>
    </row>
    <row r="121" spans="2:8" x14ac:dyDescent="0.3">
      <c r="B121" s="42">
        <v>45170</v>
      </c>
      <c r="C121" s="129">
        <f t="shared" si="58"/>
        <v>37.912720000000014</v>
      </c>
      <c r="D121">
        <f t="shared" si="63"/>
        <v>7392</v>
      </c>
      <c r="F121" s="43">
        <f>SUM(D110:D121)/12</f>
        <v>7268.8</v>
      </c>
      <c r="G121" s="44">
        <f t="shared" si="60"/>
        <v>109.032</v>
      </c>
      <c r="H121">
        <v>16</v>
      </c>
    </row>
    <row r="122" spans="2:8" x14ac:dyDescent="0.3">
      <c r="B122" s="42">
        <v>45200</v>
      </c>
      <c r="C122" s="129">
        <f t="shared" ref="C122:C129" si="65">(D122-$P$1)/$P$1+C121</f>
        <v>38.391120000000015</v>
      </c>
      <c r="D122">
        <f t="shared" si="63"/>
        <v>7392</v>
      </c>
      <c r="F122" s="43">
        <f t="shared" ref="F122:F128" si="66">SUM(D111:D122)/12</f>
        <v>7299.5999999999995</v>
      </c>
      <c r="G122" s="44">
        <f t="shared" si="60"/>
        <v>109.494</v>
      </c>
      <c r="H122">
        <v>16</v>
      </c>
    </row>
    <row r="123" spans="2:8" x14ac:dyDescent="0.3">
      <c r="B123" s="42">
        <v>45231</v>
      </c>
      <c r="C123" s="129">
        <f t="shared" si="65"/>
        <v>38.869520000000016</v>
      </c>
      <c r="D123">
        <f t="shared" ref="D123:D174" si="67">I$18*H123+E123</f>
        <v>7392</v>
      </c>
      <c r="F123" s="43">
        <f t="shared" si="66"/>
        <v>7330.4000000000005</v>
      </c>
      <c r="G123" s="44">
        <f t="shared" ref="G123:G174" si="68">F123*1.25*12/1000</f>
        <v>109.956</v>
      </c>
      <c r="H123">
        <v>16</v>
      </c>
    </row>
    <row r="124" spans="2:8" x14ac:dyDescent="0.3">
      <c r="B124" s="42">
        <v>45261</v>
      </c>
      <c r="C124" s="129">
        <f t="shared" si="65"/>
        <v>39.347920000000016</v>
      </c>
      <c r="D124">
        <f t="shared" si="67"/>
        <v>7392</v>
      </c>
      <c r="F124" s="43">
        <f t="shared" si="66"/>
        <v>7361.2</v>
      </c>
      <c r="G124" s="44">
        <f t="shared" si="68"/>
        <v>110.41800000000001</v>
      </c>
      <c r="H124">
        <v>16</v>
      </c>
    </row>
    <row r="125" spans="2:8" x14ac:dyDescent="0.3">
      <c r="B125" s="42">
        <v>45292</v>
      </c>
      <c r="C125" s="129">
        <f t="shared" si="65"/>
        <v>39.826320000000017</v>
      </c>
      <c r="D125">
        <f t="shared" si="67"/>
        <v>7392</v>
      </c>
      <c r="F125" s="43">
        <f t="shared" si="66"/>
        <v>7392</v>
      </c>
      <c r="G125" s="44">
        <f t="shared" si="68"/>
        <v>110.88</v>
      </c>
      <c r="H125">
        <v>16</v>
      </c>
    </row>
    <row r="126" spans="2:8" x14ac:dyDescent="0.3">
      <c r="B126" s="42">
        <v>45323</v>
      </c>
      <c r="C126" s="129">
        <f t="shared" si="65"/>
        <v>40.304720000000017</v>
      </c>
      <c r="D126">
        <f t="shared" si="67"/>
        <v>7392</v>
      </c>
      <c r="F126" s="43">
        <f t="shared" si="66"/>
        <v>7392</v>
      </c>
      <c r="G126" s="44">
        <f t="shared" si="68"/>
        <v>110.88</v>
      </c>
      <c r="H126">
        <v>16</v>
      </c>
    </row>
    <row r="127" spans="2:8" x14ac:dyDescent="0.3">
      <c r="B127" s="42">
        <v>45352</v>
      </c>
      <c r="C127" s="129">
        <f t="shared" si="65"/>
        <v>40.783120000000018</v>
      </c>
      <c r="D127">
        <f t="shared" si="67"/>
        <v>7392</v>
      </c>
      <c r="F127" s="43">
        <f t="shared" si="66"/>
        <v>7392</v>
      </c>
      <c r="G127" s="44">
        <f t="shared" si="68"/>
        <v>110.88</v>
      </c>
      <c r="H127">
        <v>16</v>
      </c>
    </row>
    <row r="128" spans="2:8" x14ac:dyDescent="0.3">
      <c r="B128" s="42">
        <v>45383</v>
      </c>
      <c r="C128" s="129">
        <f t="shared" si="65"/>
        <v>41.261520000000019</v>
      </c>
      <c r="D128">
        <f t="shared" si="67"/>
        <v>7392</v>
      </c>
      <c r="F128" s="43">
        <f t="shared" si="66"/>
        <v>7392</v>
      </c>
      <c r="G128" s="44">
        <f t="shared" si="68"/>
        <v>110.88</v>
      </c>
      <c r="H128">
        <v>16</v>
      </c>
    </row>
    <row r="129" spans="2:8" x14ac:dyDescent="0.3">
      <c r="B129" s="42">
        <v>45413</v>
      </c>
      <c r="C129" s="129">
        <f t="shared" si="65"/>
        <v>41.739920000000019</v>
      </c>
      <c r="D129">
        <f t="shared" si="67"/>
        <v>7392</v>
      </c>
      <c r="F129" s="43">
        <f>SUM(D118:D129)/12</f>
        <v>7392</v>
      </c>
      <c r="G129" s="44">
        <f t="shared" si="68"/>
        <v>110.88</v>
      </c>
      <c r="H129">
        <v>16</v>
      </c>
    </row>
    <row r="130" spans="2:8" x14ac:dyDescent="0.3">
      <c r="B130" s="42">
        <v>45444</v>
      </c>
      <c r="C130" s="129">
        <f t="shared" ref="C130:C174" si="69">(D130-$P$1)/$P$1+C129</f>
        <v>42.21832000000002</v>
      </c>
      <c r="D130">
        <f t="shared" si="67"/>
        <v>7392</v>
      </c>
      <c r="F130" s="43">
        <f t="shared" ref="F130:F136" si="70">SUM(D119:D130)/12</f>
        <v>7392</v>
      </c>
      <c r="G130" s="44">
        <f t="shared" si="68"/>
        <v>110.88</v>
      </c>
      <c r="H130">
        <v>16</v>
      </c>
    </row>
    <row r="131" spans="2:8" x14ac:dyDescent="0.3">
      <c r="B131" s="42">
        <v>45474</v>
      </c>
      <c r="C131" s="129">
        <f t="shared" si="69"/>
        <v>42.69672000000002</v>
      </c>
      <c r="D131">
        <f t="shared" si="67"/>
        <v>7392</v>
      </c>
      <c r="F131" s="43">
        <f t="shared" si="70"/>
        <v>7392</v>
      </c>
      <c r="G131" s="44">
        <f t="shared" si="68"/>
        <v>110.88</v>
      </c>
      <c r="H131">
        <v>16</v>
      </c>
    </row>
    <row r="132" spans="2:8" x14ac:dyDescent="0.3">
      <c r="B132" s="42">
        <v>45505</v>
      </c>
      <c r="C132" s="129">
        <f t="shared" si="69"/>
        <v>43.175120000000021</v>
      </c>
      <c r="D132">
        <f t="shared" si="67"/>
        <v>7392</v>
      </c>
      <c r="F132" s="43">
        <f t="shared" si="70"/>
        <v>7392</v>
      </c>
      <c r="G132" s="44">
        <f t="shared" si="68"/>
        <v>110.88</v>
      </c>
      <c r="H132">
        <v>16</v>
      </c>
    </row>
    <row r="133" spans="2:8" x14ac:dyDescent="0.3">
      <c r="B133" s="42">
        <v>45536</v>
      </c>
      <c r="C133" s="129">
        <f t="shared" si="69"/>
        <v>43.653520000000022</v>
      </c>
      <c r="D133">
        <f t="shared" si="67"/>
        <v>7392</v>
      </c>
      <c r="F133" s="43">
        <f t="shared" si="70"/>
        <v>7392</v>
      </c>
      <c r="G133" s="44">
        <f t="shared" si="68"/>
        <v>110.88</v>
      </c>
      <c r="H133">
        <v>16</v>
      </c>
    </row>
    <row r="134" spans="2:8" x14ac:dyDescent="0.3">
      <c r="B134" s="42">
        <v>45566</v>
      </c>
      <c r="C134" s="129">
        <f t="shared" si="69"/>
        <v>44.131920000000022</v>
      </c>
      <c r="D134">
        <f t="shared" si="67"/>
        <v>7392</v>
      </c>
      <c r="F134" s="43">
        <f t="shared" si="70"/>
        <v>7392</v>
      </c>
      <c r="G134" s="44">
        <f t="shared" si="68"/>
        <v>110.88</v>
      </c>
      <c r="H134">
        <v>16</v>
      </c>
    </row>
    <row r="135" spans="2:8" x14ac:dyDescent="0.3">
      <c r="B135" s="42">
        <v>45597</v>
      </c>
      <c r="C135" s="129">
        <f t="shared" si="69"/>
        <v>44.610320000000023</v>
      </c>
      <c r="D135">
        <f t="shared" si="67"/>
        <v>7392</v>
      </c>
      <c r="F135" s="43">
        <f t="shared" si="70"/>
        <v>7392</v>
      </c>
      <c r="G135" s="44">
        <f t="shared" si="68"/>
        <v>110.88</v>
      </c>
      <c r="H135">
        <v>16</v>
      </c>
    </row>
    <row r="136" spans="2:8" x14ac:dyDescent="0.3">
      <c r="B136" s="42">
        <v>45627</v>
      </c>
      <c r="C136" s="129">
        <f t="shared" si="69"/>
        <v>45.088720000000023</v>
      </c>
      <c r="D136">
        <f t="shared" si="67"/>
        <v>7392</v>
      </c>
      <c r="F136" s="43">
        <f t="shared" si="70"/>
        <v>7392</v>
      </c>
      <c r="G136" s="44">
        <f t="shared" si="68"/>
        <v>110.88</v>
      </c>
      <c r="H136">
        <v>16</v>
      </c>
    </row>
    <row r="137" spans="2:8" x14ac:dyDescent="0.3">
      <c r="B137" s="42">
        <v>45658</v>
      </c>
      <c r="C137" s="129">
        <f t="shared" si="69"/>
        <v>45.567120000000024</v>
      </c>
      <c r="D137">
        <f t="shared" si="67"/>
        <v>7392</v>
      </c>
      <c r="F137" s="43">
        <f>SUM(D126:D137)/12</f>
        <v>7392</v>
      </c>
      <c r="G137" s="44">
        <f t="shared" si="68"/>
        <v>110.88</v>
      </c>
      <c r="H137">
        <v>16</v>
      </c>
    </row>
    <row r="138" spans="2:8" x14ac:dyDescent="0.3">
      <c r="B138" s="42">
        <v>45689</v>
      </c>
      <c r="C138" s="129">
        <f t="shared" si="69"/>
        <v>46.045520000000025</v>
      </c>
      <c r="D138">
        <f t="shared" si="67"/>
        <v>7392</v>
      </c>
      <c r="F138" s="43">
        <f t="shared" ref="F138:F144" si="71">SUM(D127:D138)/12</f>
        <v>7392</v>
      </c>
      <c r="G138" s="44">
        <f t="shared" si="68"/>
        <v>110.88</v>
      </c>
      <c r="H138">
        <v>16</v>
      </c>
    </row>
    <row r="139" spans="2:8" x14ac:dyDescent="0.3">
      <c r="B139" s="42">
        <v>45717</v>
      </c>
      <c r="C139" s="129">
        <f t="shared" si="69"/>
        <v>46.523920000000025</v>
      </c>
      <c r="D139">
        <f t="shared" si="67"/>
        <v>7392</v>
      </c>
      <c r="F139" s="43">
        <f t="shared" si="71"/>
        <v>7392</v>
      </c>
      <c r="G139" s="44">
        <f t="shared" si="68"/>
        <v>110.88</v>
      </c>
      <c r="H139">
        <v>16</v>
      </c>
    </row>
    <row r="140" spans="2:8" x14ac:dyDescent="0.3">
      <c r="B140" s="42">
        <v>45748</v>
      </c>
      <c r="C140" s="129">
        <f t="shared" si="69"/>
        <v>47.002320000000026</v>
      </c>
      <c r="D140">
        <f t="shared" si="67"/>
        <v>7392</v>
      </c>
      <c r="F140" s="43">
        <f t="shared" si="71"/>
        <v>7392</v>
      </c>
      <c r="G140" s="44">
        <f t="shared" si="68"/>
        <v>110.88</v>
      </c>
      <c r="H140">
        <v>16</v>
      </c>
    </row>
    <row r="141" spans="2:8" x14ac:dyDescent="0.3">
      <c r="B141" s="42">
        <v>45778</v>
      </c>
      <c r="C141" s="129">
        <f t="shared" si="69"/>
        <v>47.480720000000026</v>
      </c>
      <c r="D141">
        <f t="shared" si="67"/>
        <v>7392</v>
      </c>
      <c r="F141" s="43">
        <f t="shared" si="71"/>
        <v>7392</v>
      </c>
      <c r="G141" s="44">
        <f t="shared" si="68"/>
        <v>110.88</v>
      </c>
      <c r="H141">
        <v>16</v>
      </c>
    </row>
    <row r="142" spans="2:8" x14ac:dyDescent="0.3">
      <c r="B142" s="42">
        <v>45809</v>
      </c>
      <c r="C142" s="129">
        <f t="shared" si="69"/>
        <v>47.959120000000027</v>
      </c>
      <c r="D142">
        <f t="shared" si="67"/>
        <v>7392</v>
      </c>
      <c r="F142" s="43">
        <f t="shared" si="71"/>
        <v>7392</v>
      </c>
      <c r="G142" s="44">
        <f t="shared" si="68"/>
        <v>110.88</v>
      </c>
      <c r="H142">
        <v>16</v>
      </c>
    </row>
    <row r="143" spans="2:8" x14ac:dyDescent="0.3">
      <c r="B143" s="42">
        <v>45839</v>
      </c>
      <c r="C143" s="129">
        <f t="shared" si="69"/>
        <v>48.437520000000028</v>
      </c>
      <c r="D143">
        <f t="shared" si="67"/>
        <v>7392</v>
      </c>
      <c r="F143" s="43">
        <f t="shared" si="71"/>
        <v>7392</v>
      </c>
      <c r="G143" s="44">
        <f t="shared" si="68"/>
        <v>110.88</v>
      </c>
      <c r="H143">
        <v>16</v>
      </c>
    </row>
    <row r="144" spans="2:8" x14ac:dyDescent="0.3">
      <c r="B144" s="42">
        <v>45870</v>
      </c>
      <c r="C144" s="129">
        <f t="shared" si="69"/>
        <v>48.915920000000028</v>
      </c>
      <c r="D144">
        <f t="shared" si="67"/>
        <v>7392</v>
      </c>
      <c r="F144" s="43">
        <f t="shared" si="71"/>
        <v>7392</v>
      </c>
      <c r="G144" s="44">
        <f t="shared" si="68"/>
        <v>110.88</v>
      </c>
      <c r="H144">
        <v>16</v>
      </c>
    </row>
    <row r="145" spans="2:8" x14ac:dyDescent="0.3">
      <c r="B145" s="42">
        <v>45901</v>
      </c>
      <c r="C145" s="129">
        <f t="shared" si="69"/>
        <v>49.394320000000029</v>
      </c>
      <c r="D145">
        <f t="shared" si="67"/>
        <v>7392</v>
      </c>
      <c r="F145" s="43">
        <f>SUM(D134:D145)/12</f>
        <v>7392</v>
      </c>
      <c r="G145" s="44">
        <f t="shared" si="68"/>
        <v>110.88</v>
      </c>
      <c r="H145">
        <v>16</v>
      </c>
    </row>
    <row r="146" spans="2:8" x14ac:dyDescent="0.3">
      <c r="B146" s="42">
        <v>45931</v>
      </c>
      <c r="C146" s="129">
        <f t="shared" si="69"/>
        <v>49.872720000000029</v>
      </c>
      <c r="D146">
        <f t="shared" si="67"/>
        <v>7392</v>
      </c>
      <c r="F146" s="43">
        <f t="shared" ref="F146:F152" si="72">SUM(D135:D146)/12</f>
        <v>7392</v>
      </c>
      <c r="G146" s="44">
        <f t="shared" si="68"/>
        <v>110.88</v>
      </c>
      <c r="H146">
        <v>16</v>
      </c>
    </row>
    <row r="147" spans="2:8" x14ac:dyDescent="0.3">
      <c r="B147" s="42">
        <v>45962</v>
      </c>
      <c r="C147" s="129">
        <f t="shared" si="69"/>
        <v>50.35112000000003</v>
      </c>
      <c r="D147">
        <f t="shared" si="67"/>
        <v>7392</v>
      </c>
      <c r="F147" s="43">
        <f t="shared" si="72"/>
        <v>7392</v>
      </c>
      <c r="G147" s="44">
        <f t="shared" si="68"/>
        <v>110.88</v>
      </c>
      <c r="H147">
        <v>16</v>
      </c>
    </row>
    <row r="148" spans="2:8" x14ac:dyDescent="0.3">
      <c r="B148" s="42">
        <v>45992</v>
      </c>
      <c r="C148" s="129">
        <f t="shared" si="69"/>
        <v>50.829520000000031</v>
      </c>
      <c r="D148">
        <f t="shared" si="67"/>
        <v>7392</v>
      </c>
      <c r="F148" s="43">
        <f t="shared" si="72"/>
        <v>7392</v>
      </c>
      <c r="G148" s="44">
        <f t="shared" si="68"/>
        <v>110.88</v>
      </c>
      <c r="H148">
        <v>16</v>
      </c>
    </row>
    <row r="149" spans="2:8" x14ac:dyDescent="0.3">
      <c r="B149" s="42">
        <v>46023</v>
      </c>
      <c r="C149" s="129">
        <f t="shared" si="69"/>
        <v>51.307920000000031</v>
      </c>
      <c r="D149">
        <f t="shared" si="67"/>
        <v>7392</v>
      </c>
      <c r="F149" s="43">
        <f t="shared" si="72"/>
        <v>7392</v>
      </c>
      <c r="G149" s="44">
        <f t="shared" si="68"/>
        <v>110.88</v>
      </c>
      <c r="H149">
        <v>16</v>
      </c>
    </row>
    <row r="150" spans="2:8" x14ac:dyDescent="0.3">
      <c r="B150" s="130">
        <v>46054</v>
      </c>
      <c r="C150" s="129">
        <f t="shared" si="69"/>
        <v>51.786320000000032</v>
      </c>
      <c r="D150">
        <f t="shared" si="67"/>
        <v>7392</v>
      </c>
      <c r="F150" s="43">
        <f t="shared" si="72"/>
        <v>7392</v>
      </c>
      <c r="G150" s="44">
        <f t="shared" si="68"/>
        <v>110.88</v>
      </c>
      <c r="H150">
        <v>16</v>
      </c>
    </row>
    <row r="151" spans="2:8" x14ac:dyDescent="0.3">
      <c r="B151" s="42">
        <v>46082</v>
      </c>
      <c r="C151" s="129">
        <f t="shared" si="69"/>
        <v>52.264720000000032</v>
      </c>
      <c r="D151">
        <f t="shared" si="67"/>
        <v>7392</v>
      </c>
      <c r="F151" s="43">
        <f t="shared" si="72"/>
        <v>7392</v>
      </c>
      <c r="G151" s="44">
        <f t="shared" si="68"/>
        <v>110.88</v>
      </c>
      <c r="H151">
        <v>16</v>
      </c>
    </row>
    <row r="152" spans="2:8" x14ac:dyDescent="0.3">
      <c r="B152" s="42">
        <v>46113</v>
      </c>
      <c r="C152" s="129">
        <f t="shared" si="69"/>
        <v>52.743120000000033</v>
      </c>
      <c r="D152">
        <f t="shared" si="67"/>
        <v>7392</v>
      </c>
      <c r="F152" s="43">
        <f t="shared" si="72"/>
        <v>7392</v>
      </c>
      <c r="G152" s="44">
        <f t="shared" si="68"/>
        <v>110.88</v>
      </c>
      <c r="H152">
        <v>16</v>
      </c>
    </row>
    <row r="153" spans="2:8" x14ac:dyDescent="0.3">
      <c r="B153" s="42">
        <v>46143</v>
      </c>
      <c r="C153" s="129">
        <f t="shared" si="69"/>
        <v>53.221520000000034</v>
      </c>
      <c r="D153">
        <f t="shared" si="67"/>
        <v>7392</v>
      </c>
      <c r="F153" s="43">
        <f>SUM(D142:D153)/12</f>
        <v>7392</v>
      </c>
      <c r="G153" s="44">
        <f t="shared" si="68"/>
        <v>110.88</v>
      </c>
      <c r="H153">
        <v>16</v>
      </c>
    </row>
    <row r="154" spans="2:8" x14ac:dyDescent="0.3">
      <c r="B154" s="42">
        <v>46174</v>
      </c>
      <c r="C154" s="129">
        <f t="shared" si="69"/>
        <v>53.699920000000034</v>
      </c>
      <c r="D154">
        <f t="shared" si="67"/>
        <v>7392</v>
      </c>
      <c r="F154" s="43">
        <f t="shared" ref="F154:F160" si="73">SUM(D143:D154)/12</f>
        <v>7392</v>
      </c>
      <c r="G154" s="44">
        <f t="shared" si="68"/>
        <v>110.88</v>
      </c>
      <c r="H154">
        <v>16</v>
      </c>
    </row>
    <row r="155" spans="2:8" x14ac:dyDescent="0.3">
      <c r="B155" s="42">
        <v>46204</v>
      </c>
      <c r="C155" s="129">
        <f t="shared" si="69"/>
        <v>54.178320000000035</v>
      </c>
      <c r="D155">
        <f t="shared" si="67"/>
        <v>7392</v>
      </c>
      <c r="F155" s="43">
        <f t="shared" si="73"/>
        <v>7392</v>
      </c>
      <c r="G155" s="44">
        <f t="shared" si="68"/>
        <v>110.88</v>
      </c>
      <c r="H155">
        <v>16</v>
      </c>
    </row>
    <row r="156" spans="2:8" x14ac:dyDescent="0.3">
      <c r="B156" s="42">
        <v>46235</v>
      </c>
      <c r="C156" s="129">
        <f t="shared" si="69"/>
        <v>54.656720000000035</v>
      </c>
      <c r="D156">
        <f t="shared" si="67"/>
        <v>7392</v>
      </c>
      <c r="F156" s="43">
        <f t="shared" si="73"/>
        <v>7392</v>
      </c>
      <c r="G156" s="44">
        <f t="shared" si="68"/>
        <v>110.88</v>
      </c>
      <c r="H156">
        <v>16</v>
      </c>
    </row>
    <row r="157" spans="2:8" x14ac:dyDescent="0.3">
      <c r="B157" s="42">
        <v>46266</v>
      </c>
      <c r="C157" s="129">
        <f t="shared" si="69"/>
        <v>55.135120000000036</v>
      </c>
      <c r="D157">
        <f t="shared" si="67"/>
        <v>7392</v>
      </c>
      <c r="F157" s="43">
        <f t="shared" si="73"/>
        <v>7392</v>
      </c>
      <c r="G157" s="44">
        <f t="shared" si="68"/>
        <v>110.88</v>
      </c>
      <c r="H157">
        <v>16</v>
      </c>
    </row>
    <row r="158" spans="2:8" x14ac:dyDescent="0.3">
      <c r="B158" s="42">
        <v>46296</v>
      </c>
      <c r="C158" s="129">
        <f t="shared" si="69"/>
        <v>55.613520000000037</v>
      </c>
      <c r="D158">
        <f t="shared" si="67"/>
        <v>7392</v>
      </c>
      <c r="F158" s="43">
        <f t="shared" si="73"/>
        <v>7392</v>
      </c>
      <c r="G158" s="44">
        <f t="shared" si="68"/>
        <v>110.88</v>
      </c>
      <c r="H158">
        <v>16</v>
      </c>
    </row>
    <row r="159" spans="2:8" x14ac:dyDescent="0.3">
      <c r="B159" s="42">
        <v>46327</v>
      </c>
      <c r="C159" s="129">
        <f t="shared" si="69"/>
        <v>56.091920000000037</v>
      </c>
      <c r="D159">
        <f t="shared" si="67"/>
        <v>7392</v>
      </c>
      <c r="F159" s="43">
        <f t="shared" si="73"/>
        <v>7392</v>
      </c>
      <c r="G159" s="44">
        <f t="shared" si="68"/>
        <v>110.88</v>
      </c>
      <c r="H159">
        <v>16</v>
      </c>
    </row>
    <row r="160" spans="2:8" x14ac:dyDescent="0.3">
      <c r="B160" s="42">
        <v>46357</v>
      </c>
      <c r="C160" s="129">
        <f t="shared" si="69"/>
        <v>56.570320000000038</v>
      </c>
      <c r="D160">
        <f t="shared" si="67"/>
        <v>7392</v>
      </c>
      <c r="F160" s="43">
        <f t="shared" si="73"/>
        <v>7392</v>
      </c>
      <c r="G160" s="44">
        <f t="shared" si="68"/>
        <v>110.88</v>
      </c>
      <c r="H160">
        <v>16</v>
      </c>
    </row>
    <row r="161" spans="2:8" x14ac:dyDescent="0.3">
      <c r="B161" s="42">
        <v>46388</v>
      </c>
      <c r="C161" s="129">
        <f t="shared" si="69"/>
        <v>57.048720000000039</v>
      </c>
      <c r="D161">
        <f t="shared" si="67"/>
        <v>7392</v>
      </c>
      <c r="F161" s="43">
        <f>SUM(D150:D161)/12</f>
        <v>7392</v>
      </c>
      <c r="G161" s="44">
        <f t="shared" si="68"/>
        <v>110.88</v>
      </c>
      <c r="H161">
        <v>16</v>
      </c>
    </row>
    <row r="162" spans="2:8" x14ac:dyDescent="0.3">
      <c r="B162" s="42">
        <v>46419</v>
      </c>
      <c r="C162" s="129">
        <f t="shared" si="69"/>
        <v>57.527120000000039</v>
      </c>
      <c r="D162">
        <f t="shared" si="67"/>
        <v>7392</v>
      </c>
      <c r="F162" s="43">
        <f t="shared" ref="F162:F168" si="74">SUM(D151:D162)/12</f>
        <v>7392</v>
      </c>
      <c r="G162" s="44">
        <f t="shared" si="68"/>
        <v>110.88</v>
      </c>
      <c r="H162">
        <v>16</v>
      </c>
    </row>
    <row r="163" spans="2:8" x14ac:dyDescent="0.3">
      <c r="B163" s="42">
        <v>46447</v>
      </c>
      <c r="C163" s="129">
        <f t="shared" si="69"/>
        <v>58.00552000000004</v>
      </c>
      <c r="D163">
        <f t="shared" si="67"/>
        <v>7392</v>
      </c>
      <c r="F163" s="43">
        <f t="shared" si="74"/>
        <v>7392</v>
      </c>
      <c r="G163" s="44">
        <f t="shared" si="68"/>
        <v>110.88</v>
      </c>
      <c r="H163">
        <v>16</v>
      </c>
    </row>
    <row r="164" spans="2:8" x14ac:dyDescent="0.3">
      <c r="B164" s="42">
        <v>46478</v>
      </c>
      <c r="C164" s="129">
        <f t="shared" si="69"/>
        <v>58.48392000000004</v>
      </c>
      <c r="D164">
        <f t="shared" si="67"/>
        <v>7392</v>
      </c>
      <c r="F164" s="43">
        <f t="shared" si="74"/>
        <v>7392</v>
      </c>
      <c r="G164" s="44">
        <f t="shared" si="68"/>
        <v>110.88</v>
      </c>
      <c r="H164">
        <v>16</v>
      </c>
    </row>
    <row r="165" spans="2:8" x14ac:dyDescent="0.3">
      <c r="B165" s="42">
        <v>46508</v>
      </c>
      <c r="C165" s="129">
        <f t="shared" si="69"/>
        <v>58.962320000000041</v>
      </c>
      <c r="D165">
        <f t="shared" si="67"/>
        <v>7392</v>
      </c>
      <c r="F165" s="43">
        <f t="shared" si="74"/>
        <v>7392</v>
      </c>
      <c r="G165" s="44">
        <f t="shared" si="68"/>
        <v>110.88</v>
      </c>
      <c r="H165">
        <v>16</v>
      </c>
    </row>
    <row r="166" spans="2:8" x14ac:dyDescent="0.3">
      <c r="B166" s="42">
        <v>46539</v>
      </c>
      <c r="C166" s="129">
        <f t="shared" si="69"/>
        <v>59.440720000000042</v>
      </c>
      <c r="D166">
        <f t="shared" si="67"/>
        <v>7392</v>
      </c>
      <c r="F166" s="43">
        <f t="shared" si="74"/>
        <v>7392</v>
      </c>
      <c r="G166" s="44">
        <f t="shared" si="68"/>
        <v>110.88</v>
      </c>
      <c r="H166">
        <v>16</v>
      </c>
    </row>
    <row r="167" spans="2:8" x14ac:dyDescent="0.3">
      <c r="B167" s="42">
        <v>46569</v>
      </c>
      <c r="C167" s="129">
        <f t="shared" si="69"/>
        <v>59.919120000000042</v>
      </c>
      <c r="D167">
        <f t="shared" si="67"/>
        <v>7392</v>
      </c>
      <c r="F167" s="43">
        <f t="shared" si="74"/>
        <v>7392</v>
      </c>
      <c r="G167" s="44">
        <f t="shared" si="68"/>
        <v>110.88</v>
      </c>
      <c r="H167">
        <v>16</v>
      </c>
    </row>
    <row r="168" spans="2:8" x14ac:dyDescent="0.3">
      <c r="B168" s="42">
        <v>46600</v>
      </c>
      <c r="C168" s="129">
        <f t="shared" si="69"/>
        <v>60.397520000000043</v>
      </c>
      <c r="D168">
        <f t="shared" si="67"/>
        <v>7392</v>
      </c>
      <c r="F168" s="43">
        <f t="shared" si="74"/>
        <v>7392</v>
      </c>
      <c r="G168" s="44">
        <f t="shared" si="68"/>
        <v>110.88</v>
      </c>
      <c r="H168">
        <v>16</v>
      </c>
    </row>
    <row r="169" spans="2:8" x14ac:dyDescent="0.3">
      <c r="B169" s="42">
        <v>46631</v>
      </c>
      <c r="C169" s="129">
        <f t="shared" si="69"/>
        <v>60.875920000000043</v>
      </c>
      <c r="D169">
        <f t="shared" si="67"/>
        <v>7392</v>
      </c>
      <c r="F169" s="43">
        <f t="shared" ref="F169:F174" si="75">SUM(D158:D169)/12</f>
        <v>7392</v>
      </c>
      <c r="G169" s="44">
        <f t="shared" si="68"/>
        <v>110.88</v>
      </c>
      <c r="H169">
        <v>16</v>
      </c>
    </row>
    <row r="170" spans="2:8" x14ac:dyDescent="0.3">
      <c r="B170" s="42">
        <v>46661</v>
      </c>
      <c r="C170" s="129">
        <f t="shared" si="69"/>
        <v>61.354320000000044</v>
      </c>
      <c r="D170">
        <f t="shared" si="67"/>
        <v>7392</v>
      </c>
      <c r="F170" s="43">
        <f t="shared" si="75"/>
        <v>7392</v>
      </c>
      <c r="G170" s="44">
        <f t="shared" si="68"/>
        <v>110.88</v>
      </c>
      <c r="H170">
        <v>16</v>
      </c>
    </row>
    <row r="171" spans="2:8" x14ac:dyDescent="0.3">
      <c r="B171" s="42">
        <v>46692</v>
      </c>
      <c r="C171" s="129">
        <f t="shared" si="69"/>
        <v>61.832720000000045</v>
      </c>
      <c r="D171">
        <f t="shared" si="67"/>
        <v>7392</v>
      </c>
      <c r="F171" s="43">
        <f t="shared" si="75"/>
        <v>7392</v>
      </c>
      <c r="G171" s="44">
        <f t="shared" si="68"/>
        <v>110.88</v>
      </c>
      <c r="H171">
        <v>16</v>
      </c>
    </row>
    <row r="172" spans="2:8" x14ac:dyDescent="0.3">
      <c r="B172" s="42">
        <v>46722</v>
      </c>
      <c r="C172" s="129">
        <f t="shared" si="69"/>
        <v>62.311120000000045</v>
      </c>
      <c r="D172">
        <f t="shared" si="67"/>
        <v>7392</v>
      </c>
      <c r="F172" s="43">
        <f t="shared" si="75"/>
        <v>7392</v>
      </c>
      <c r="G172" s="44">
        <f t="shared" si="68"/>
        <v>110.88</v>
      </c>
      <c r="H172">
        <v>16</v>
      </c>
    </row>
    <row r="173" spans="2:8" x14ac:dyDescent="0.3">
      <c r="B173" s="42">
        <v>46753</v>
      </c>
      <c r="C173" s="129">
        <f t="shared" si="69"/>
        <v>62.789520000000046</v>
      </c>
      <c r="D173">
        <f t="shared" si="67"/>
        <v>7392</v>
      </c>
      <c r="F173" s="43">
        <f t="shared" si="75"/>
        <v>7392</v>
      </c>
      <c r="G173" s="44">
        <f t="shared" si="68"/>
        <v>110.88</v>
      </c>
      <c r="H173">
        <v>16</v>
      </c>
    </row>
    <row r="174" spans="2:8" x14ac:dyDescent="0.3">
      <c r="B174" s="42">
        <v>46784</v>
      </c>
      <c r="C174" s="129">
        <f t="shared" si="69"/>
        <v>63.267920000000046</v>
      </c>
      <c r="D174">
        <f t="shared" si="67"/>
        <v>7392</v>
      </c>
      <c r="F174" s="43">
        <f t="shared" si="75"/>
        <v>7392</v>
      </c>
      <c r="G174" s="44">
        <f t="shared" si="68"/>
        <v>110.88</v>
      </c>
      <c r="H174">
        <v>16</v>
      </c>
    </row>
    <row r="175" spans="2:8" x14ac:dyDescent="0.3">
      <c r="B175" s="42">
        <v>46813</v>
      </c>
      <c r="C175" s="129">
        <f t="shared" ref="C175:C185" si="76">(D175-$P$1)/$P$1+C174</f>
        <v>63.746320000000047</v>
      </c>
      <c r="D175">
        <f t="shared" ref="D175:D185" si="77">I$18*H175+E175</f>
        <v>7392</v>
      </c>
      <c r="F175" s="43">
        <f t="shared" ref="F175:F185" si="78">SUM(D164:D175)/12</f>
        <v>7392</v>
      </c>
      <c r="G175" s="44">
        <f t="shared" ref="G175:G185" si="79">F175*1.25*12/1000</f>
        <v>110.88</v>
      </c>
      <c r="H175">
        <v>16</v>
      </c>
    </row>
    <row r="176" spans="2:8" x14ac:dyDescent="0.3">
      <c r="B176" s="42">
        <v>46844</v>
      </c>
      <c r="C176" s="129">
        <f t="shared" si="76"/>
        <v>64.224720000000048</v>
      </c>
      <c r="D176">
        <f t="shared" si="77"/>
        <v>7392</v>
      </c>
      <c r="F176" s="43">
        <f t="shared" si="78"/>
        <v>7392</v>
      </c>
      <c r="G176" s="44">
        <f t="shared" si="79"/>
        <v>110.88</v>
      </c>
      <c r="H176">
        <v>16</v>
      </c>
    </row>
    <row r="177" spans="2:8" x14ac:dyDescent="0.3">
      <c r="B177" s="42">
        <v>46874</v>
      </c>
      <c r="C177" s="129">
        <f t="shared" si="76"/>
        <v>64.703120000000041</v>
      </c>
      <c r="D177">
        <f t="shared" si="77"/>
        <v>7392</v>
      </c>
      <c r="F177" s="43">
        <f t="shared" si="78"/>
        <v>7392</v>
      </c>
      <c r="G177" s="44">
        <f t="shared" si="79"/>
        <v>110.88</v>
      </c>
      <c r="H177">
        <v>16</v>
      </c>
    </row>
    <row r="178" spans="2:8" x14ac:dyDescent="0.3">
      <c r="B178" s="42">
        <v>46905</v>
      </c>
      <c r="C178" s="129">
        <f t="shared" si="76"/>
        <v>65.181520000000035</v>
      </c>
      <c r="D178">
        <f t="shared" si="77"/>
        <v>7392</v>
      </c>
      <c r="F178" s="43">
        <f t="shared" si="78"/>
        <v>7392</v>
      </c>
      <c r="G178" s="44">
        <f t="shared" si="79"/>
        <v>110.88</v>
      </c>
      <c r="H178">
        <v>16</v>
      </c>
    </row>
    <row r="179" spans="2:8" x14ac:dyDescent="0.3">
      <c r="B179" s="42">
        <v>46935</v>
      </c>
      <c r="C179" s="129">
        <f t="shared" si="76"/>
        <v>65.659920000000028</v>
      </c>
      <c r="D179">
        <f t="shared" si="77"/>
        <v>7392</v>
      </c>
      <c r="F179" s="43">
        <f t="shared" si="78"/>
        <v>7392</v>
      </c>
      <c r="G179" s="44">
        <f t="shared" si="79"/>
        <v>110.88</v>
      </c>
      <c r="H179">
        <v>16</v>
      </c>
    </row>
    <row r="180" spans="2:8" x14ac:dyDescent="0.3">
      <c r="B180" s="42">
        <v>46966</v>
      </c>
      <c r="C180" s="129">
        <f t="shared" si="76"/>
        <v>66.138320000000022</v>
      </c>
      <c r="D180">
        <f t="shared" si="77"/>
        <v>7392</v>
      </c>
      <c r="F180" s="43">
        <f t="shared" si="78"/>
        <v>7392</v>
      </c>
      <c r="G180" s="44">
        <f t="shared" si="79"/>
        <v>110.88</v>
      </c>
      <c r="H180">
        <v>16</v>
      </c>
    </row>
    <row r="181" spans="2:8" x14ac:dyDescent="0.3">
      <c r="B181" s="42">
        <v>46997</v>
      </c>
      <c r="C181" s="129">
        <f t="shared" si="76"/>
        <v>66.616720000000015</v>
      </c>
      <c r="D181">
        <f t="shared" si="77"/>
        <v>7392</v>
      </c>
      <c r="F181" s="43">
        <f t="shared" si="78"/>
        <v>7392</v>
      </c>
      <c r="G181" s="44">
        <f t="shared" si="79"/>
        <v>110.88</v>
      </c>
      <c r="H181">
        <v>16</v>
      </c>
    </row>
    <row r="182" spans="2:8" x14ac:dyDescent="0.3">
      <c r="B182" s="42">
        <v>47027</v>
      </c>
      <c r="C182" s="129">
        <f t="shared" si="76"/>
        <v>67.095120000000009</v>
      </c>
      <c r="D182">
        <f t="shared" si="77"/>
        <v>7392</v>
      </c>
      <c r="F182" s="43">
        <f t="shared" si="78"/>
        <v>7392</v>
      </c>
      <c r="G182" s="44">
        <f t="shared" si="79"/>
        <v>110.88</v>
      </c>
      <c r="H182">
        <v>16</v>
      </c>
    </row>
    <row r="183" spans="2:8" x14ac:dyDescent="0.3">
      <c r="B183" s="42">
        <v>47058</v>
      </c>
      <c r="C183" s="129">
        <f t="shared" si="76"/>
        <v>67.573520000000002</v>
      </c>
      <c r="D183">
        <f t="shared" si="77"/>
        <v>7392</v>
      </c>
      <c r="F183" s="43">
        <f t="shared" si="78"/>
        <v>7392</v>
      </c>
      <c r="G183" s="44">
        <f t="shared" si="79"/>
        <v>110.88</v>
      </c>
      <c r="H183">
        <v>16</v>
      </c>
    </row>
    <row r="184" spans="2:8" x14ac:dyDescent="0.3">
      <c r="B184" s="42">
        <v>47088</v>
      </c>
      <c r="C184" s="129">
        <f t="shared" si="76"/>
        <v>68.051919999999996</v>
      </c>
      <c r="D184">
        <f t="shared" si="77"/>
        <v>7392</v>
      </c>
      <c r="F184" s="43">
        <f t="shared" si="78"/>
        <v>7392</v>
      </c>
      <c r="G184" s="44">
        <f t="shared" si="79"/>
        <v>110.88</v>
      </c>
      <c r="H184">
        <v>16</v>
      </c>
    </row>
    <row r="185" spans="2:8" x14ac:dyDescent="0.3">
      <c r="B185" s="42">
        <v>47119</v>
      </c>
      <c r="C185" s="129">
        <f t="shared" si="76"/>
        <v>68.530319999999989</v>
      </c>
      <c r="D185">
        <f t="shared" si="77"/>
        <v>7392</v>
      </c>
      <c r="F185" s="43">
        <f t="shared" si="78"/>
        <v>7392</v>
      </c>
      <c r="G185" s="44">
        <f t="shared" si="79"/>
        <v>110.88</v>
      </c>
      <c r="H185">
        <v>16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AB28"/>
  <sheetViews>
    <sheetView topLeftCell="D1" workbookViewId="0">
      <selection activeCell="M39" sqref="M39"/>
    </sheetView>
  </sheetViews>
  <sheetFormatPr baseColWidth="10" defaultRowHeight="14.4" x14ac:dyDescent="0.3"/>
  <cols>
    <col min="1" max="1" width="7" bestFit="1" customWidth="1"/>
    <col min="2" max="2" width="5" bestFit="1" customWidth="1"/>
    <col min="4" max="4" width="7" bestFit="1" customWidth="1"/>
    <col min="5" max="6" width="5.44140625" style="43" bestFit="1" customWidth="1"/>
    <col min="7" max="7" width="4" bestFit="1" customWidth="1"/>
    <col min="8" max="8" width="4.5546875" bestFit="1" customWidth="1"/>
    <col min="9" max="10" width="5.44140625" bestFit="1" customWidth="1"/>
    <col min="11" max="11" width="5" bestFit="1" customWidth="1"/>
    <col min="13" max="17" width="5" bestFit="1" customWidth="1"/>
    <col min="18" max="18" width="4" bestFit="1" customWidth="1"/>
    <col min="19" max="20" width="5.44140625" bestFit="1" customWidth="1"/>
    <col min="21" max="22" width="5.44140625" customWidth="1"/>
    <col min="23" max="24" width="4" bestFit="1" customWidth="1"/>
    <col min="25" max="26" width="4.5546875" bestFit="1" customWidth="1"/>
    <col min="27" max="28" width="5.44140625" bestFit="1" customWidth="1"/>
  </cols>
  <sheetData>
    <row r="1" spans="1:28" x14ac:dyDescent="0.3">
      <c r="A1">
        <v>200000</v>
      </c>
      <c r="B1">
        <f>A1*0.007</f>
        <v>1400</v>
      </c>
      <c r="E1" s="43">
        <v>4500</v>
      </c>
      <c r="F1" s="43">
        <v>3500</v>
      </c>
      <c r="L1">
        <v>2015</v>
      </c>
      <c r="O1">
        <v>4500</v>
      </c>
      <c r="P1">
        <v>3500</v>
      </c>
    </row>
    <row r="2" spans="1:28" x14ac:dyDescent="0.3">
      <c r="A2">
        <v>450000</v>
      </c>
      <c r="B2">
        <f>A2*0.007</f>
        <v>3150</v>
      </c>
      <c r="L2">
        <v>2016</v>
      </c>
      <c r="M2">
        <v>1400</v>
      </c>
      <c r="Y2" s="184">
        <v>0.17</v>
      </c>
      <c r="Z2" s="184">
        <v>0.2</v>
      </c>
    </row>
    <row r="3" spans="1:28" x14ac:dyDescent="0.3">
      <c r="B3">
        <f>B1+B2</f>
        <v>4550</v>
      </c>
      <c r="D3" s="188">
        <v>625</v>
      </c>
      <c r="E3" s="186">
        <f>INT(D3*220*0.8/2/12/100)*100</f>
        <v>4500</v>
      </c>
      <c r="F3" s="186">
        <f>INT(D3*0.9*220/2/12/100)*100</f>
        <v>5100</v>
      </c>
      <c r="H3" s="188">
        <v>565</v>
      </c>
      <c r="I3" s="186">
        <f>INT(H3*0.68*220/2/12/100)*100</f>
        <v>3500</v>
      </c>
      <c r="J3" s="186">
        <f>INT(H3*220/2/12/100)*100</f>
        <v>5100</v>
      </c>
      <c r="L3">
        <v>2017</v>
      </c>
      <c r="M3">
        <v>1400</v>
      </c>
      <c r="R3" s="188">
        <v>625</v>
      </c>
      <c r="S3" s="186">
        <f>INT(R3*220*0.8/1.8/12/100)*100</f>
        <v>5000</v>
      </c>
      <c r="T3" s="186">
        <f>INT(R3*0.9*220*0.6/12/100)*100</f>
        <v>6100</v>
      </c>
      <c r="U3" s="186"/>
      <c r="V3" s="186"/>
      <c r="X3">
        <v>710</v>
      </c>
      <c r="Y3" s="188">
        <v>565</v>
      </c>
      <c r="Z3" s="188">
        <v>565</v>
      </c>
      <c r="AA3" s="189">
        <f>INT(Z3*0.9*220/1.8/12/100)*100</f>
        <v>5100</v>
      </c>
      <c r="AB3" s="189">
        <f>INT(Z3*220*0.6/12/100)*100</f>
        <v>6200</v>
      </c>
    </row>
    <row r="4" spans="1:28" x14ac:dyDescent="0.3">
      <c r="D4">
        <v>650</v>
      </c>
      <c r="E4" s="43">
        <f t="shared" ref="E4:E14" si="0">INT(D4*220*0.8/2/12/100)*100</f>
        <v>4700</v>
      </c>
      <c r="F4" s="43">
        <f t="shared" ref="F4:F14" si="1">INT(D4*0.9*220/2/12/100)*100</f>
        <v>5300</v>
      </c>
      <c r="H4">
        <v>575</v>
      </c>
      <c r="I4" s="189">
        <f t="shared" ref="I4:I13" si="2">INT(H4*0.68*220/2/12/100)*100</f>
        <v>3500</v>
      </c>
      <c r="J4" s="189">
        <f t="shared" ref="J4:J13" si="3">INT(H4*220/2/12/100)*100</f>
        <v>5200</v>
      </c>
      <c r="L4">
        <v>2018</v>
      </c>
      <c r="M4">
        <v>1400</v>
      </c>
      <c r="R4">
        <v>650</v>
      </c>
      <c r="S4" s="43">
        <f t="shared" ref="S4:S14" si="4">INT(R4*220*0.8/1.8/12/100)*100</f>
        <v>5200</v>
      </c>
      <c r="T4" s="43">
        <f t="shared" ref="T4:T14" si="5">INT(R4*0.9*220*0.6/12/100)*100</f>
        <v>6400</v>
      </c>
      <c r="U4" s="43"/>
      <c r="V4" s="43"/>
      <c r="X4">
        <v>725</v>
      </c>
      <c r="Y4" s="33">
        <f>X4*(1-Y$2)</f>
        <v>601.75</v>
      </c>
      <c r="Z4">
        <f>X4*(1-Z$2)</f>
        <v>580</v>
      </c>
      <c r="AA4" s="189">
        <f t="shared" ref="AA4:AA13" si="6">INT(Z4*0.9*220/2/12/100)*100</f>
        <v>4700</v>
      </c>
      <c r="AB4" s="189">
        <f t="shared" ref="AB4:AB13" si="7">INT(Z4*220/2/12/100)*100</f>
        <v>5300</v>
      </c>
    </row>
    <row r="5" spans="1:28" x14ac:dyDescent="0.3">
      <c r="A5">
        <v>57000</v>
      </c>
      <c r="D5">
        <v>675</v>
      </c>
      <c r="E5" s="43">
        <f t="shared" si="0"/>
        <v>4900</v>
      </c>
      <c r="F5" s="43">
        <f t="shared" si="1"/>
        <v>5500</v>
      </c>
      <c r="H5">
        <v>600</v>
      </c>
      <c r="I5" s="189">
        <f t="shared" si="2"/>
        <v>3700</v>
      </c>
      <c r="J5" s="189">
        <f t="shared" si="3"/>
        <v>5500</v>
      </c>
      <c r="L5">
        <v>2019</v>
      </c>
      <c r="M5">
        <v>4550</v>
      </c>
      <c r="R5">
        <v>675</v>
      </c>
      <c r="S5" s="43">
        <f t="shared" si="4"/>
        <v>5500</v>
      </c>
      <c r="T5" s="43">
        <f t="shared" si="5"/>
        <v>6600</v>
      </c>
      <c r="U5" s="43"/>
      <c r="V5" s="43"/>
      <c r="X5">
        <v>750</v>
      </c>
      <c r="Y5" s="33">
        <f t="shared" ref="Y5:Y13" si="8">X5*(1-Y$2)</f>
        <v>622.5</v>
      </c>
      <c r="Z5">
        <f>X5*(1-Z$2)</f>
        <v>600</v>
      </c>
      <c r="AA5" s="189">
        <f t="shared" si="6"/>
        <v>4900</v>
      </c>
      <c r="AB5" s="189">
        <f t="shared" si="7"/>
        <v>5500</v>
      </c>
    </row>
    <row r="6" spans="1:28" x14ac:dyDescent="0.3">
      <c r="A6">
        <v>12000</v>
      </c>
      <c r="D6">
        <v>700</v>
      </c>
      <c r="E6" s="43">
        <f t="shared" si="0"/>
        <v>5100</v>
      </c>
      <c r="F6" s="43">
        <f t="shared" si="1"/>
        <v>5700</v>
      </c>
      <c r="H6">
        <v>625</v>
      </c>
      <c r="I6" s="189">
        <f t="shared" si="2"/>
        <v>3800</v>
      </c>
      <c r="J6" s="189">
        <f t="shared" si="3"/>
        <v>5700</v>
      </c>
      <c r="L6">
        <v>2020</v>
      </c>
      <c r="M6">
        <v>4550</v>
      </c>
      <c r="R6">
        <v>700</v>
      </c>
      <c r="S6" s="43">
        <f t="shared" si="4"/>
        <v>5700</v>
      </c>
      <c r="T6" s="43">
        <f t="shared" si="5"/>
        <v>6900</v>
      </c>
      <c r="U6" s="43"/>
      <c r="V6" s="185">
        <f>(-Y$3+W6)/Y3</f>
        <v>0.15044247787610621</v>
      </c>
      <c r="W6">
        <v>650</v>
      </c>
      <c r="X6" s="7">
        <v>775</v>
      </c>
      <c r="Y6" s="190">
        <f t="shared" si="8"/>
        <v>643.25</v>
      </c>
      <c r="Z6" s="7">
        <f t="shared" ref="Z6:Z13" si="9">X6*(1-Z$2)</f>
        <v>620</v>
      </c>
      <c r="AA6" s="189">
        <f t="shared" si="6"/>
        <v>5100</v>
      </c>
      <c r="AB6" s="189">
        <f t="shared" si="7"/>
        <v>5600</v>
      </c>
    </row>
    <row r="7" spans="1:28" x14ac:dyDescent="0.3">
      <c r="A7">
        <v>100000</v>
      </c>
      <c r="D7">
        <v>725</v>
      </c>
      <c r="E7" s="43">
        <f t="shared" si="0"/>
        <v>5300</v>
      </c>
      <c r="F7" s="43">
        <f t="shared" si="1"/>
        <v>5900</v>
      </c>
      <c r="H7">
        <v>650</v>
      </c>
      <c r="I7" s="186">
        <f t="shared" si="2"/>
        <v>4000</v>
      </c>
      <c r="J7" s="186">
        <f t="shared" si="3"/>
        <v>5900</v>
      </c>
      <c r="L7">
        <v>2021</v>
      </c>
      <c r="M7">
        <v>4550</v>
      </c>
      <c r="R7">
        <v>725</v>
      </c>
      <c r="S7" s="43">
        <f t="shared" si="4"/>
        <v>5900</v>
      </c>
      <c r="T7" s="43">
        <f t="shared" si="5"/>
        <v>7100</v>
      </c>
      <c r="U7" s="43"/>
      <c r="V7" s="185">
        <f t="shared" ref="V7:V9" si="10">(-Y$3+W7)/Y4</f>
        <v>0.16618196925633569</v>
      </c>
      <c r="W7">
        <v>665</v>
      </c>
      <c r="X7" s="7">
        <v>800</v>
      </c>
      <c r="Y7" s="190">
        <f t="shared" si="8"/>
        <v>664</v>
      </c>
      <c r="Z7" s="7">
        <f t="shared" si="9"/>
        <v>640</v>
      </c>
      <c r="AA7" s="189">
        <f t="shared" si="6"/>
        <v>5200</v>
      </c>
      <c r="AB7" s="189">
        <f t="shared" si="7"/>
        <v>5800</v>
      </c>
    </row>
    <row r="8" spans="1:28" x14ac:dyDescent="0.3">
      <c r="D8">
        <v>750</v>
      </c>
      <c r="E8" s="43">
        <f t="shared" si="0"/>
        <v>5500</v>
      </c>
      <c r="F8" s="43">
        <f t="shared" si="1"/>
        <v>6100</v>
      </c>
      <c r="H8">
        <v>665</v>
      </c>
      <c r="I8" s="186">
        <f t="shared" si="2"/>
        <v>4100</v>
      </c>
      <c r="J8" s="186">
        <f t="shared" si="3"/>
        <v>6000</v>
      </c>
      <c r="L8">
        <v>2022</v>
      </c>
      <c r="M8">
        <v>4550</v>
      </c>
      <c r="R8">
        <v>750</v>
      </c>
      <c r="S8" s="43">
        <f t="shared" si="4"/>
        <v>6100</v>
      </c>
      <c r="T8" s="43">
        <f t="shared" si="5"/>
        <v>7400</v>
      </c>
      <c r="U8" s="43"/>
      <c r="V8" s="185"/>
      <c r="X8">
        <v>825</v>
      </c>
      <c r="Y8" s="33">
        <f t="shared" si="8"/>
        <v>684.75</v>
      </c>
      <c r="Z8">
        <f t="shared" si="9"/>
        <v>660</v>
      </c>
      <c r="AA8" s="189">
        <f t="shared" si="6"/>
        <v>5400</v>
      </c>
      <c r="AB8" s="189">
        <f t="shared" si="7"/>
        <v>6000</v>
      </c>
    </row>
    <row r="9" spans="1:28" x14ac:dyDescent="0.3">
      <c r="A9">
        <v>75000</v>
      </c>
      <c r="B9" t="s">
        <v>414</v>
      </c>
      <c r="D9">
        <v>775</v>
      </c>
      <c r="E9" s="43">
        <f t="shared" si="0"/>
        <v>5600</v>
      </c>
      <c r="F9" s="43">
        <f t="shared" si="1"/>
        <v>6300</v>
      </c>
      <c r="H9">
        <v>700</v>
      </c>
      <c r="I9" s="186">
        <f t="shared" si="2"/>
        <v>4300</v>
      </c>
      <c r="J9" s="186">
        <f t="shared" si="3"/>
        <v>6400</v>
      </c>
      <c r="L9">
        <v>2023</v>
      </c>
      <c r="M9">
        <v>4550</v>
      </c>
      <c r="R9">
        <v>775</v>
      </c>
      <c r="S9" s="43">
        <f t="shared" si="4"/>
        <v>6300</v>
      </c>
      <c r="T9" s="43">
        <f t="shared" si="5"/>
        <v>7600</v>
      </c>
      <c r="U9" s="43"/>
      <c r="V9" s="185">
        <f t="shared" si="10"/>
        <v>0.20987174504469491</v>
      </c>
      <c r="W9">
        <v>700</v>
      </c>
      <c r="X9" s="7">
        <v>850</v>
      </c>
      <c r="Y9" s="190">
        <f t="shared" si="8"/>
        <v>705.5</v>
      </c>
      <c r="Z9" s="7">
        <f t="shared" si="9"/>
        <v>680</v>
      </c>
      <c r="AA9" s="189">
        <f t="shared" si="6"/>
        <v>5600</v>
      </c>
      <c r="AB9" s="189">
        <f t="shared" si="7"/>
        <v>6200</v>
      </c>
    </row>
    <row r="10" spans="1:28" x14ac:dyDescent="0.3">
      <c r="D10" s="7">
        <v>800</v>
      </c>
      <c r="E10" s="186">
        <f t="shared" si="0"/>
        <v>5800</v>
      </c>
      <c r="F10" s="186">
        <f t="shared" si="1"/>
        <v>6600</v>
      </c>
      <c r="H10">
        <v>725</v>
      </c>
      <c r="I10" s="189">
        <f t="shared" si="2"/>
        <v>4500</v>
      </c>
      <c r="J10" s="189">
        <f t="shared" si="3"/>
        <v>6600</v>
      </c>
      <c r="L10">
        <v>2024</v>
      </c>
      <c r="M10">
        <v>4550</v>
      </c>
      <c r="R10" s="7">
        <v>800</v>
      </c>
      <c r="S10" s="186">
        <f t="shared" si="4"/>
        <v>6500</v>
      </c>
      <c r="T10" s="186">
        <f t="shared" si="5"/>
        <v>7900</v>
      </c>
      <c r="U10" s="186"/>
      <c r="V10" s="186"/>
      <c r="X10">
        <v>875</v>
      </c>
      <c r="Y10" s="33">
        <f t="shared" si="8"/>
        <v>726.25</v>
      </c>
      <c r="Z10">
        <f t="shared" si="9"/>
        <v>700</v>
      </c>
      <c r="AA10" s="189">
        <f t="shared" si="6"/>
        <v>5700</v>
      </c>
      <c r="AB10" s="189">
        <f t="shared" si="7"/>
        <v>6400</v>
      </c>
    </row>
    <row r="11" spans="1:28" x14ac:dyDescent="0.3">
      <c r="A11">
        <f>SUM(A5:A10)</f>
        <v>244000</v>
      </c>
      <c r="D11">
        <v>825</v>
      </c>
      <c r="E11" s="43">
        <f t="shared" si="0"/>
        <v>6000</v>
      </c>
      <c r="F11" s="43">
        <f t="shared" si="1"/>
        <v>6800</v>
      </c>
      <c r="H11">
        <v>750</v>
      </c>
      <c r="I11" s="189">
        <f t="shared" si="2"/>
        <v>4600</v>
      </c>
      <c r="J11" s="189">
        <f t="shared" si="3"/>
        <v>6800</v>
      </c>
      <c r="L11">
        <v>2025</v>
      </c>
      <c r="M11">
        <v>4550</v>
      </c>
      <c r="R11">
        <v>825</v>
      </c>
      <c r="S11" s="43">
        <f t="shared" si="4"/>
        <v>6700</v>
      </c>
      <c r="T11" s="43">
        <f t="shared" si="5"/>
        <v>8100</v>
      </c>
      <c r="U11" s="43"/>
      <c r="V11" s="43"/>
      <c r="X11">
        <v>900</v>
      </c>
      <c r="Y11" s="33">
        <f t="shared" si="8"/>
        <v>747</v>
      </c>
      <c r="Z11">
        <f t="shared" si="9"/>
        <v>720</v>
      </c>
      <c r="AA11" s="189">
        <f t="shared" si="6"/>
        <v>5900</v>
      </c>
      <c r="AB11" s="189">
        <f t="shared" si="7"/>
        <v>6600</v>
      </c>
    </row>
    <row r="12" spans="1:28" x14ac:dyDescent="0.3">
      <c r="D12" s="7">
        <v>850</v>
      </c>
      <c r="E12" s="186">
        <f t="shared" si="0"/>
        <v>6200</v>
      </c>
      <c r="F12" s="186">
        <f t="shared" si="1"/>
        <v>7000</v>
      </c>
      <c r="H12">
        <v>775</v>
      </c>
      <c r="I12" s="189">
        <f t="shared" si="2"/>
        <v>4800</v>
      </c>
      <c r="J12" s="189">
        <f t="shared" si="3"/>
        <v>7100</v>
      </c>
      <c r="L12">
        <v>2026</v>
      </c>
      <c r="M12">
        <v>4550</v>
      </c>
      <c r="R12" s="7">
        <v>850</v>
      </c>
      <c r="S12" s="186">
        <f t="shared" si="4"/>
        <v>6900</v>
      </c>
      <c r="T12" s="186">
        <f t="shared" si="5"/>
        <v>8400</v>
      </c>
      <c r="U12" s="186"/>
      <c r="V12" s="186"/>
      <c r="X12">
        <v>925</v>
      </c>
      <c r="Y12" s="33">
        <f t="shared" si="8"/>
        <v>767.75</v>
      </c>
      <c r="Z12">
        <f t="shared" si="9"/>
        <v>740</v>
      </c>
      <c r="AA12" s="189">
        <f t="shared" si="6"/>
        <v>6100</v>
      </c>
      <c r="AB12" s="189">
        <f t="shared" si="7"/>
        <v>6700</v>
      </c>
    </row>
    <row r="13" spans="1:28" x14ac:dyDescent="0.3">
      <c r="D13" s="7">
        <v>875</v>
      </c>
      <c r="E13" s="186">
        <f t="shared" si="0"/>
        <v>6400</v>
      </c>
      <c r="F13" s="186">
        <f t="shared" si="1"/>
        <v>7200</v>
      </c>
      <c r="H13">
        <v>800</v>
      </c>
      <c r="I13" s="189">
        <f t="shared" si="2"/>
        <v>4900</v>
      </c>
      <c r="J13" s="189">
        <f t="shared" si="3"/>
        <v>7300</v>
      </c>
      <c r="L13">
        <v>2027</v>
      </c>
      <c r="M13">
        <v>4550</v>
      </c>
      <c r="R13" s="7">
        <v>875</v>
      </c>
      <c r="S13" s="186">
        <f t="shared" si="4"/>
        <v>7100</v>
      </c>
      <c r="T13" s="186">
        <f t="shared" si="5"/>
        <v>8600</v>
      </c>
      <c r="U13" s="186"/>
      <c r="V13" s="186"/>
      <c r="X13">
        <v>950</v>
      </c>
      <c r="Y13" s="33">
        <f t="shared" si="8"/>
        <v>788.5</v>
      </c>
      <c r="Z13">
        <f t="shared" si="9"/>
        <v>760</v>
      </c>
      <c r="AA13" s="189">
        <f t="shared" si="6"/>
        <v>6200</v>
      </c>
      <c r="AB13" s="189">
        <f t="shared" si="7"/>
        <v>6900</v>
      </c>
    </row>
    <row r="14" spans="1:28" x14ac:dyDescent="0.3">
      <c r="D14">
        <v>900</v>
      </c>
      <c r="E14" s="43">
        <f t="shared" si="0"/>
        <v>6600</v>
      </c>
      <c r="F14" s="43">
        <f t="shared" si="1"/>
        <v>7400</v>
      </c>
      <c r="L14">
        <v>2028</v>
      </c>
      <c r="M14">
        <v>4550</v>
      </c>
      <c r="R14">
        <v>900</v>
      </c>
      <c r="S14" s="43">
        <f t="shared" si="4"/>
        <v>7300</v>
      </c>
      <c r="T14" s="43">
        <f t="shared" si="5"/>
        <v>8900</v>
      </c>
      <c r="U14" s="43"/>
      <c r="V14" s="43"/>
    </row>
    <row r="15" spans="1:28" x14ac:dyDescent="0.3">
      <c r="L15">
        <v>2029</v>
      </c>
      <c r="M15">
        <v>3150</v>
      </c>
    </row>
    <row r="16" spans="1:28" x14ac:dyDescent="0.3">
      <c r="D16">
        <v>90000</v>
      </c>
      <c r="E16" s="43">
        <f>D16*0.9/1.25/12</f>
        <v>5400</v>
      </c>
      <c r="H16">
        <v>900</v>
      </c>
      <c r="I16">
        <v>1000</v>
      </c>
      <c r="J16">
        <v>1100</v>
      </c>
      <c r="K16">
        <v>1300</v>
      </c>
      <c r="L16">
        <v>2030</v>
      </c>
      <c r="M16">
        <v>3150</v>
      </c>
    </row>
    <row r="17" spans="4:13" x14ac:dyDescent="0.3">
      <c r="D17">
        <v>95000</v>
      </c>
      <c r="E17" s="43">
        <f>D17*0.9/1.25/12</f>
        <v>5700</v>
      </c>
      <c r="G17">
        <v>625</v>
      </c>
      <c r="H17" s="187">
        <f t="shared" ref="H17:K28" si="11">1-$G17/H$16</f>
        <v>0.30555555555555558</v>
      </c>
      <c r="I17" s="185">
        <f t="shared" si="11"/>
        <v>0.375</v>
      </c>
      <c r="J17" s="185">
        <f t="shared" si="11"/>
        <v>0.43181818181818177</v>
      </c>
      <c r="K17" s="185">
        <f t="shared" si="11"/>
        <v>0.51923076923076916</v>
      </c>
      <c r="L17">
        <v>2031</v>
      </c>
      <c r="M17">
        <v>3150</v>
      </c>
    </row>
    <row r="18" spans="4:13" x14ac:dyDescent="0.3">
      <c r="D18">
        <v>100000</v>
      </c>
      <c r="E18" s="43">
        <f t="shared" ref="E18:E20" si="12">D18*0.9/1.25/12</f>
        <v>6000</v>
      </c>
      <c r="G18">
        <v>650</v>
      </c>
      <c r="H18" s="185">
        <f t="shared" si="11"/>
        <v>0.27777777777777779</v>
      </c>
      <c r="I18" s="185">
        <f t="shared" si="11"/>
        <v>0.35</v>
      </c>
      <c r="J18" s="185">
        <f t="shared" si="11"/>
        <v>0.40909090909090906</v>
      </c>
      <c r="K18" s="185">
        <f t="shared" si="11"/>
        <v>0.5</v>
      </c>
    </row>
    <row r="19" spans="4:13" x14ac:dyDescent="0.3">
      <c r="D19">
        <v>105000</v>
      </c>
      <c r="E19" s="43">
        <f t="shared" si="12"/>
        <v>6300</v>
      </c>
      <c r="G19">
        <v>675</v>
      </c>
      <c r="H19" s="185">
        <f t="shared" si="11"/>
        <v>0.25</v>
      </c>
      <c r="I19" s="185">
        <f t="shared" si="11"/>
        <v>0.32499999999999996</v>
      </c>
      <c r="J19" s="185">
        <f t="shared" si="11"/>
        <v>0.38636363636363635</v>
      </c>
      <c r="K19" s="185">
        <f t="shared" si="11"/>
        <v>0.48076923076923073</v>
      </c>
    </row>
    <row r="20" spans="4:13" x14ac:dyDescent="0.3">
      <c r="D20">
        <v>110000</v>
      </c>
      <c r="E20" s="43">
        <f t="shared" si="12"/>
        <v>6600</v>
      </c>
      <c r="G20">
        <v>700</v>
      </c>
      <c r="H20" s="185">
        <f t="shared" si="11"/>
        <v>0.22222222222222221</v>
      </c>
      <c r="I20" s="187">
        <f t="shared" si="11"/>
        <v>0.30000000000000004</v>
      </c>
      <c r="J20" s="185">
        <f t="shared" si="11"/>
        <v>0.36363636363636365</v>
      </c>
      <c r="K20" s="185">
        <f t="shared" si="11"/>
        <v>0.46153846153846156</v>
      </c>
    </row>
    <row r="21" spans="4:13" x14ac:dyDescent="0.3">
      <c r="D21">
        <v>115000</v>
      </c>
      <c r="E21" s="43">
        <f>D21*0.9/1.25/12</f>
        <v>6900</v>
      </c>
      <c r="G21">
        <v>725</v>
      </c>
      <c r="H21" s="185">
        <f t="shared" si="11"/>
        <v>0.19444444444444442</v>
      </c>
      <c r="I21" s="185">
        <f t="shared" si="11"/>
        <v>0.27500000000000002</v>
      </c>
      <c r="J21" s="185">
        <f t="shared" si="11"/>
        <v>0.34090909090909094</v>
      </c>
      <c r="K21" s="185">
        <f t="shared" si="11"/>
        <v>0.44230769230769229</v>
      </c>
    </row>
    <row r="22" spans="4:13" x14ac:dyDescent="0.3">
      <c r="D22">
        <v>120000</v>
      </c>
      <c r="E22" s="43">
        <f>D22*0.9/1.25/12</f>
        <v>7200</v>
      </c>
      <c r="G22">
        <v>750</v>
      </c>
      <c r="H22" s="185">
        <f t="shared" si="11"/>
        <v>0.16666666666666663</v>
      </c>
      <c r="I22" s="185">
        <f t="shared" si="11"/>
        <v>0.25</v>
      </c>
      <c r="J22" s="185">
        <f t="shared" si="11"/>
        <v>0.31818181818181823</v>
      </c>
      <c r="K22" s="185">
        <f t="shared" si="11"/>
        <v>0.42307692307692313</v>
      </c>
    </row>
    <row r="23" spans="4:13" x14ac:dyDescent="0.3">
      <c r="G23">
        <v>775</v>
      </c>
      <c r="H23" s="185">
        <f t="shared" si="11"/>
        <v>0.13888888888888884</v>
      </c>
      <c r="I23" s="185">
        <f t="shared" si="11"/>
        <v>0.22499999999999998</v>
      </c>
      <c r="J23" s="187">
        <f t="shared" si="11"/>
        <v>0.29545454545454541</v>
      </c>
      <c r="K23" s="185">
        <f t="shared" si="11"/>
        <v>0.40384615384615385</v>
      </c>
    </row>
    <row r="24" spans="4:13" x14ac:dyDescent="0.3">
      <c r="G24" s="7">
        <v>800</v>
      </c>
      <c r="H24" s="185">
        <f t="shared" si="11"/>
        <v>0.11111111111111116</v>
      </c>
      <c r="I24" s="185">
        <f t="shared" si="11"/>
        <v>0.19999999999999996</v>
      </c>
      <c r="J24" s="185">
        <f t="shared" si="11"/>
        <v>0.27272727272727271</v>
      </c>
      <c r="K24" s="185">
        <f t="shared" si="11"/>
        <v>0.38461538461538458</v>
      </c>
    </row>
    <row r="25" spans="4:13" x14ac:dyDescent="0.3">
      <c r="G25">
        <v>825</v>
      </c>
      <c r="H25" s="185">
        <f t="shared" si="11"/>
        <v>8.333333333333337E-2</v>
      </c>
      <c r="I25" s="185">
        <f t="shared" si="11"/>
        <v>0.17500000000000004</v>
      </c>
      <c r="J25" s="185">
        <f t="shared" si="11"/>
        <v>0.25</v>
      </c>
      <c r="K25" s="185">
        <f t="shared" si="11"/>
        <v>0.36538461538461542</v>
      </c>
    </row>
    <row r="26" spans="4:13" x14ac:dyDescent="0.3">
      <c r="G26" s="188">
        <v>850</v>
      </c>
      <c r="H26" s="185">
        <f t="shared" si="11"/>
        <v>5.555555555555558E-2</v>
      </c>
      <c r="I26" s="185">
        <f t="shared" si="11"/>
        <v>0.15000000000000002</v>
      </c>
      <c r="J26" s="185">
        <f t="shared" si="11"/>
        <v>0.22727272727272729</v>
      </c>
      <c r="K26" s="185">
        <f t="shared" si="11"/>
        <v>0.34615384615384615</v>
      </c>
    </row>
    <row r="27" spans="4:13" x14ac:dyDescent="0.3">
      <c r="G27" s="7">
        <v>875</v>
      </c>
      <c r="H27" s="185">
        <f t="shared" si="11"/>
        <v>2.777777777777779E-2</v>
      </c>
      <c r="I27" s="185">
        <f t="shared" si="11"/>
        <v>0.125</v>
      </c>
      <c r="J27" s="185">
        <f t="shared" si="11"/>
        <v>0.20454545454545459</v>
      </c>
      <c r="K27" s="185">
        <f t="shared" si="11"/>
        <v>0.32692307692307687</v>
      </c>
    </row>
    <row r="28" spans="4:13" x14ac:dyDescent="0.3">
      <c r="G28">
        <v>900</v>
      </c>
      <c r="H28" s="185">
        <f t="shared" si="11"/>
        <v>0</v>
      </c>
      <c r="I28" s="185">
        <f t="shared" si="11"/>
        <v>9.9999999999999978E-2</v>
      </c>
      <c r="J28" s="185">
        <f t="shared" si="11"/>
        <v>0.18181818181818177</v>
      </c>
      <c r="K28" s="187">
        <f t="shared" si="11"/>
        <v>0.30769230769230771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>
    <pageSetUpPr fitToPage="1"/>
  </sheetPr>
  <dimension ref="A1:AA65"/>
  <sheetViews>
    <sheetView workbookViewId="0">
      <selection activeCell="H3" sqref="H3"/>
    </sheetView>
  </sheetViews>
  <sheetFormatPr baseColWidth="10" defaultRowHeight="14.4" x14ac:dyDescent="0.3"/>
  <cols>
    <col min="1" max="1" width="3" bestFit="1" customWidth="1"/>
    <col min="2" max="3" width="4" bestFit="1" customWidth="1"/>
    <col min="4" max="4" width="5" bestFit="1" customWidth="1"/>
    <col min="5" max="5" width="6" bestFit="1" customWidth="1"/>
    <col min="6" max="6" width="6" customWidth="1"/>
    <col min="7" max="8" width="7" bestFit="1" customWidth="1"/>
    <col min="9" max="9" width="7.6640625" bestFit="1" customWidth="1"/>
    <col min="10" max="10" width="8.88671875" style="43" bestFit="1" customWidth="1"/>
    <col min="11" max="14" width="8" customWidth="1"/>
    <col min="17" max="17" width="6.6640625" style="33" bestFit="1" customWidth="1"/>
    <col min="18" max="18" width="6" style="33" bestFit="1" customWidth="1"/>
    <col min="19" max="19" width="6" bestFit="1" customWidth="1"/>
    <col min="20" max="21" width="5" bestFit="1" customWidth="1"/>
    <col min="23" max="23" width="5" bestFit="1" customWidth="1"/>
    <col min="24" max="24" width="6.44140625" style="43" bestFit="1" customWidth="1"/>
    <col min="26" max="26" width="5" bestFit="1" customWidth="1"/>
    <col min="27" max="27" width="5.44140625" bestFit="1" customWidth="1"/>
  </cols>
  <sheetData>
    <row r="1" spans="1:27" x14ac:dyDescent="0.3">
      <c r="G1">
        <f>3890+1400-450</f>
        <v>4840</v>
      </c>
      <c r="H1">
        <v>5000</v>
      </c>
      <c r="J1" s="43">
        <v>200000</v>
      </c>
      <c r="N1">
        <v>1.0249999999999999</v>
      </c>
      <c r="O1">
        <v>50000</v>
      </c>
      <c r="V1">
        <v>28</v>
      </c>
      <c r="W1">
        <v>1994</v>
      </c>
      <c r="X1" s="43">
        <f>170000/2/6.55/12/1.25</f>
        <v>865.13994910941472</v>
      </c>
      <c r="Y1">
        <v>25</v>
      </c>
      <c r="Z1">
        <v>1994</v>
      </c>
      <c r="AA1" s="43">
        <v>2700</v>
      </c>
    </row>
    <row r="2" spans="1:27" x14ac:dyDescent="0.3">
      <c r="A2">
        <v>9</v>
      </c>
      <c r="B2" s="125">
        <v>49</v>
      </c>
      <c r="C2" s="83">
        <v>52</v>
      </c>
      <c r="D2">
        <v>2018</v>
      </c>
      <c r="E2" s="33">
        <f>S$8+R$8</f>
        <v>8000</v>
      </c>
      <c r="G2">
        <f>(E2+F2)*12</f>
        <v>96000</v>
      </c>
      <c r="H2">
        <f>$H$1*12</f>
        <v>60000</v>
      </c>
      <c r="I2">
        <f>G2-H2</f>
        <v>36000</v>
      </c>
      <c r="J2" s="43">
        <f>J1+I2</f>
        <v>236000</v>
      </c>
      <c r="L2">
        <f>Q$2*Q$5+R$2*R$5</f>
        <v>226750</v>
      </c>
      <c r="M2">
        <f>E2*1.9</f>
        <v>15200</v>
      </c>
      <c r="N2">
        <f>M2*12</f>
        <v>182400</v>
      </c>
      <c r="O2" s="33">
        <f>O1*N$1+L2-N2</f>
        <v>95600</v>
      </c>
      <c r="Q2" s="33">
        <v>650</v>
      </c>
      <c r="R2" s="33">
        <v>565</v>
      </c>
      <c r="S2" s="33">
        <v>730</v>
      </c>
      <c r="V2">
        <v>29</v>
      </c>
      <c r="W2">
        <v>1995</v>
      </c>
      <c r="X2" s="43">
        <f>(190000+170000)/2/6.55/12/1.25</f>
        <v>1832.0610687022902</v>
      </c>
      <c r="Y2">
        <v>26</v>
      </c>
      <c r="Z2">
        <v>1995</v>
      </c>
      <c r="AA2" s="43">
        <v>2700</v>
      </c>
    </row>
    <row r="3" spans="1:27" x14ac:dyDescent="0.3">
      <c r="A3">
        <v>10</v>
      </c>
      <c r="B3" s="125">
        <v>50</v>
      </c>
      <c r="C3" s="83">
        <v>53</v>
      </c>
      <c r="D3">
        <v>2019</v>
      </c>
      <c r="E3" s="33">
        <f>Q$8+S$8</f>
        <v>9500</v>
      </c>
      <c r="F3">
        <v>0</v>
      </c>
      <c r="G3">
        <f>(E3+F3)*12</f>
        <v>114000</v>
      </c>
      <c r="H3" s="83">
        <f>($H$1+$G$1)*12+75000</f>
        <v>193080</v>
      </c>
      <c r="I3">
        <f>G3-H3</f>
        <v>-79080</v>
      </c>
      <c r="J3" s="43">
        <f t="shared" ref="J3:J15" si="0">J2+I3</f>
        <v>156920</v>
      </c>
      <c r="L3">
        <f>S$2*Q$5+Q$2*R$5</f>
        <v>257750</v>
      </c>
      <c r="M3">
        <f>E3*1.9</f>
        <v>18050</v>
      </c>
      <c r="N3">
        <f>M3*12</f>
        <v>216600</v>
      </c>
      <c r="O3" s="33">
        <f>O2*N$1+L3-N3</f>
        <v>139140</v>
      </c>
      <c r="Q3" s="33">
        <f>Q2*0.55</f>
        <v>357.50000000000006</v>
      </c>
      <c r="R3" s="33">
        <f>R2*0.55</f>
        <v>310.75</v>
      </c>
      <c r="S3" s="33">
        <f>S2*0.55</f>
        <v>401.50000000000006</v>
      </c>
      <c r="V3">
        <v>30</v>
      </c>
      <c r="W3">
        <v>1996</v>
      </c>
      <c r="X3" s="43">
        <f>(190000+200000)/2/6.55/12/1.25</f>
        <v>1984.7328244274809</v>
      </c>
      <c r="Y3">
        <v>27</v>
      </c>
      <c r="Z3">
        <v>1996</v>
      </c>
      <c r="AA3" s="43">
        <v>2700</v>
      </c>
    </row>
    <row r="4" spans="1:27" x14ac:dyDescent="0.3">
      <c r="A4">
        <v>11</v>
      </c>
      <c r="B4" s="83">
        <v>51</v>
      </c>
      <c r="C4" s="125">
        <v>54</v>
      </c>
      <c r="D4">
        <v>2020</v>
      </c>
      <c r="E4" s="33">
        <f>Q$8+S$8</f>
        <v>9500</v>
      </c>
      <c r="F4">
        <v>2000</v>
      </c>
      <c r="G4">
        <f t="shared" ref="G4:G53" si="1">(E4+F4)*12</f>
        <v>138000</v>
      </c>
      <c r="H4" s="255">
        <f>($H$1+$G$1)*12</f>
        <v>118080</v>
      </c>
      <c r="I4">
        <f t="shared" ref="I4:I53" si="2">G4-H4</f>
        <v>19920</v>
      </c>
      <c r="J4" s="43">
        <f t="shared" si="0"/>
        <v>176840</v>
      </c>
      <c r="L4">
        <f t="shared" ref="L4:L12" si="3">S$2*Q$5+Q$2*R$5</f>
        <v>257750</v>
      </c>
      <c r="M4">
        <f t="shared" ref="M4:M9" si="4">E4*1.9</f>
        <v>18050</v>
      </c>
      <c r="N4">
        <f t="shared" ref="N4:N18" si="5">M4*12</f>
        <v>216600</v>
      </c>
      <c r="O4" s="33">
        <f t="shared" ref="O4:O18" si="6">O3*N$1+L4-N4</f>
        <v>183768.5</v>
      </c>
      <c r="S4" s="33"/>
      <c r="V4">
        <v>31</v>
      </c>
      <c r="W4">
        <v>1997</v>
      </c>
      <c r="X4" s="43">
        <f>200000/6.55/12/1.25</f>
        <v>2035.6234096692115</v>
      </c>
      <c r="Y4">
        <v>28</v>
      </c>
      <c r="Z4">
        <v>1997</v>
      </c>
      <c r="AA4" s="43">
        <v>2700</v>
      </c>
    </row>
    <row r="5" spans="1:27" x14ac:dyDescent="0.3">
      <c r="A5">
        <v>12</v>
      </c>
      <c r="B5" s="83">
        <v>52</v>
      </c>
      <c r="C5" s="125">
        <v>55</v>
      </c>
      <c r="D5">
        <v>2021</v>
      </c>
      <c r="E5" s="33">
        <f t="shared" ref="E5:E12" si="7">Q$8+S$8</f>
        <v>9500</v>
      </c>
      <c r="F5">
        <v>2000</v>
      </c>
      <c r="G5">
        <f t="shared" si="1"/>
        <v>138000</v>
      </c>
      <c r="H5" s="255">
        <f>($H$1+$G$1)*12</f>
        <v>118080</v>
      </c>
      <c r="I5">
        <f t="shared" si="2"/>
        <v>19920</v>
      </c>
      <c r="J5" s="43">
        <f t="shared" si="0"/>
        <v>196760</v>
      </c>
      <c r="L5">
        <f t="shared" si="3"/>
        <v>257750</v>
      </c>
      <c r="M5">
        <f t="shared" si="4"/>
        <v>18050</v>
      </c>
      <c r="N5">
        <f t="shared" si="5"/>
        <v>216600</v>
      </c>
      <c r="O5" s="33">
        <f t="shared" si="6"/>
        <v>229512.71250000002</v>
      </c>
      <c r="Q5" s="33">
        <v>175</v>
      </c>
      <c r="R5" s="33">
        <v>200</v>
      </c>
      <c r="S5" s="33">
        <v>200</v>
      </c>
      <c r="V5">
        <v>32</v>
      </c>
      <c r="W5">
        <v>1998</v>
      </c>
      <c r="X5" s="43">
        <f>270000/6.55/12/1.25</f>
        <v>2748.0916030534354</v>
      </c>
      <c r="Y5">
        <v>29</v>
      </c>
      <c r="Z5">
        <v>1998</v>
      </c>
      <c r="AA5" s="43">
        <v>2700</v>
      </c>
    </row>
    <row r="6" spans="1:27" x14ac:dyDescent="0.3">
      <c r="A6">
        <v>13</v>
      </c>
      <c r="B6" s="83">
        <v>53</v>
      </c>
      <c r="C6" s="125">
        <v>56</v>
      </c>
      <c r="D6">
        <v>2022</v>
      </c>
      <c r="E6" s="33">
        <f t="shared" si="7"/>
        <v>9500</v>
      </c>
      <c r="F6">
        <v>2000</v>
      </c>
      <c r="G6">
        <f t="shared" si="1"/>
        <v>138000</v>
      </c>
      <c r="H6" s="194">
        <f>($H$1+$G$1)*12+50000</f>
        <v>168080</v>
      </c>
      <c r="I6">
        <f t="shared" si="2"/>
        <v>-30080</v>
      </c>
      <c r="J6" s="43">
        <f t="shared" si="0"/>
        <v>166680</v>
      </c>
      <c r="L6">
        <f t="shared" si="3"/>
        <v>257750</v>
      </c>
      <c r="M6">
        <f t="shared" si="4"/>
        <v>18050</v>
      </c>
      <c r="N6">
        <f t="shared" si="5"/>
        <v>216600</v>
      </c>
      <c r="O6" s="33">
        <f t="shared" si="6"/>
        <v>276400.53031249996</v>
      </c>
      <c r="Q6" s="33">
        <f>Q3*Q5</f>
        <v>62562.500000000007</v>
      </c>
      <c r="R6" s="33">
        <f>R3*R5</f>
        <v>62150</v>
      </c>
      <c r="S6" s="33">
        <f>S3*S5</f>
        <v>80300.000000000015</v>
      </c>
      <c r="V6">
        <v>33</v>
      </c>
      <c r="W6">
        <v>1999</v>
      </c>
      <c r="X6" s="43">
        <f>270000/6.55/12/1.25</f>
        <v>2748.0916030534354</v>
      </c>
      <c r="Y6">
        <v>30</v>
      </c>
      <c r="Z6">
        <v>1999</v>
      </c>
      <c r="AA6" s="43">
        <v>2700</v>
      </c>
    </row>
    <row r="7" spans="1:27" x14ac:dyDescent="0.3">
      <c r="A7">
        <v>14</v>
      </c>
      <c r="B7" s="125">
        <v>54</v>
      </c>
      <c r="C7" s="83">
        <v>57</v>
      </c>
      <c r="D7">
        <v>2023</v>
      </c>
      <c r="E7" s="33">
        <f t="shared" si="7"/>
        <v>9500</v>
      </c>
      <c r="F7">
        <v>2000</v>
      </c>
      <c r="G7">
        <f t="shared" si="1"/>
        <v>138000</v>
      </c>
      <c r="H7" s="83">
        <f>($H$1+$G$1)*12+75000</f>
        <v>193080</v>
      </c>
      <c r="I7">
        <f t="shared" si="2"/>
        <v>-55080</v>
      </c>
      <c r="J7" s="43">
        <f t="shared" si="0"/>
        <v>111600</v>
      </c>
      <c r="L7">
        <f t="shared" si="3"/>
        <v>257750</v>
      </c>
      <c r="M7">
        <f t="shared" si="4"/>
        <v>18050</v>
      </c>
      <c r="N7">
        <f t="shared" si="5"/>
        <v>216600</v>
      </c>
      <c r="O7" s="33">
        <f t="shared" si="6"/>
        <v>324460.54357031244</v>
      </c>
      <c r="Q7" s="33">
        <f>Q6/12</f>
        <v>5213.541666666667</v>
      </c>
      <c r="R7" s="33">
        <f>R6/12</f>
        <v>5179.166666666667</v>
      </c>
      <c r="S7" s="33">
        <f>S6/12</f>
        <v>6691.6666666666679</v>
      </c>
      <c r="V7">
        <v>34</v>
      </c>
      <c r="W7">
        <v>2000</v>
      </c>
      <c r="X7" s="43">
        <f>270000/6.55/12/1.25</f>
        <v>2748.0916030534354</v>
      </c>
      <c r="Y7">
        <v>31</v>
      </c>
      <c r="Z7">
        <v>2000</v>
      </c>
      <c r="AA7" s="43">
        <v>2700</v>
      </c>
    </row>
    <row r="8" spans="1:27" x14ac:dyDescent="0.3">
      <c r="A8">
        <v>15</v>
      </c>
      <c r="B8" s="125">
        <v>55</v>
      </c>
      <c r="C8" s="83">
        <v>58</v>
      </c>
      <c r="D8">
        <v>2024</v>
      </c>
      <c r="E8" s="33">
        <f t="shared" si="7"/>
        <v>9500</v>
      </c>
      <c r="F8">
        <v>2000</v>
      </c>
      <c r="G8">
        <f t="shared" si="1"/>
        <v>138000</v>
      </c>
      <c r="H8" s="255">
        <f t="shared" ref="H8:H14" si="8">($H$1+$G$1)*12</f>
        <v>118080</v>
      </c>
      <c r="I8">
        <f t="shared" si="2"/>
        <v>19920</v>
      </c>
      <c r="J8" s="43">
        <f t="shared" si="0"/>
        <v>131520</v>
      </c>
      <c r="L8">
        <f t="shared" si="3"/>
        <v>257750</v>
      </c>
      <c r="M8">
        <f t="shared" si="4"/>
        <v>18050</v>
      </c>
      <c r="N8">
        <f t="shared" si="5"/>
        <v>216600</v>
      </c>
      <c r="O8" s="33">
        <f t="shared" si="6"/>
        <v>373722.05715957028</v>
      </c>
      <c r="Q8" s="126">
        <v>5000</v>
      </c>
      <c r="R8" s="126">
        <v>3500</v>
      </c>
      <c r="S8" s="126">
        <v>4500</v>
      </c>
      <c r="V8">
        <v>35</v>
      </c>
      <c r="W8">
        <v>2001</v>
      </c>
      <c r="X8" s="43">
        <f>300000/6.55/12/1.25</f>
        <v>3053.4351145038167</v>
      </c>
      <c r="Y8">
        <v>32</v>
      </c>
      <c r="Z8">
        <v>2001</v>
      </c>
      <c r="AA8" s="43">
        <v>2700</v>
      </c>
    </row>
    <row r="9" spans="1:27" x14ac:dyDescent="0.3">
      <c r="A9">
        <v>16</v>
      </c>
      <c r="B9" s="125">
        <v>56</v>
      </c>
      <c r="C9" s="83">
        <v>59</v>
      </c>
      <c r="D9">
        <v>2025</v>
      </c>
      <c r="E9" s="33">
        <f t="shared" si="7"/>
        <v>9500</v>
      </c>
      <c r="F9">
        <v>2000</v>
      </c>
      <c r="G9">
        <f t="shared" si="1"/>
        <v>138000</v>
      </c>
      <c r="H9" s="255">
        <f t="shared" si="8"/>
        <v>118080</v>
      </c>
      <c r="I9">
        <f t="shared" si="2"/>
        <v>19920</v>
      </c>
      <c r="J9" s="43">
        <f t="shared" si="0"/>
        <v>151440</v>
      </c>
      <c r="L9">
        <f t="shared" si="3"/>
        <v>257750</v>
      </c>
      <c r="M9">
        <f t="shared" si="4"/>
        <v>18050</v>
      </c>
      <c r="N9">
        <f t="shared" si="5"/>
        <v>216600</v>
      </c>
      <c r="O9" s="33">
        <f t="shared" si="6"/>
        <v>424215.10858855955</v>
      </c>
      <c r="Q9" s="33">
        <f>Q7-Q8</f>
        <v>213.54166666666697</v>
      </c>
      <c r="R9" s="33">
        <f>R7-R8</f>
        <v>1679.166666666667</v>
      </c>
      <c r="S9" s="33">
        <f>S7-S8</f>
        <v>2191.6666666666679</v>
      </c>
      <c r="V9">
        <v>36</v>
      </c>
      <c r="W9">
        <v>2002</v>
      </c>
      <c r="X9" s="43">
        <f>300000/6.55/12/1.25</f>
        <v>3053.4351145038167</v>
      </c>
      <c r="Y9">
        <v>33</v>
      </c>
      <c r="Z9">
        <v>2002</v>
      </c>
      <c r="AA9" s="43">
        <v>2700</v>
      </c>
    </row>
    <row r="10" spans="1:27" x14ac:dyDescent="0.3">
      <c r="A10">
        <v>17</v>
      </c>
      <c r="B10" s="83">
        <v>57</v>
      </c>
      <c r="C10" s="125">
        <v>60</v>
      </c>
      <c r="D10">
        <v>2026</v>
      </c>
      <c r="E10" s="33">
        <f>Q$8+S$8</f>
        <v>9500</v>
      </c>
      <c r="F10">
        <v>2000</v>
      </c>
      <c r="G10">
        <f t="shared" si="1"/>
        <v>138000</v>
      </c>
      <c r="H10" s="255">
        <f t="shared" si="8"/>
        <v>118080</v>
      </c>
      <c r="I10">
        <f t="shared" si="2"/>
        <v>19920</v>
      </c>
      <c r="J10" s="43">
        <f t="shared" si="0"/>
        <v>171360</v>
      </c>
      <c r="L10">
        <f t="shared" si="3"/>
        <v>257750</v>
      </c>
      <c r="M10">
        <f t="shared" ref="M10:M15" si="9">E10*1.9</f>
        <v>18050</v>
      </c>
      <c r="N10">
        <f t="shared" si="5"/>
        <v>216600</v>
      </c>
      <c r="O10" s="33">
        <f t="shared" si="6"/>
        <v>475970.48630327359</v>
      </c>
      <c r="Q10" s="33">
        <f>Q9/0.6*12</f>
        <v>4270.8333333333394</v>
      </c>
      <c r="R10" s="33">
        <f>R9/0.6*12</f>
        <v>33583.333333333343</v>
      </c>
      <c r="S10" s="33">
        <f>S9/0.6*12</f>
        <v>43833.333333333358</v>
      </c>
      <c r="V10">
        <v>37</v>
      </c>
      <c r="W10">
        <v>2003</v>
      </c>
      <c r="X10" s="43">
        <f t="shared" ref="X10:X11" si="10">300000/6.55/12/1.25</f>
        <v>3053.4351145038167</v>
      </c>
      <c r="Y10">
        <v>34</v>
      </c>
      <c r="Z10">
        <v>2003</v>
      </c>
      <c r="AA10" s="43">
        <v>2700</v>
      </c>
    </row>
    <row r="11" spans="1:27" x14ac:dyDescent="0.3">
      <c r="A11">
        <v>18</v>
      </c>
      <c r="B11" s="83">
        <v>58</v>
      </c>
      <c r="C11" s="125">
        <v>61</v>
      </c>
      <c r="D11">
        <v>2027</v>
      </c>
      <c r="E11" s="33">
        <f t="shared" si="7"/>
        <v>9500</v>
      </c>
      <c r="F11">
        <v>2900</v>
      </c>
      <c r="G11">
        <f t="shared" si="1"/>
        <v>148800</v>
      </c>
      <c r="H11" s="255">
        <f t="shared" si="8"/>
        <v>118080</v>
      </c>
      <c r="I11">
        <f t="shared" si="2"/>
        <v>30720</v>
      </c>
      <c r="J11" s="43">
        <f t="shared" si="0"/>
        <v>202080</v>
      </c>
      <c r="L11">
        <f t="shared" si="3"/>
        <v>257750</v>
      </c>
      <c r="M11">
        <f t="shared" si="9"/>
        <v>18050</v>
      </c>
      <c r="N11">
        <f t="shared" si="5"/>
        <v>216600</v>
      </c>
      <c r="O11" s="33">
        <f t="shared" si="6"/>
        <v>529019.74846085533</v>
      </c>
      <c r="Q11" s="145">
        <f>Q8*0.66</f>
        <v>3300</v>
      </c>
      <c r="S11" s="33"/>
      <c r="V11">
        <v>38</v>
      </c>
      <c r="W11">
        <v>2004</v>
      </c>
      <c r="X11" s="43">
        <f t="shared" si="10"/>
        <v>3053.4351145038167</v>
      </c>
      <c r="Y11">
        <v>35</v>
      </c>
      <c r="Z11">
        <v>2004</v>
      </c>
      <c r="AA11" s="43">
        <v>2700</v>
      </c>
    </row>
    <row r="12" spans="1:27" x14ac:dyDescent="0.3">
      <c r="A12">
        <v>19</v>
      </c>
      <c r="B12" s="83">
        <v>59</v>
      </c>
      <c r="C12" s="125">
        <v>62</v>
      </c>
      <c r="D12">
        <v>2028</v>
      </c>
      <c r="E12" s="33">
        <f t="shared" si="7"/>
        <v>9500</v>
      </c>
      <c r="F12">
        <v>2900</v>
      </c>
      <c r="G12">
        <f t="shared" si="1"/>
        <v>148800</v>
      </c>
      <c r="H12" s="255">
        <f t="shared" si="8"/>
        <v>118080</v>
      </c>
      <c r="I12">
        <f t="shared" si="2"/>
        <v>30720</v>
      </c>
      <c r="J12" s="43">
        <f t="shared" si="0"/>
        <v>232800</v>
      </c>
      <c r="L12">
        <f t="shared" si="3"/>
        <v>257750</v>
      </c>
      <c r="M12">
        <f t="shared" si="9"/>
        <v>18050</v>
      </c>
      <c r="N12">
        <f t="shared" si="5"/>
        <v>216600</v>
      </c>
      <c r="O12" s="33">
        <f t="shared" si="6"/>
        <v>583395.24217237672</v>
      </c>
      <c r="Q12" s="126">
        <v>2120</v>
      </c>
      <c r="R12" s="126">
        <v>2100</v>
      </c>
      <c r="S12" s="33"/>
      <c r="T12" s="126">
        <v>2250</v>
      </c>
      <c r="U12" s="126">
        <v>2250</v>
      </c>
      <c r="V12">
        <v>39</v>
      </c>
      <c r="W12">
        <v>2005</v>
      </c>
      <c r="X12" s="43">
        <f>55000/12/1.25</f>
        <v>3666.6666666666665</v>
      </c>
      <c r="Y12">
        <v>36</v>
      </c>
      <c r="Z12">
        <v>2005</v>
      </c>
      <c r="AA12" s="43">
        <v>2700</v>
      </c>
    </row>
    <row r="13" spans="1:27" x14ac:dyDescent="0.3">
      <c r="A13">
        <v>20</v>
      </c>
      <c r="B13" s="91">
        <v>60</v>
      </c>
      <c r="C13" s="91">
        <v>63</v>
      </c>
      <c r="D13">
        <v>2029</v>
      </c>
      <c r="E13" s="33">
        <f>Q$11+R$12</f>
        <v>5400</v>
      </c>
      <c r="F13">
        <f>F12+900</f>
        <v>3800</v>
      </c>
      <c r="G13">
        <f t="shared" si="1"/>
        <v>110400</v>
      </c>
      <c r="H13" s="125">
        <f>($H$1+$G$1)*12+100000</f>
        <v>218080</v>
      </c>
      <c r="I13">
        <f t="shared" si="2"/>
        <v>-107680</v>
      </c>
      <c r="J13" s="43">
        <f t="shared" si="0"/>
        <v>125120</v>
      </c>
      <c r="M13">
        <f>E13*1.9</f>
        <v>10260</v>
      </c>
      <c r="N13">
        <f t="shared" si="5"/>
        <v>123120</v>
      </c>
      <c r="O13" s="33">
        <f>O12*N$1+L13-N13</f>
        <v>474860.12322668603</v>
      </c>
      <c r="Q13" s="33">
        <v>3962</v>
      </c>
      <c r="R13" s="33">
        <v>4045</v>
      </c>
      <c r="S13" s="33"/>
      <c r="T13">
        <v>3952</v>
      </c>
      <c r="U13" s="33">
        <v>3896</v>
      </c>
      <c r="V13">
        <v>40</v>
      </c>
      <c r="W13">
        <v>2006</v>
      </c>
      <c r="X13" s="43">
        <f>65000/12/1.25</f>
        <v>4333.3333333333339</v>
      </c>
      <c r="Y13">
        <v>37</v>
      </c>
      <c r="Z13">
        <v>2006</v>
      </c>
      <c r="AA13" s="43">
        <v>2700</v>
      </c>
    </row>
    <row r="14" spans="1:27" x14ac:dyDescent="0.3">
      <c r="A14">
        <v>21</v>
      </c>
      <c r="B14">
        <v>61</v>
      </c>
      <c r="C14" s="91">
        <v>64</v>
      </c>
      <c r="D14">
        <v>2030</v>
      </c>
      <c r="E14" s="33">
        <f>Q$11+R$12</f>
        <v>5400</v>
      </c>
      <c r="F14">
        <f>F13</f>
        <v>3800</v>
      </c>
      <c r="G14">
        <f t="shared" si="1"/>
        <v>110400</v>
      </c>
      <c r="H14" s="255">
        <f t="shared" si="8"/>
        <v>118080</v>
      </c>
      <c r="I14">
        <f t="shared" si="2"/>
        <v>-7680</v>
      </c>
      <c r="J14" s="43">
        <f t="shared" si="0"/>
        <v>117440</v>
      </c>
      <c r="M14">
        <f t="shared" si="9"/>
        <v>10260</v>
      </c>
      <c r="N14">
        <f t="shared" si="5"/>
        <v>123120</v>
      </c>
      <c r="O14" s="33">
        <f t="shared" si="6"/>
        <v>363611.62630735314</v>
      </c>
      <c r="Q14" s="145">
        <f>Q13*0.66</f>
        <v>2614.92</v>
      </c>
      <c r="R14" s="145">
        <f>R13*0.66</f>
        <v>2669.7000000000003</v>
      </c>
      <c r="T14" s="145">
        <f>T13*0.66</f>
        <v>2608.3200000000002</v>
      </c>
      <c r="U14" s="145">
        <f>U13*0.66</f>
        <v>2571.36</v>
      </c>
      <c r="V14">
        <v>41</v>
      </c>
      <c r="W14">
        <v>2007</v>
      </c>
      <c r="X14" s="43">
        <f>67000/12/1.25</f>
        <v>4466.6666666666661</v>
      </c>
      <c r="Y14">
        <v>38</v>
      </c>
      <c r="Z14">
        <v>2007</v>
      </c>
      <c r="AA14" s="43">
        <v>3000</v>
      </c>
    </row>
    <row r="15" spans="1:27" x14ac:dyDescent="0.3">
      <c r="A15">
        <v>22</v>
      </c>
      <c r="B15">
        <v>62</v>
      </c>
      <c r="C15" s="91">
        <v>65</v>
      </c>
      <c r="D15">
        <v>2031</v>
      </c>
      <c r="E15">
        <f t="shared" ref="E15" si="11">Q$12+R$12</f>
        <v>4220</v>
      </c>
      <c r="F15">
        <f t="shared" ref="F15:F27" si="12">F14</f>
        <v>3800</v>
      </c>
      <c r="G15">
        <f t="shared" si="1"/>
        <v>96240</v>
      </c>
      <c r="H15" s="255">
        <f>($H$1+$G$1)*12</f>
        <v>118080</v>
      </c>
      <c r="I15">
        <f t="shared" si="2"/>
        <v>-21840</v>
      </c>
      <c r="J15" s="43">
        <f t="shared" si="0"/>
        <v>95600</v>
      </c>
      <c r="M15">
        <f t="shared" si="9"/>
        <v>8018</v>
      </c>
      <c r="N15">
        <f t="shared" si="5"/>
        <v>96216</v>
      </c>
      <c r="O15" s="33">
        <f t="shared" si="6"/>
        <v>276485.91696503694</v>
      </c>
      <c r="V15">
        <v>42</v>
      </c>
      <c r="W15">
        <v>2008</v>
      </c>
      <c r="X15" s="43">
        <f t="shared" ref="X15:X16" si="13">67000/12/1.25</f>
        <v>4466.6666666666661</v>
      </c>
      <c r="Y15">
        <v>39</v>
      </c>
      <c r="Z15">
        <v>2008</v>
      </c>
      <c r="AA15" s="43">
        <v>3200</v>
      </c>
    </row>
    <row r="16" spans="1:27" x14ac:dyDescent="0.3">
      <c r="A16" s="93">
        <v>23</v>
      </c>
      <c r="B16">
        <v>63</v>
      </c>
      <c r="C16" s="91">
        <v>66</v>
      </c>
      <c r="D16">
        <v>2032</v>
      </c>
      <c r="E16" s="33">
        <f>Q$12+R$12</f>
        <v>4220</v>
      </c>
      <c r="F16">
        <f t="shared" si="12"/>
        <v>3800</v>
      </c>
      <c r="G16">
        <f t="shared" si="1"/>
        <v>96240</v>
      </c>
      <c r="H16" s="194">
        <f>($H$1+$G$1)*12+30000</f>
        <v>148080</v>
      </c>
      <c r="I16">
        <f t="shared" si="2"/>
        <v>-51840</v>
      </c>
      <c r="J16" s="43">
        <f>J15+I16</f>
        <v>43760</v>
      </c>
      <c r="M16">
        <f>E16*1.9</f>
        <v>8018</v>
      </c>
      <c r="N16">
        <f>M16*12</f>
        <v>96216</v>
      </c>
      <c r="O16" s="33">
        <f>O15*N$1+L16-N16</f>
        <v>187182.06488916284</v>
      </c>
      <c r="V16">
        <v>43</v>
      </c>
      <c r="W16">
        <v>2009</v>
      </c>
      <c r="X16" s="43">
        <f t="shared" si="13"/>
        <v>4466.6666666666661</v>
      </c>
      <c r="Y16">
        <v>40</v>
      </c>
      <c r="Z16">
        <v>2009</v>
      </c>
      <c r="AA16" s="43">
        <v>3200</v>
      </c>
    </row>
    <row r="17" spans="1:27" x14ac:dyDescent="0.3">
      <c r="A17">
        <v>24</v>
      </c>
      <c r="B17">
        <v>64</v>
      </c>
      <c r="C17" s="91">
        <v>67</v>
      </c>
      <c r="D17">
        <v>2033</v>
      </c>
      <c r="E17" s="33">
        <f t="shared" ref="E17:E18" si="14">Q$12+R$12</f>
        <v>4220</v>
      </c>
      <c r="F17">
        <f t="shared" si="12"/>
        <v>3800</v>
      </c>
      <c r="G17">
        <f>(E17+F17)*12</f>
        <v>96240</v>
      </c>
      <c r="H17" s="255">
        <f>($H$1+$G$1)*12</f>
        <v>118080</v>
      </c>
      <c r="I17">
        <f t="shared" si="2"/>
        <v>-21840</v>
      </c>
      <c r="J17" s="43">
        <f t="shared" ref="J17:J53" si="15">J16+I17</f>
        <v>21920</v>
      </c>
      <c r="M17">
        <f t="shared" ref="M17:M18" si="16">E17*1.9</f>
        <v>8018</v>
      </c>
      <c r="N17">
        <f t="shared" si="5"/>
        <v>96216</v>
      </c>
      <c r="O17" s="33">
        <f t="shared" si="6"/>
        <v>95645.616511391883</v>
      </c>
      <c r="V17">
        <v>44</v>
      </c>
      <c r="W17">
        <v>2010</v>
      </c>
      <c r="X17" s="43">
        <f>65000/12/1.25*0.83</f>
        <v>3596.666666666667</v>
      </c>
      <c r="Y17">
        <v>41</v>
      </c>
      <c r="Z17">
        <v>2010</v>
      </c>
      <c r="AA17" s="43">
        <v>3200</v>
      </c>
    </row>
    <row r="18" spans="1:27" x14ac:dyDescent="0.3">
      <c r="A18">
        <v>25</v>
      </c>
      <c r="B18">
        <v>65</v>
      </c>
      <c r="C18" s="91">
        <v>68</v>
      </c>
      <c r="D18">
        <v>2034</v>
      </c>
      <c r="E18" s="33">
        <f t="shared" si="14"/>
        <v>4220</v>
      </c>
      <c r="F18">
        <f t="shared" si="12"/>
        <v>3800</v>
      </c>
      <c r="G18">
        <f t="shared" si="1"/>
        <v>96240</v>
      </c>
      <c r="H18" s="194">
        <f>($H$1)*12+30000</f>
        <v>90000</v>
      </c>
      <c r="I18">
        <f t="shared" si="2"/>
        <v>6240</v>
      </c>
      <c r="J18" s="43">
        <f t="shared" si="15"/>
        <v>28160</v>
      </c>
      <c r="M18">
        <f t="shared" si="16"/>
        <v>8018</v>
      </c>
      <c r="N18">
        <f t="shared" si="5"/>
        <v>96216</v>
      </c>
      <c r="O18" s="33">
        <f t="shared" si="6"/>
        <v>1820.756924176676</v>
      </c>
      <c r="V18">
        <v>45</v>
      </c>
      <c r="W18">
        <v>2011</v>
      </c>
      <c r="X18" s="43">
        <f>65000/12/1.25*0.66</f>
        <v>2860.0000000000005</v>
      </c>
      <c r="Y18">
        <v>42</v>
      </c>
      <c r="Z18">
        <v>2011</v>
      </c>
      <c r="AA18" s="43">
        <v>3200</v>
      </c>
    </row>
    <row r="19" spans="1:27" x14ac:dyDescent="0.3">
      <c r="A19">
        <v>26</v>
      </c>
      <c r="B19">
        <v>66</v>
      </c>
      <c r="C19" s="91">
        <v>69</v>
      </c>
      <c r="D19">
        <v>2035</v>
      </c>
      <c r="E19" s="33">
        <f>Q$14+R$14</f>
        <v>5284.6200000000008</v>
      </c>
      <c r="F19">
        <f t="shared" si="12"/>
        <v>3800</v>
      </c>
      <c r="G19">
        <f t="shared" si="1"/>
        <v>109015.44</v>
      </c>
      <c r="H19">
        <f t="shared" ref="H19:H21" si="17">$H$1*12</f>
        <v>60000</v>
      </c>
      <c r="I19">
        <f t="shared" si="2"/>
        <v>49015.44</v>
      </c>
      <c r="J19" s="43">
        <f t="shared" si="15"/>
        <v>77175.44</v>
      </c>
      <c r="V19">
        <v>46</v>
      </c>
      <c r="W19">
        <v>2012</v>
      </c>
      <c r="X19" s="43">
        <f>65000/12/1.25*0.66/2+2000/2</f>
        <v>2430</v>
      </c>
      <c r="Y19">
        <v>43</v>
      </c>
      <c r="Z19">
        <v>2012</v>
      </c>
      <c r="AA19" s="43">
        <v>3200</v>
      </c>
    </row>
    <row r="20" spans="1:27" x14ac:dyDescent="0.3">
      <c r="A20">
        <v>27</v>
      </c>
      <c r="B20">
        <v>67</v>
      </c>
      <c r="C20" s="91">
        <v>70</v>
      </c>
      <c r="D20">
        <v>2036</v>
      </c>
      <c r="E20" s="33">
        <f t="shared" ref="E20:E53" si="18">Q$14+R$14</f>
        <v>5284.6200000000008</v>
      </c>
      <c r="F20">
        <f t="shared" si="12"/>
        <v>3800</v>
      </c>
      <c r="G20">
        <f t="shared" si="1"/>
        <v>109015.44</v>
      </c>
      <c r="H20">
        <f t="shared" si="17"/>
        <v>60000</v>
      </c>
      <c r="I20">
        <f t="shared" si="2"/>
        <v>49015.44</v>
      </c>
      <c r="J20" s="43">
        <f t="shared" si="15"/>
        <v>126190.88</v>
      </c>
      <c r="V20">
        <v>47</v>
      </c>
      <c r="W20">
        <v>2013</v>
      </c>
      <c r="X20" s="43">
        <f>1000+3500/2</f>
        <v>2750</v>
      </c>
      <c r="Y20">
        <v>44</v>
      </c>
      <c r="Z20">
        <v>2013</v>
      </c>
      <c r="AA20" s="43">
        <v>3200</v>
      </c>
    </row>
    <row r="21" spans="1:27" x14ac:dyDescent="0.3">
      <c r="A21">
        <v>28</v>
      </c>
      <c r="B21">
        <v>68</v>
      </c>
      <c r="C21" s="91">
        <v>71</v>
      </c>
      <c r="D21">
        <v>2037</v>
      </c>
      <c r="E21" s="33">
        <f t="shared" si="18"/>
        <v>5284.6200000000008</v>
      </c>
      <c r="F21">
        <f t="shared" si="12"/>
        <v>3800</v>
      </c>
      <c r="G21">
        <f t="shared" si="1"/>
        <v>109015.44</v>
      </c>
      <c r="H21">
        <f t="shared" si="17"/>
        <v>60000</v>
      </c>
      <c r="I21">
        <f t="shared" si="2"/>
        <v>49015.44</v>
      </c>
      <c r="J21" s="43">
        <f t="shared" si="15"/>
        <v>175206.32</v>
      </c>
      <c r="V21">
        <v>48</v>
      </c>
      <c r="W21">
        <v>2014</v>
      </c>
      <c r="X21" s="43">
        <f>3500/2+3500/2*0.66</f>
        <v>2905</v>
      </c>
      <c r="Y21">
        <v>45</v>
      </c>
      <c r="Z21">
        <v>2014</v>
      </c>
      <c r="AA21" s="43">
        <v>3200</v>
      </c>
    </row>
    <row r="22" spans="1:27" x14ac:dyDescent="0.3">
      <c r="A22">
        <v>29</v>
      </c>
      <c r="B22">
        <v>69</v>
      </c>
      <c r="C22" s="91">
        <v>72</v>
      </c>
      <c r="D22">
        <v>2038</v>
      </c>
      <c r="E22" s="33">
        <f t="shared" si="18"/>
        <v>5284.6200000000008</v>
      </c>
      <c r="F22">
        <f t="shared" si="12"/>
        <v>3800</v>
      </c>
      <c r="G22">
        <f t="shared" si="1"/>
        <v>109015.44</v>
      </c>
      <c r="H22">
        <f t="shared" ref="H22:H65" si="19">$H$1*12</f>
        <v>60000</v>
      </c>
      <c r="I22">
        <f t="shared" si="2"/>
        <v>49015.44</v>
      </c>
      <c r="J22" s="43">
        <f t="shared" si="15"/>
        <v>224221.76</v>
      </c>
      <c r="V22">
        <v>49</v>
      </c>
      <c r="W22">
        <v>2015</v>
      </c>
      <c r="X22" s="43">
        <f>3500*0.66</f>
        <v>2310</v>
      </c>
      <c r="Y22">
        <v>46</v>
      </c>
      <c r="Z22">
        <v>2015</v>
      </c>
      <c r="AA22" s="43">
        <v>3200</v>
      </c>
    </row>
    <row r="23" spans="1:27" x14ac:dyDescent="0.3">
      <c r="A23">
        <v>30</v>
      </c>
      <c r="B23">
        <v>70</v>
      </c>
      <c r="C23" s="91">
        <v>73</v>
      </c>
      <c r="D23">
        <v>2039</v>
      </c>
      <c r="E23" s="33">
        <f t="shared" si="18"/>
        <v>5284.6200000000008</v>
      </c>
      <c r="F23">
        <f t="shared" si="12"/>
        <v>3800</v>
      </c>
      <c r="G23">
        <f t="shared" si="1"/>
        <v>109015.44</v>
      </c>
      <c r="H23">
        <f t="shared" si="19"/>
        <v>60000</v>
      </c>
      <c r="I23">
        <f t="shared" si="2"/>
        <v>49015.44</v>
      </c>
      <c r="J23" s="43">
        <f t="shared" si="15"/>
        <v>273237.2</v>
      </c>
      <c r="V23">
        <v>50</v>
      </c>
      <c r="W23">
        <v>2016</v>
      </c>
      <c r="X23" s="43">
        <f t="shared" ref="X23" si="20">3500*0.66</f>
        <v>2310</v>
      </c>
      <c r="Y23">
        <v>47</v>
      </c>
      <c r="Z23">
        <v>2016</v>
      </c>
      <c r="AA23" s="43">
        <v>3200</v>
      </c>
    </row>
    <row r="24" spans="1:27" x14ac:dyDescent="0.3">
      <c r="A24">
        <v>31</v>
      </c>
      <c r="B24">
        <v>71</v>
      </c>
      <c r="C24" s="91">
        <v>74</v>
      </c>
      <c r="D24">
        <v>2040</v>
      </c>
      <c r="E24" s="33">
        <f t="shared" si="18"/>
        <v>5284.6200000000008</v>
      </c>
      <c r="F24">
        <f t="shared" si="12"/>
        <v>3800</v>
      </c>
      <c r="G24">
        <f t="shared" si="1"/>
        <v>109015.44</v>
      </c>
      <c r="H24">
        <f t="shared" si="19"/>
        <v>60000</v>
      </c>
      <c r="I24">
        <f t="shared" si="2"/>
        <v>49015.44</v>
      </c>
      <c r="J24" s="43">
        <f t="shared" si="15"/>
        <v>322252.64</v>
      </c>
      <c r="V24">
        <v>51</v>
      </c>
      <c r="W24">
        <v>2017</v>
      </c>
      <c r="X24" s="43">
        <v>3500</v>
      </c>
      <c r="Y24">
        <v>48</v>
      </c>
      <c r="Z24">
        <v>2017</v>
      </c>
      <c r="AA24" s="43">
        <v>3200</v>
      </c>
    </row>
    <row r="25" spans="1:27" x14ac:dyDescent="0.3">
      <c r="A25">
        <v>32</v>
      </c>
      <c r="B25">
        <v>72</v>
      </c>
      <c r="C25" s="91">
        <v>75</v>
      </c>
      <c r="D25">
        <v>2041</v>
      </c>
      <c r="E25" s="33">
        <f t="shared" si="18"/>
        <v>5284.6200000000008</v>
      </c>
      <c r="F25">
        <f t="shared" si="12"/>
        <v>3800</v>
      </c>
      <c r="G25">
        <f t="shared" si="1"/>
        <v>109015.44</v>
      </c>
      <c r="H25">
        <f t="shared" si="19"/>
        <v>60000</v>
      </c>
      <c r="I25">
        <f t="shared" si="2"/>
        <v>49015.44</v>
      </c>
      <c r="J25" s="43">
        <f t="shared" si="15"/>
        <v>371268.08</v>
      </c>
      <c r="V25">
        <v>52</v>
      </c>
      <c r="W25">
        <v>2018</v>
      </c>
      <c r="X25" s="43">
        <v>3500</v>
      </c>
      <c r="Y25">
        <v>49</v>
      </c>
      <c r="Z25">
        <v>2018</v>
      </c>
      <c r="AA25" s="43">
        <v>4500</v>
      </c>
    </row>
    <row r="26" spans="1:27" x14ac:dyDescent="0.3">
      <c r="A26">
        <v>33</v>
      </c>
      <c r="B26">
        <v>73</v>
      </c>
      <c r="C26" s="91">
        <v>76</v>
      </c>
      <c r="D26">
        <v>2042</v>
      </c>
      <c r="E26" s="33">
        <f t="shared" si="18"/>
        <v>5284.6200000000008</v>
      </c>
      <c r="F26">
        <f t="shared" si="12"/>
        <v>3800</v>
      </c>
      <c r="G26">
        <f t="shared" si="1"/>
        <v>109015.44</v>
      </c>
      <c r="H26">
        <f t="shared" si="19"/>
        <v>60000</v>
      </c>
      <c r="I26">
        <f t="shared" si="2"/>
        <v>49015.44</v>
      </c>
      <c r="J26" s="43">
        <f t="shared" si="15"/>
        <v>420283.52</v>
      </c>
      <c r="V26">
        <v>53</v>
      </c>
      <c r="W26">
        <v>2019</v>
      </c>
      <c r="X26" s="43">
        <v>4500</v>
      </c>
      <c r="Y26">
        <v>50</v>
      </c>
      <c r="Z26">
        <v>2019</v>
      </c>
      <c r="AA26" s="43">
        <v>5000</v>
      </c>
    </row>
    <row r="27" spans="1:27" x14ac:dyDescent="0.3">
      <c r="A27">
        <v>34</v>
      </c>
      <c r="B27">
        <v>74</v>
      </c>
      <c r="C27" s="91">
        <v>77</v>
      </c>
      <c r="D27">
        <v>2043</v>
      </c>
      <c r="E27" s="33">
        <f t="shared" si="18"/>
        <v>5284.6200000000008</v>
      </c>
      <c r="F27">
        <f t="shared" si="12"/>
        <v>3800</v>
      </c>
      <c r="G27">
        <f t="shared" si="1"/>
        <v>109015.44</v>
      </c>
      <c r="H27">
        <f t="shared" si="19"/>
        <v>60000</v>
      </c>
      <c r="I27">
        <f t="shared" si="2"/>
        <v>49015.44</v>
      </c>
      <c r="J27" s="43">
        <f t="shared" si="15"/>
        <v>469298.96</v>
      </c>
      <c r="N27" t="s">
        <v>407</v>
      </c>
      <c r="V27">
        <v>54</v>
      </c>
      <c r="W27">
        <v>2020</v>
      </c>
      <c r="X27" s="43">
        <v>4500</v>
      </c>
      <c r="Y27">
        <v>51</v>
      </c>
      <c r="Z27">
        <v>2020</v>
      </c>
      <c r="AA27" s="43">
        <v>5000</v>
      </c>
    </row>
    <row r="28" spans="1:27" x14ac:dyDescent="0.3">
      <c r="A28">
        <v>35</v>
      </c>
      <c r="B28">
        <v>75</v>
      </c>
      <c r="C28" s="91">
        <v>78</v>
      </c>
      <c r="D28">
        <v>2044</v>
      </c>
      <c r="E28" s="33">
        <f t="shared" si="18"/>
        <v>5284.6200000000008</v>
      </c>
      <c r="F28">
        <f t="shared" ref="F28:F65" si="21">F27</f>
        <v>3800</v>
      </c>
      <c r="G28">
        <f t="shared" si="1"/>
        <v>109015.44</v>
      </c>
      <c r="H28">
        <f t="shared" si="19"/>
        <v>60000</v>
      </c>
      <c r="I28">
        <f t="shared" si="2"/>
        <v>49015.44</v>
      </c>
      <c r="J28" s="43">
        <f t="shared" si="15"/>
        <v>518314.4</v>
      </c>
      <c r="V28">
        <v>55</v>
      </c>
      <c r="W28">
        <v>2021</v>
      </c>
      <c r="X28" s="43">
        <v>4500</v>
      </c>
      <c r="Y28">
        <v>52</v>
      </c>
      <c r="Z28">
        <v>2021</v>
      </c>
      <c r="AA28" s="43">
        <v>5000</v>
      </c>
    </row>
    <row r="29" spans="1:27" x14ac:dyDescent="0.3">
      <c r="A29">
        <v>36</v>
      </c>
      <c r="B29">
        <v>76</v>
      </c>
      <c r="C29" s="91">
        <v>79</v>
      </c>
      <c r="D29">
        <v>2045</v>
      </c>
      <c r="E29" s="33">
        <f t="shared" si="18"/>
        <v>5284.6200000000008</v>
      </c>
      <c r="F29">
        <f t="shared" si="21"/>
        <v>3800</v>
      </c>
      <c r="G29">
        <f t="shared" si="1"/>
        <v>109015.44</v>
      </c>
      <c r="H29">
        <f t="shared" si="19"/>
        <v>60000</v>
      </c>
      <c r="I29">
        <f t="shared" si="2"/>
        <v>49015.44</v>
      </c>
      <c r="J29" s="43">
        <f t="shared" si="15"/>
        <v>567329.84000000008</v>
      </c>
      <c r="V29">
        <v>56</v>
      </c>
      <c r="W29">
        <v>2022</v>
      </c>
      <c r="X29" s="43">
        <v>4500</v>
      </c>
      <c r="Y29">
        <v>53</v>
      </c>
      <c r="Z29">
        <v>2022</v>
      </c>
      <c r="AA29" s="43">
        <v>5000</v>
      </c>
    </row>
    <row r="30" spans="1:27" x14ac:dyDescent="0.3">
      <c r="A30">
        <v>37</v>
      </c>
      <c r="B30">
        <v>77</v>
      </c>
      <c r="C30" s="91">
        <v>80</v>
      </c>
      <c r="D30">
        <v>2046</v>
      </c>
      <c r="E30" s="33">
        <f t="shared" si="18"/>
        <v>5284.6200000000008</v>
      </c>
      <c r="F30">
        <f t="shared" si="21"/>
        <v>3800</v>
      </c>
      <c r="G30">
        <f t="shared" si="1"/>
        <v>109015.44</v>
      </c>
      <c r="H30">
        <f t="shared" si="19"/>
        <v>60000</v>
      </c>
      <c r="I30">
        <f t="shared" si="2"/>
        <v>49015.44</v>
      </c>
      <c r="J30" s="43">
        <f t="shared" si="15"/>
        <v>616345.28</v>
      </c>
      <c r="V30">
        <v>57</v>
      </c>
      <c r="W30">
        <v>2023</v>
      </c>
      <c r="X30" s="43">
        <v>4500</v>
      </c>
      <c r="Y30">
        <v>54</v>
      </c>
      <c r="Z30">
        <v>2023</v>
      </c>
      <c r="AA30" s="43">
        <v>5000</v>
      </c>
    </row>
    <row r="31" spans="1:27" x14ac:dyDescent="0.3">
      <c r="A31">
        <v>38</v>
      </c>
      <c r="B31">
        <v>78</v>
      </c>
      <c r="C31" s="91">
        <v>81</v>
      </c>
      <c r="D31">
        <v>2047</v>
      </c>
      <c r="E31" s="33">
        <f t="shared" si="18"/>
        <v>5284.6200000000008</v>
      </c>
      <c r="F31">
        <f t="shared" si="21"/>
        <v>3800</v>
      </c>
      <c r="G31">
        <f t="shared" si="1"/>
        <v>109015.44</v>
      </c>
      <c r="H31">
        <f t="shared" si="19"/>
        <v>60000</v>
      </c>
      <c r="I31">
        <f t="shared" si="2"/>
        <v>49015.44</v>
      </c>
      <c r="J31" s="43">
        <f t="shared" si="15"/>
        <v>665360.72</v>
      </c>
      <c r="V31">
        <v>58</v>
      </c>
      <c r="W31">
        <v>2024</v>
      </c>
      <c r="X31" s="43">
        <v>4500</v>
      </c>
      <c r="Y31">
        <v>55</v>
      </c>
      <c r="Z31">
        <v>2024</v>
      </c>
      <c r="AA31" s="43">
        <v>5000</v>
      </c>
    </row>
    <row r="32" spans="1:27" x14ac:dyDescent="0.3">
      <c r="A32">
        <v>39</v>
      </c>
      <c r="B32">
        <v>79</v>
      </c>
      <c r="C32" s="91">
        <v>82</v>
      </c>
      <c r="D32">
        <v>2048</v>
      </c>
      <c r="E32" s="33">
        <f t="shared" si="18"/>
        <v>5284.6200000000008</v>
      </c>
      <c r="F32">
        <f t="shared" si="21"/>
        <v>3800</v>
      </c>
      <c r="G32">
        <f t="shared" si="1"/>
        <v>109015.44</v>
      </c>
      <c r="H32">
        <f t="shared" si="19"/>
        <v>60000</v>
      </c>
      <c r="I32">
        <f t="shared" si="2"/>
        <v>49015.44</v>
      </c>
      <c r="J32" s="43">
        <f t="shared" si="15"/>
        <v>714376.15999999992</v>
      </c>
      <c r="V32">
        <v>59</v>
      </c>
      <c r="W32">
        <v>2025</v>
      </c>
      <c r="X32" s="43">
        <v>4500</v>
      </c>
      <c r="Y32">
        <v>56</v>
      </c>
      <c r="Z32">
        <v>2025</v>
      </c>
      <c r="AA32" s="43">
        <v>5000</v>
      </c>
    </row>
    <row r="33" spans="1:27" x14ac:dyDescent="0.3">
      <c r="A33">
        <v>40</v>
      </c>
      <c r="B33">
        <v>80</v>
      </c>
      <c r="C33" s="91">
        <v>83</v>
      </c>
      <c r="D33">
        <v>2049</v>
      </c>
      <c r="E33" s="33">
        <f t="shared" si="18"/>
        <v>5284.6200000000008</v>
      </c>
      <c r="F33">
        <f t="shared" si="21"/>
        <v>3800</v>
      </c>
      <c r="G33">
        <f t="shared" si="1"/>
        <v>109015.44</v>
      </c>
      <c r="H33">
        <f t="shared" si="19"/>
        <v>60000</v>
      </c>
      <c r="I33">
        <f t="shared" si="2"/>
        <v>49015.44</v>
      </c>
      <c r="J33" s="43">
        <f t="shared" si="15"/>
        <v>763391.59999999986</v>
      </c>
      <c r="V33">
        <v>60</v>
      </c>
      <c r="W33">
        <v>2026</v>
      </c>
      <c r="X33" s="43">
        <v>4500</v>
      </c>
      <c r="Y33">
        <v>57</v>
      </c>
      <c r="Z33">
        <v>2026</v>
      </c>
      <c r="AA33" s="43">
        <v>5000</v>
      </c>
    </row>
    <row r="34" spans="1:27" x14ac:dyDescent="0.3">
      <c r="A34">
        <v>41</v>
      </c>
      <c r="B34">
        <v>81</v>
      </c>
      <c r="C34" s="91">
        <v>84</v>
      </c>
      <c r="D34">
        <v>2050</v>
      </c>
      <c r="E34" s="33">
        <f t="shared" si="18"/>
        <v>5284.6200000000008</v>
      </c>
      <c r="F34">
        <f t="shared" si="21"/>
        <v>3800</v>
      </c>
      <c r="G34">
        <f t="shared" si="1"/>
        <v>109015.44</v>
      </c>
      <c r="H34">
        <f t="shared" si="19"/>
        <v>60000</v>
      </c>
      <c r="I34">
        <f t="shared" si="2"/>
        <v>49015.44</v>
      </c>
      <c r="J34" s="43">
        <f t="shared" si="15"/>
        <v>812407.0399999998</v>
      </c>
      <c r="V34">
        <v>61</v>
      </c>
      <c r="W34">
        <v>2027</v>
      </c>
      <c r="X34" s="43">
        <v>4500</v>
      </c>
      <c r="Y34">
        <v>58</v>
      </c>
      <c r="Z34">
        <v>2027</v>
      </c>
      <c r="AA34" s="43">
        <v>5000</v>
      </c>
    </row>
    <row r="35" spans="1:27" x14ac:dyDescent="0.3">
      <c r="A35">
        <v>42</v>
      </c>
      <c r="B35">
        <v>82</v>
      </c>
      <c r="C35" s="91">
        <v>85</v>
      </c>
      <c r="D35">
        <v>2051</v>
      </c>
      <c r="E35" s="33">
        <f t="shared" si="18"/>
        <v>5284.6200000000008</v>
      </c>
      <c r="F35">
        <f t="shared" si="21"/>
        <v>3800</v>
      </c>
      <c r="G35">
        <f t="shared" si="1"/>
        <v>109015.44</v>
      </c>
      <c r="H35">
        <f t="shared" si="19"/>
        <v>60000</v>
      </c>
      <c r="I35">
        <f t="shared" si="2"/>
        <v>49015.44</v>
      </c>
      <c r="J35" s="43">
        <f t="shared" si="15"/>
        <v>861422.47999999975</v>
      </c>
      <c r="V35">
        <v>62</v>
      </c>
      <c r="W35">
        <v>2028</v>
      </c>
      <c r="X35" s="43">
        <v>4500</v>
      </c>
      <c r="Y35">
        <v>59</v>
      </c>
      <c r="Z35">
        <v>2028</v>
      </c>
      <c r="AA35" s="43">
        <v>5000</v>
      </c>
    </row>
    <row r="36" spans="1:27" x14ac:dyDescent="0.3">
      <c r="A36">
        <v>43</v>
      </c>
      <c r="B36">
        <v>83</v>
      </c>
      <c r="C36" s="91">
        <v>86</v>
      </c>
      <c r="D36">
        <v>2052</v>
      </c>
      <c r="E36" s="33">
        <f t="shared" si="18"/>
        <v>5284.6200000000008</v>
      </c>
      <c r="F36">
        <f t="shared" si="21"/>
        <v>3800</v>
      </c>
      <c r="G36">
        <f t="shared" si="1"/>
        <v>109015.44</v>
      </c>
      <c r="H36">
        <f t="shared" si="19"/>
        <v>60000</v>
      </c>
      <c r="I36">
        <f t="shared" si="2"/>
        <v>49015.44</v>
      </c>
      <c r="J36" s="43">
        <f t="shared" si="15"/>
        <v>910437.91999999969</v>
      </c>
      <c r="V36">
        <v>63</v>
      </c>
      <c r="W36">
        <v>2029</v>
      </c>
      <c r="X36" s="43">
        <v>4500</v>
      </c>
      <c r="Y36">
        <v>60</v>
      </c>
      <c r="Z36">
        <v>2029</v>
      </c>
      <c r="AA36" s="43">
        <f>AA35*0.66</f>
        <v>3300</v>
      </c>
    </row>
    <row r="37" spans="1:27" x14ac:dyDescent="0.3">
      <c r="A37">
        <v>44</v>
      </c>
      <c r="B37">
        <v>84</v>
      </c>
      <c r="C37" s="91">
        <v>87</v>
      </c>
      <c r="D37">
        <v>2053</v>
      </c>
      <c r="E37" s="33">
        <f t="shared" si="18"/>
        <v>5284.6200000000008</v>
      </c>
      <c r="F37">
        <f t="shared" si="21"/>
        <v>3800</v>
      </c>
      <c r="G37">
        <f t="shared" si="1"/>
        <v>109015.44</v>
      </c>
      <c r="H37">
        <f t="shared" si="19"/>
        <v>60000</v>
      </c>
      <c r="I37">
        <f t="shared" si="2"/>
        <v>49015.44</v>
      </c>
      <c r="J37" s="43">
        <f t="shared" si="15"/>
        <v>959453.35999999964</v>
      </c>
      <c r="V37">
        <v>64</v>
      </c>
      <c r="W37">
        <v>2030</v>
      </c>
      <c r="X37" s="43">
        <v>4500</v>
      </c>
      <c r="Y37">
        <v>61</v>
      </c>
      <c r="Z37">
        <v>2030</v>
      </c>
      <c r="AA37" s="43">
        <f>AA36</f>
        <v>3300</v>
      </c>
    </row>
    <row r="38" spans="1:27" x14ac:dyDescent="0.3">
      <c r="A38">
        <v>45</v>
      </c>
      <c r="B38">
        <v>85</v>
      </c>
      <c r="C38" s="91">
        <v>88</v>
      </c>
      <c r="D38">
        <v>2054</v>
      </c>
      <c r="E38" s="33">
        <f t="shared" si="18"/>
        <v>5284.6200000000008</v>
      </c>
      <c r="F38">
        <f t="shared" si="21"/>
        <v>3800</v>
      </c>
      <c r="G38">
        <f t="shared" si="1"/>
        <v>109015.44</v>
      </c>
      <c r="H38">
        <f t="shared" si="19"/>
        <v>60000</v>
      </c>
      <c r="I38">
        <f t="shared" si="2"/>
        <v>49015.44</v>
      </c>
      <c r="J38" s="43">
        <f t="shared" si="15"/>
        <v>1008468.7999999996</v>
      </c>
      <c r="V38">
        <v>65</v>
      </c>
      <c r="W38">
        <v>2031</v>
      </c>
      <c r="X38" s="43">
        <v>2000</v>
      </c>
      <c r="Y38">
        <v>62</v>
      </c>
      <c r="Z38">
        <v>2031</v>
      </c>
      <c r="AA38" s="43">
        <v>2000</v>
      </c>
    </row>
    <row r="39" spans="1:27" x14ac:dyDescent="0.3">
      <c r="A39">
        <v>46</v>
      </c>
      <c r="B39">
        <v>86</v>
      </c>
      <c r="C39" s="91">
        <v>89</v>
      </c>
      <c r="D39">
        <v>2055</v>
      </c>
      <c r="E39" s="33">
        <f t="shared" si="18"/>
        <v>5284.6200000000008</v>
      </c>
      <c r="F39">
        <f t="shared" si="21"/>
        <v>3800</v>
      </c>
      <c r="G39">
        <f t="shared" si="1"/>
        <v>109015.44</v>
      </c>
      <c r="H39">
        <f t="shared" si="19"/>
        <v>60000</v>
      </c>
      <c r="I39">
        <f t="shared" si="2"/>
        <v>49015.44</v>
      </c>
      <c r="J39" s="43">
        <f t="shared" si="15"/>
        <v>1057484.2399999995</v>
      </c>
      <c r="V39">
        <v>66</v>
      </c>
      <c r="W39">
        <v>2032</v>
      </c>
      <c r="X39" s="43">
        <v>2000</v>
      </c>
      <c r="Y39">
        <v>63</v>
      </c>
      <c r="Z39">
        <v>2032</v>
      </c>
      <c r="AA39" s="43">
        <v>2000</v>
      </c>
    </row>
    <row r="40" spans="1:27" x14ac:dyDescent="0.3">
      <c r="A40">
        <v>47</v>
      </c>
      <c r="B40">
        <v>87</v>
      </c>
      <c r="C40" s="91">
        <v>90</v>
      </c>
      <c r="D40">
        <v>2056</v>
      </c>
      <c r="E40" s="33">
        <f t="shared" si="18"/>
        <v>5284.6200000000008</v>
      </c>
      <c r="F40">
        <f t="shared" si="21"/>
        <v>3800</v>
      </c>
      <c r="G40">
        <f t="shared" si="1"/>
        <v>109015.44</v>
      </c>
      <c r="H40">
        <f t="shared" si="19"/>
        <v>60000</v>
      </c>
      <c r="I40">
        <f t="shared" si="2"/>
        <v>49015.44</v>
      </c>
      <c r="J40" s="43">
        <f t="shared" si="15"/>
        <v>1106499.6799999995</v>
      </c>
      <c r="V40">
        <v>67</v>
      </c>
      <c r="W40">
        <v>2033</v>
      </c>
      <c r="X40" s="43">
        <v>2000</v>
      </c>
      <c r="Y40">
        <v>64</v>
      </c>
      <c r="Z40">
        <v>2033</v>
      </c>
      <c r="AA40" s="43">
        <v>2000</v>
      </c>
    </row>
    <row r="41" spans="1:27" x14ac:dyDescent="0.3">
      <c r="A41">
        <v>48</v>
      </c>
      <c r="B41">
        <v>88</v>
      </c>
      <c r="C41" s="91">
        <v>91</v>
      </c>
      <c r="D41">
        <v>2057</v>
      </c>
      <c r="E41" s="33">
        <f t="shared" si="18"/>
        <v>5284.6200000000008</v>
      </c>
      <c r="F41">
        <f t="shared" si="21"/>
        <v>3800</v>
      </c>
      <c r="G41">
        <f t="shared" si="1"/>
        <v>109015.44</v>
      </c>
      <c r="H41">
        <f t="shared" si="19"/>
        <v>60000</v>
      </c>
      <c r="I41">
        <f t="shared" si="2"/>
        <v>49015.44</v>
      </c>
      <c r="J41" s="43">
        <f t="shared" si="15"/>
        <v>1155515.1199999994</v>
      </c>
      <c r="V41">
        <v>68</v>
      </c>
      <c r="W41">
        <v>2034</v>
      </c>
      <c r="X41" s="43">
        <v>2000</v>
      </c>
      <c r="Y41">
        <v>65</v>
      </c>
      <c r="Z41">
        <v>2034</v>
      </c>
      <c r="AA41" s="43">
        <v>2000</v>
      </c>
    </row>
    <row r="42" spans="1:27" x14ac:dyDescent="0.3">
      <c r="A42">
        <v>49</v>
      </c>
      <c r="B42">
        <v>89</v>
      </c>
      <c r="C42" s="91">
        <v>92</v>
      </c>
      <c r="D42">
        <v>2058</v>
      </c>
      <c r="E42" s="33">
        <f t="shared" si="18"/>
        <v>5284.6200000000008</v>
      </c>
      <c r="F42">
        <f t="shared" si="21"/>
        <v>3800</v>
      </c>
      <c r="G42">
        <f t="shared" si="1"/>
        <v>109015.44</v>
      </c>
      <c r="H42">
        <f t="shared" si="19"/>
        <v>60000</v>
      </c>
      <c r="I42">
        <f t="shared" si="2"/>
        <v>49015.44</v>
      </c>
      <c r="J42" s="43">
        <f t="shared" si="15"/>
        <v>1204530.5599999994</v>
      </c>
      <c r="AA42" s="43"/>
    </row>
    <row r="43" spans="1:27" x14ac:dyDescent="0.3">
      <c r="A43">
        <v>50</v>
      </c>
      <c r="B43">
        <v>90</v>
      </c>
      <c r="C43" s="91">
        <v>93</v>
      </c>
      <c r="D43">
        <v>2059</v>
      </c>
      <c r="E43" s="33">
        <f t="shared" si="18"/>
        <v>5284.6200000000008</v>
      </c>
      <c r="F43">
        <f t="shared" si="21"/>
        <v>3800</v>
      </c>
      <c r="G43">
        <f t="shared" si="1"/>
        <v>109015.44</v>
      </c>
      <c r="H43">
        <f t="shared" si="19"/>
        <v>60000</v>
      </c>
      <c r="I43">
        <f t="shared" si="2"/>
        <v>49015.44</v>
      </c>
      <c r="J43" s="43">
        <f t="shared" si="15"/>
        <v>1253545.9999999993</v>
      </c>
    </row>
    <row r="44" spans="1:27" x14ac:dyDescent="0.3">
      <c r="A44">
        <v>51</v>
      </c>
      <c r="B44">
        <v>91</v>
      </c>
      <c r="C44" s="91">
        <v>94</v>
      </c>
      <c r="D44">
        <v>2060</v>
      </c>
      <c r="E44" s="33">
        <f t="shared" si="18"/>
        <v>5284.6200000000008</v>
      </c>
      <c r="F44">
        <f t="shared" si="21"/>
        <v>3800</v>
      </c>
      <c r="G44">
        <f t="shared" si="1"/>
        <v>109015.44</v>
      </c>
      <c r="H44">
        <f t="shared" si="19"/>
        <v>60000</v>
      </c>
      <c r="I44">
        <f t="shared" si="2"/>
        <v>49015.44</v>
      </c>
      <c r="J44" s="43">
        <f t="shared" si="15"/>
        <v>1302561.4399999992</v>
      </c>
    </row>
    <row r="45" spans="1:27" x14ac:dyDescent="0.3">
      <c r="A45">
        <v>52</v>
      </c>
      <c r="B45">
        <v>92</v>
      </c>
      <c r="C45" s="91">
        <v>95</v>
      </c>
      <c r="D45">
        <v>2061</v>
      </c>
      <c r="E45" s="33">
        <f t="shared" si="18"/>
        <v>5284.6200000000008</v>
      </c>
      <c r="F45">
        <f t="shared" si="21"/>
        <v>3800</v>
      </c>
      <c r="G45">
        <f t="shared" si="1"/>
        <v>109015.44</v>
      </c>
      <c r="H45">
        <f t="shared" si="19"/>
        <v>60000</v>
      </c>
      <c r="I45">
        <f t="shared" si="2"/>
        <v>49015.44</v>
      </c>
      <c r="J45" s="43">
        <f t="shared" si="15"/>
        <v>1351576.8799999992</v>
      </c>
    </row>
    <row r="46" spans="1:27" x14ac:dyDescent="0.3">
      <c r="A46">
        <v>53</v>
      </c>
      <c r="B46">
        <v>93</v>
      </c>
      <c r="C46" s="91">
        <v>96</v>
      </c>
      <c r="D46">
        <v>2062</v>
      </c>
      <c r="E46" s="33">
        <f t="shared" si="18"/>
        <v>5284.6200000000008</v>
      </c>
      <c r="F46">
        <f t="shared" si="21"/>
        <v>3800</v>
      </c>
      <c r="G46">
        <f t="shared" si="1"/>
        <v>109015.44</v>
      </c>
      <c r="H46">
        <f t="shared" si="19"/>
        <v>60000</v>
      </c>
      <c r="I46">
        <f t="shared" si="2"/>
        <v>49015.44</v>
      </c>
      <c r="J46" s="43">
        <f t="shared" si="15"/>
        <v>1400592.3199999991</v>
      </c>
    </row>
    <row r="47" spans="1:27" x14ac:dyDescent="0.3">
      <c r="A47">
        <v>54</v>
      </c>
      <c r="B47">
        <v>94</v>
      </c>
      <c r="C47" s="91">
        <v>97</v>
      </c>
      <c r="D47">
        <v>2063</v>
      </c>
      <c r="E47" s="33">
        <f t="shared" si="18"/>
        <v>5284.6200000000008</v>
      </c>
      <c r="F47">
        <f t="shared" si="21"/>
        <v>3800</v>
      </c>
      <c r="G47">
        <f t="shared" si="1"/>
        <v>109015.44</v>
      </c>
      <c r="H47">
        <f t="shared" si="19"/>
        <v>60000</v>
      </c>
      <c r="I47">
        <f t="shared" si="2"/>
        <v>49015.44</v>
      </c>
      <c r="J47" s="43">
        <f t="shared" si="15"/>
        <v>1449607.7599999991</v>
      </c>
    </row>
    <row r="48" spans="1:27" x14ac:dyDescent="0.3">
      <c r="A48">
        <v>55</v>
      </c>
      <c r="B48">
        <v>95</v>
      </c>
      <c r="C48" s="91">
        <v>98</v>
      </c>
      <c r="D48">
        <v>2064</v>
      </c>
      <c r="E48" s="33">
        <f t="shared" si="18"/>
        <v>5284.6200000000008</v>
      </c>
      <c r="F48">
        <f t="shared" si="21"/>
        <v>3800</v>
      </c>
      <c r="G48">
        <f t="shared" si="1"/>
        <v>109015.44</v>
      </c>
      <c r="H48">
        <f t="shared" si="19"/>
        <v>60000</v>
      </c>
      <c r="I48">
        <f t="shared" si="2"/>
        <v>49015.44</v>
      </c>
      <c r="J48" s="43">
        <f t="shared" si="15"/>
        <v>1498623.199999999</v>
      </c>
    </row>
    <row r="49" spans="1:10" x14ac:dyDescent="0.3">
      <c r="A49">
        <v>56</v>
      </c>
      <c r="B49">
        <v>96</v>
      </c>
      <c r="C49" s="91">
        <v>99</v>
      </c>
      <c r="D49">
        <v>2065</v>
      </c>
      <c r="E49" s="33">
        <f t="shared" si="18"/>
        <v>5284.6200000000008</v>
      </c>
      <c r="F49">
        <f t="shared" si="21"/>
        <v>3800</v>
      </c>
      <c r="G49">
        <f t="shared" si="1"/>
        <v>109015.44</v>
      </c>
      <c r="H49">
        <f t="shared" si="19"/>
        <v>60000</v>
      </c>
      <c r="I49">
        <f t="shared" si="2"/>
        <v>49015.44</v>
      </c>
      <c r="J49" s="43">
        <f t="shared" si="15"/>
        <v>1547638.639999999</v>
      </c>
    </row>
    <row r="50" spans="1:10" x14ac:dyDescent="0.3">
      <c r="A50">
        <v>57</v>
      </c>
      <c r="B50">
        <v>97</v>
      </c>
      <c r="C50" s="91">
        <v>100</v>
      </c>
      <c r="D50">
        <v>2066</v>
      </c>
      <c r="E50" s="33">
        <f t="shared" si="18"/>
        <v>5284.6200000000008</v>
      </c>
      <c r="F50">
        <f t="shared" si="21"/>
        <v>3800</v>
      </c>
      <c r="G50">
        <f t="shared" si="1"/>
        <v>109015.44</v>
      </c>
      <c r="H50">
        <f t="shared" si="19"/>
        <v>60000</v>
      </c>
      <c r="I50">
        <f t="shared" si="2"/>
        <v>49015.44</v>
      </c>
      <c r="J50" s="43">
        <f t="shared" si="15"/>
        <v>1596654.0799999989</v>
      </c>
    </row>
    <row r="51" spans="1:10" x14ac:dyDescent="0.3">
      <c r="A51">
        <v>58</v>
      </c>
      <c r="B51">
        <v>98</v>
      </c>
      <c r="C51" s="91">
        <v>101</v>
      </c>
      <c r="D51">
        <v>2067</v>
      </c>
      <c r="E51" s="33">
        <f t="shared" si="18"/>
        <v>5284.6200000000008</v>
      </c>
      <c r="F51">
        <f t="shared" si="21"/>
        <v>3800</v>
      </c>
      <c r="G51">
        <f t="shared" si="1"/>
        <v>109015.44</v>
      </c>
      <c r="H51">
        <f t="shared" si="19"/>
        <v>60000</v>
      </c>
      <c r="I51">
        <f t="shared" si="2"/>
        <v>49015.44</v>
      </c>
      <c r="J51" s="43">
        <f t="shared" si="15"/>
        <v>1645669.5199999989</v>
      </c>
    </row>
    <row r="52" spans="1:10" x14ac:dyDescent="0.3">
      <c r="A52">
        <v>59</v>
      </c>
      <c r="B52">
        <v>99</v>
      </c>
      <c r="C52" s="91">
        <v>102</v>
      </c>
      <c r="D52">
        <v>2068</v>
      </c>
      <c r="E52" s="33">
        <f t="shared" si="18"/>
        <v>5284.6200000000008</v>
      </c>
      <c r="F52">
        <f t="shared" si="21"/>
        <v>3800</v>
      </c>
      <c r="G52">
        <f t="shared" si="1"/>
        <v>109015.44</v>
      </c>
      <c r="H52">
        <f t="shared" si="19"/>
        <v>60000</v>
      </c>
      <c r="I52">
        <f t="shared" si="2"/>
        <v>49015.44</v>
      </c>
      <c r="J52" s="43">
        <f t="shared" si="15"/>
        <v>1694684.9599999988</v>
      </c>
    </row>
    <row r="53" spans="1:10" x14ac:dyDescent="0.3">
      <c r="A53">
        <v>60</v>
      </c>
      <c r="B53">
        <v>100</v>
      </c>
      <c r="C53" s="91">
        <v>103</v>
      </c>
      <c r="D53">
        <v>2069</v>
      </c>
      <c r="E53" s="33">
        <f t="shared" si="18"/>
        <v>5284.6200000000008</v>
      </c>
      <c r="F53">
        <f t="shared" si="21"/>
        <v>3800</v>
      </c>
      <c r="G53">
        <f t="shared" si="1"/>
        <v>109015.44</v>
      </c>
      <c r="H53">
        <f t="shared" si="19"/>
        <v>60000</v>
      </c>
      <c r="I53">
        <f t="shared" si="2"/>
        <v>49015.44</v>
      </c>
      <c r="J53" s="43">
        <f t="shared" si="15"/>
        <v>1743700.3999999987</v>
      </c>
    </row>
    <row r="54" spans="1:10" x14ac:dyDescent="0.3">
      <c r="A54">
        <v>61</v>
      </c>
      <c r="B54">
        <v>101</v>
      </c>
      <c r="C54" s="91">
        <v>104</v>
      </c>
      <c r="D54">
        <v>2070</v>
      </c>
      <c r="E54" s="33">
        <f t="shared" ref="E54:E61" si="22">Q$14+R$14</f>
        <v>5284.6200000000008</v>
      </c>
      <c r="F54">
        <f t="shared" si="21"/>
        <v>3800</v>
      </c>
      <c r="G54">
        <f t="shared" ref="G54:G61" si="23">(E54+F54)*12</f>
        <v>109015.44</v>
      </c>
      <c r="H54">
        <f t="shared" si="19"/>
        <v>60000</v>
      </c>
      <c r="I54">
        <f t="shared" ref="I54:I61" si="24">G54-H54</f>
        <v>49015.44</v>
      </c>
      <c r="J54" s="43">
        <f t="shared" ref="J54:J61" si="25">J53+I54</f>
        <v>1792715.8399999987</v>
      </c>
    </row>
    <row r="55" spans="1:10" x14ac:dyDescent="0.3">
      <c r="A55">
        <v>62</v>
      </c>
      <c r="B55">
        <v>102</v>
      </c>
      <c r="C55" s="91">
        <v>105</v>
      </c>
      <c r="D55">
        <v>2071</v>
      </c>
      <c r="E55" s="33">
        <f t="shared" si="22"/>
        <v>5284.6200000000008</v>
      </c>
      <c r="F55">
        <f t="shared" si="21"/>
        <v>3800</v>
      </c>
      <c r="G55">
        <f t="shared" si="23"/>
        <v>109015.44</v>
      </c>
      <c r="H55">
        <f t="shared" si="19"/>
        <v>60000</v>
      </c>
      <c r="I55">
        <f t="shared" si="24"/>
        <v>49015.44</v>
      </c>
      <c r="J55" s="43">
        <f t="shared" si="25"/>
        <v>1841731.2799999986</v>
      </c>
    </row>
    <row r="56" spans="1:10" x14ac:dyDescent="0.3">
      <c r="A56">
        <v>63</v>
      </c>
      <c r="B56">
        <v>103</v>
      </c>
      <c r="C56" s="91">
        <v>106</v>
      </c>
      <c r="D56">
        <v>2072</v>
      </c>
      <c r="E56" s="33">
        <f t="shared" si="22"/>
        <v>5284.6200000000008</v>
      </c>
      <c r="F56">
        <f t="shared" si="21"/>
        <v>3800</v>
      </c>
      <c r="G56">
        <f t="shared" si="23"/>
        <v>109015.44</v>
      </c>
      <c r="H56">
        <f t="shared" si="19"/>
        <v>60000</v>
      </c>
      <c r="I56">
        <f t="shared" si="24"/>
        <v>49015.44</v>
      </c>
      <c r="J56" s="43">
        <f t="shared" si="25"/>
        <v>1890746.7199999986</v>
      </c>
    </row>
    <row r="57" spans="1:10" x14ac:dyDescent="0.3">
      <c r="A57">
        <v>64</v>
      </c>
      <c r="B57">
        <v>104</v>
      </c>
      <c r="C57" s="91">
        <v>107</v>
      </c>
      <c r="D57">
        <v>2073</v>
      </c>
      <c r="E57" s="33">
        <f t="shared" si="22"/>
        <v>5284.6200000000008</v>
      </c>
      <c r="F57">
        <f t="shared" si="21"/>
        <v>3800</v>
      </c>
      <c r="G57">
        <f t="shared" si="23"/>
        <v>109015.44</v>
      </c>
      <c r="H57">
        <f t="shared" si="19"/>
        <v>60000</v>
      </c>
      <c r="I57">
        <f t="shared" si="24"/>
        <v>49015.44</v>
      </c>
      <c r="J57" s="43">
        <f t="shared" si="25"/>
        <v>1939762.1599999985</v>
      </c>
    </row>
    <row r="58" spans="1:10" x14ac:dyDescent="0.3">
      <c r="A58">
        <v>65</v>
      </c>
      <c r="B58">
        <v>105</v>
      </c>
      <c r="C58" s="91">
        <v>108</v>
      </c>
      <c r="D58">
        <v>2074</v>
      </c>
      <c r="E58" s="33">
        <f t="shared" si="22"/>
        <v>5284.6200000000008</v>
      </c>
      <c r="F58">
        <f t="shared" si="21"/>
        <v>3800</v>
      </c>
      <c r="G58">
        <f t="shared" si="23"/>
        <v>109015.44</v>
      </c>
      <c r="H58">
        <f t="shared" si="19"/>
        <v>60000</v>
      </c>
      <c r="I58">
        <f t="shared" si="24"/>
        <v>49015.44</v>
      </c>
      <c r="J58" s="43">
        <f t="shared" si="25"/>
        <v>1988777.5999999985</v>
      </c>
    </row>
    <row r="59" spans="1:10" x14ac:dyDescent="0.3">
      <c r="A59">
        <v>66</v>
      </c>
      <c r="B59">
        <v>106</v>
      </c>
      <c r="C59" s="91">
        <v>109</v>
      </c>
      <c r="D59">
        <v>2075</v>
      </c>
      <c r="E59" s="33">
        <f t="shared" si="22"/>
        <v>5284.6200000000008</v>
      </c>
      <c r="F59">
        <f t="shared" si="21"/>
        <v>3800</v>
      </c>
      <c r="G59">
        <f t="shared" si="23"/>
        <v>109015.44</v>
      </c>
      <c r="H59">
        <f t="shared" si="19"/>
        <v>60000</v>
      </c>
      <c r="I59">
        <f t="shared" si="24"/>
        <v>49015.44</v>
      </c>
      <c r="J59" s="43">
        <f t="shared" si="25"/>
        <v>2037793.0399999984</v>
      </c>
    </row>
    <row r="60" spans="1:10" x14ac:dyDescent="0.3">
      <c r="A60">
        <v>67</v>
      </c>
      <c r="B60">
        <v>107</v>
      </c>
      <c r="C60" s="91">
        <v>110</v>
      </c>
      <c r="D60">
        <v>2076</v>
      </c>
      <c r="E60" s="33">
        <f t="shared" si="22"/>
        <v>5284.6200000000008</v>
      </c>
      <c r="F60">
        <f t="shared" si="21"/>
        <v>3800</v>
      </c>
      <c r="G60">
        <f t="shared" si="23"/>
        <v>109015.44</v>
      </c>
      <c r="H60">
        <f t="shared" si="19"/>
        <v>60000</v>
      </c>
      <c r="I60">
        <f t="shared" si="24"/>
        <v>49015.44</v>
      </c>
      <c r="J60" s="43">
        <f t="shared" si="25"/>
        <v>2086808.4799999984</v>
      </c>
    </row>
    <row r="61" spans="1:10" x14ac:dyDescent="0.3">
      <c r="A61">
        <v>68</v>
      </c>
      <c r="B61">
        <v>108</v>
      </c>
      <c r="C61" s="91">
        <v>111</v>
      </c>
      <c r="D61">
        <v>2077</v>
      </c>
      <c r="E61" s="33">
        <f t="shared" si="22"/>
        <v>5284.6200000000008</v>
      </c>
      <c r="F61">
        <f t="shared" si="21"/>
        <v>3800</v>
      </c>
      <c r="G61">
        <f t="shared" si="23"/>
        <v>109015.44</v>
      </c>
      <c r="H61">
        <f t="shared" si="19"/>
        <v>60000</v>
      </c>
      <c r="I61">
        <f t="shared" si="24"/>
        <v>49015.44</v>
      </c>
      <c r="J61" s="43">
        <f t="shared" si="25"/>
        <v>2135823.9199999985</v>
      </c>
    </row>
    <row r="62" spans="1:10" x14ac:dyDescent="0.3">
      <c r="A62">
        <v>69</v>
      </c>
      <c r="B62">
        <v>109</v>
      </c>
      <c r="C62" s="91">
        <v>112</v>
      </c>
      <c r="D62">
        <v>2078</v>
      </c>
      <c r="E62" s="33">
        <f t="shared" ref="E62:E65" si="26">Q$14+R$14</f>
        <v>5284.6200000000008</v>
      </c>
      <c r="F62">
        <f t="shared" si="21"/>
        <v>3800</v>
      </c>
      <c r="G62">
        <f t="shared" ref="G62:G65" si="27">(E62+F62)*12</f>
        <v>109015.44</v>
      </c>
      <c r="H62">
        <f t="shared" si="19"/>
        <v>60000</v>
      </c>
      <c r="I62">
        <f t="shared" ref="I62:I65" si="28">G62-H62</f>
        <v>49015.44</v>
      </c>
      <c r="J62" s="43">
        <f t="shared" ref="J62:J65" si="29">J61+I62</f>
        <v>2184839.3599999985</v>
      </c>
    </row>
    <row r="63" spans="1:10" x14ac:dyDescent="0.3">
      <c r="A63">
        <v>70</v>
      </c>
      <c r="B63">
        <v>110</v>
      </c>
      <c r="C63" s="91">
        <v>113</v>
      </c>
      <c r="D63">
        <v>2079</v>
      </c>
      <c r="E63" s="33">
        <f t="shared" si="26"/>
        <v>5284.6200000000008</v>
      </c>
      <c r="F63">
        <f t="shared" si="21"/>
        <v>3800</v>
      </c>
      <c r="G63">
        <f t="shared" si="27"/>
        <v>109015.44</v>
      </c>
      <c r="H63">
        <f t="shared" si="19"/>
        <v>60000</v>
      </c>
      <c r="I63">
        <f t="shared" si="28"/>
        <v>49015.44</v>
      </c>
      <c r="J63" s="43">
        <f t="shared" si="29"/>
        <v>2233854.7999999984</v>
      </c>
    </row>
    <row r="64" spans="1:10" x14ac:dyDescent="0.3">
      <c r="A64">
        <v>71</v>
      </c>
      <c r="B64">
        <v>111</v>
      </c>
      <c r="C64" s="91">
        <v>114</v>
      </c>
      <c r="D64">
        <v>2080</v>
      </c>
      <c r="E64" s="33">
        <f t="shared" si="26"/>
        <v>5284.6200000000008</v>
      </c>
      <c r="F64">
        <f t="shared" si="21"/>
        <v>3800</v>
      </c>
      <c r="G64">
        <f t="shared" si="27"/>
        <v>109015.44</v>
      </c>
      <c r="H64">
        <f t="shared" si="19"/>
        <v>60000</v>
      </c>
      <c r="I64">
        <f t="shared" si="28"/>
        <v>49015.44</v>
      </c>
      <c r="J64" s="43">
        <f t="shared" si="29"/>
        <v>2282870.2399999984</v>
      </c>
    </row>
    <row r="65" spans="1:10" x14ac:dyDescent="0.3">
      <c r="A65">
        <v>72</v>
      </c>
      <c r="B65">
        <v>112</v>
      </c>
      <c r="C65" s="91">
        <v>115</v>
      </c>
      <c r="D65">
        <v>2081</v>
      </c>
      <c r="E65" s="33">
        <f t="shared" si="26"/>
        <v>5284.6200000000008</v>
      </c>
      <c r="F65">
        <f t="shared" si="21"/>
        <v>3800</v>
      </c>
      <c r="G65">
        <f t="shared" si="27"/>
        <v>109015.44</v>
      </c>
      <c r="H65">
        <f t="shared" si="19"/>
        <v>60000</v>
      </c>
      <c r="I65">
        <f t="shared" si="28"/>
        <v>49015.44</v>
      </c>
      <c r="J65" s="43">
        <f t="shared" si="29"/>
        <v>2331885.6799999983</v>
      </c>
    </row>
  </sheetData>
  <pageMargins left="0.7" right="0.7" top="0.75" bottom="0.75" header="0.3" footer="0.3"/>
  <pageSetup paperSize="9" scale="83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A1:F122"/>
  <sheetViews>
    <sheetView workbookViewId="0">
      <selection activeCell="H2" sqref="H2"/>
    </sheetView>
  </sheetViews>
  <sheetFormatPr baseColWidth="10" defaultRowHeight="14.4" x14ac:dyDescent="0.3"/>
  <cols>
    <col min="1" max="1" width="9.88671875" style="110" bestFit="1" customWidth="1"/>
    <col min="2" max="2" width="8" style="99" bestFit="1" customWidth="1"/>
    <col min="3" max="3" width="19.88671875" style="110" customWidth="1"/>
    <col min="4" max="5" width="19.88671875" style="98" customWidth="1"/>
    <col min="6" max="6" width="19.88671875" style="99" customWidth="1"/>
    <col min="7" max="7" width="10.33203125" customWidth="1"/>
    <col min="8" max="8" width="9" bestFit="1" customWidth="1"/>
    <col min="9" max="9" width="10.5546875" bestFit="1" customWidth="1"/>
    <col min="10" max="10" width="8.109375" bestFit="1" customWidth="1"/>
    <col min="11" max="11" width="9" bestFit="1" customWidth="1"/>
    <col min="12" max="12" width="11.109375" bestFit="1" customWidth="1"/>
  </cols>
  <sheetData>
    <row r="1" spans="1:6" ht="15" thickBot="1" x14ac:dyDescent="0.35">
      <c r="A1" s="147"/>
      <c r="B1" s="149"/>
      <c r="C1" s="147" t="s">
        <v>411</v>
      </c>
      <c r="D1" s="148" t="s">
        <v>412</v>
      </c>
      <c r="E1" s="148" t="s">
        <v>413</v>
      </c>
      <c r="F1" s="149"/>
    </row>
    <row r="2" spans="1:6" x14ac:dyDescent="0.3">
      <c r="A2" s="110" t="s">
        <v>4</v>
      </c>
      <c r="B2" s="150">
        <v>43350</v>
      </c>
    </row>
    <row r="3" spans="1:6" x14ac:dyDescent="0.3">
      <c r="A3" s="110" t="s">
        <v>409</v>
      </c>
      <c r="B3" s="150">
        <v>43351</v>
      </c>
    </row>
    <row r="4" spans="1:6" x14ac:dyDescent="0.3">
      <c r="A4" s="110" t="s">
        <v>410</v>
      </c>
      <c r="B4" s="150">
        <v>43352</v>
      </c>
    </row>
    <row r="5" spans="1:6" x14ac:dyDescent="0.3">
      <c r="A5" s="110" t="s">
        <v>0</v>
      </c>
      <c r="B5" s="150">
        <v>43353</v>
      </c>
    </row>
    <row r="6" spans="1:6" x14ac:dyDescent="0.3">
      <c r="A6" s="110" t="s">
        <v>1</v>
      </c>
      <c r="B6" s="150">
        <v>43354</v>
      </c>
    </row>
    <row r="7" spans="1:6" x14ac:dyDescent="0.3">
      <c r="A7" s="110" t="s">
        <v>2</v>
      </c>
      <c r="B7" s="150">
        <v>43355</v>
      </c>
    </row>
    <row r="8" spans="1:6" x14ac:dyDescent="0.3">
      <c r="A8" s="110" t="s">
        <v>3</v>
      </c>
      <c r="B8" s="150">
        <v>43356</v>
      </c>
    </row>
    <row r="9" spans="1:6" x14ac:dyDescent="0.3">
      <c r="A9" s="110" t="s">
        <v>4</v>
      </c>
      <c r="B9" s="150">
        <v>43357</v>
      </c>
    </row>
    <row r="10" spans="1:6" x14ac:dyDescent="0.3">
      <c r="A10" s="110" t="s">
        <v>409</v>
      </c>
      <c r="B10" s="150">
        <v>43358</v>
      </c>
    </row>
    <row r="11" spans="1:6" x14ac:dyDescent="0.3">
      <c r="A11" s="110" t="s">
        <v>410</v>
      </c>
      <c r="B11" s="150">
        <v>43359</v>
      </c>
    </row>
    <row r="12" spans="1:6" x14ac:dyDescent="0.3">
      <c r="A12" s="110" t="s">
        <v>0</v>
      </c>
      <c r="B12" s="150">
        <v>43360</v>
      </c>
    </row>
    <row r="13" spans="1:6" x14ac:dyDescent="0.3">
      <c r="A13" s="110" t="s">
        <v>1</v>
      </c>
      <c r="B13" s="150">
        <v>43361</v>
      </c>
    </row>
    <row r="14" spans="1:6" x14ac:dyDescent="0.3">
      <c r="A14" s="110" t="s">
        <v>2</v>
      </c>
      <c r="B14" s="150">
        <v>43362</v>
      </c>
    </row>
    <row r="15" spans="1:6" x14ac:dyDescent="0.3">
      <c r="A15" s="110" t="s">
        <v>3</v>
      </c>
      <c r="B15" s="150">
        <v>43363</v>
      </c>
    </row>
    <row r="16" spans="1:6" x14ac:dyDescent="0.3">
      <c r="A16" s="110" t="s">
        <v>4</v>
      </c>
      <c r="B16" s="150">
        <v>43364</v>
      </c>
    </row>
    <row r="17" spans="1:2" x14ac:dyDescent="0.3">
      <c r="A17" s="110" t="s">
        <v>409</v>
      </c>
      <c r="B17" s="150">
        <v>43365</v>
      </c>
    </row>
    <row r="18" spans="1:2" x14ac:dyDescent="0.3">
      <c r="A18" s="110" t="s">
        <v>410</v>
      </c>
      <c r="B18" s="150">
        <v>43366</v>
      </c>
    </row>
    <row r="19" spans="1:2" x14ac:dyDescent="0.3">
      <c r="A19" s="110" t="s">
        <v>0</v>
      </c>
      <c r="B19" s="150">
        <v>43367</v>
      </c>
    </row>
    <row r="20" spans="1:2" x14ac:dyDescent="0.3">
      <c r="A20" s="110" t="s">
        <v>1</v>
      </c>
      <c r="B20" s="150">
        <v>43368</v>
      </c>
    </row>
    <row r="21" spans="1:2" x14ac:dyDescent="0.3">
      <c r="A21" s="110" t="s">
        <v>2</v>
      </c>
      <c r="B21" s="150">
        <v>43369</v>
      </c>
    </row>
    <row r="22" spans="1:2" x14ac:dyDescent="0.3">
      <c r="A22" s="110" t="s">
        <v>3</v>
      </c>
      <c r="B22" s="150">
        <v>43370</v>
      </c>
    </row>
    <row r="23" spans="1:2" x14ac:dyDescent="0.3">
      <c r="A23" s="110" t="s">
        <v>4</v>
      </c>
      <c r="B23" s="150">
        <v>43371</v>
      </c>
    </row>
    <row r="24" spans="1:2" x14ac:dyDescent="0.3">
      <c r="A24" s="110" t="s">
        <v>409</v>
      </c>
      <c r="B24" s="150">
        <v>43372</v>
      </c>
    </row>
    <row r="25" spans="1:2" x14ac:dyDescent="0.3">
      <c r="A25" s="110" t="s">
        <v>410</v>
      </c>
      <c r="B25" s="150">
        <v>43373</v>
      </c>
    </row>
    <row r="26" spans="1:2" x14ac:dyDescent="0.3">
      <c r="A26" s="110" t="s">
        <v>0</v>
      </c>
      <c r="B26" s="150">
        <v>43374</v>
      </c>
    </row>
    <row r="27" spans="1:2" x14ac:dyDescent="0.3">
      <c r="A27" s="110" t="s">
        <v>1</v>
      </c>
      <c r="B27" s="150">
        <v>43375</v>
      </c>
    </row>
    <row r="28" spans="1:2" x14ac:dyDescent="0.3">
      <c r="A28" s="110" t="s">
        <v>2</v>
      </c>
      <c r="B28" s="150">
        <v>43376</v>
      </c>
    </row>
    <row r="29" spans="1:2" x14ac:dyDescent="0.3">
      <c r="A29" s="110" t="s">
        <v>3</v>
      </c>
      <c r="B29" s="150">
        <v>43377</v>
      </c>
    </row>
    <row r="30" spans="1:2" x14ac:dyDescent="0.3">
      <c r="A30" s="110" t="s">
        <v>4</v>
      </c>
      <c r="B30" s="150">
        <v>43378</v>
      </c>
    </row>
    <row r="31" spans="1:2" x14ac:dyDescent="0.3">
      <c r="A31" s="110" t="s">
        <v>409</v>
      </c>
      <c r="B31" s="150">
        <v>43379</v>
      </c>
    </row>
    <row r="32" spans="1:2" x14ac:dyDescent="0.3">
      <c r="A32" s="110" t="s">
        <v>410</v>
      </c>
      <c r="B32" s="150">
        <v>43380</v>
      </c>
    </row>
    <row r="33" spans="1:2" x14ac:dyDescent="0.3">
      <c r="A33" s="110" t="s">
        <v>0</v>
      </c>
      <c r="B33" s="150">
        <v>43381</v>
      </c>
    </row>
    <row r="34" spans="1:2" x14ac:dyDescent="0.3">
      <c r="A34" s="110" t="s">
        <v>1</v>
      </c>
      <c r="B34" s="150">
        <v>43382</v>
      </c>
    </row>
    <row r="35" spans="1:2" x14ac:dyDescent="0.3">
      <c r="A35" s="110" t="s">
        <v>2</v>
      </c>
      <c r="B35" s="150">
        <v>43383</v>
      </c>
    </row>
    <row r="36" spans="1:2" x14ac:dyDescent="0.3">
      <c r="A36" s="110" t="s">
        <v>3</v>
      </c>
      <c r="B36" s="150">
        <v>43384</v>
      </c>
    </row>
    <row r="37" spans="1:2" x14ac:dyDescent="0.3">
      <c r="A37" s="110" t="s">
        <v>4</v>
      </c>
      <c r="B37" s="150">
        <v>43385</v>
      </c>
    </row>
    <row r="38" spans="1:2" x14ac:dyDescent="0.3">
      <c r="A38" s="110" t="s">
        <v>409</v>
      </c>
      <c r="B38" s="150">
        <v>43386</v>
      </c>
    </row>
    <row r="39" spans="1:2" x14ac:dyDescent="0.3">
      <c r="A39" s="110" t="s">
        <v>410</v>
      </c>
      <c r="B39" s="150">
        <v>43387</v>
      </c>
    </row>
    <row r="40" spans="1:2" x14ac:dyDescent="0.3">
      <c r="A40" s="110" t="s">
        <v>0</v>
      </c>
      <c r="B40" s="150">
        <v>43388</v>
      </c>
    </row>
    <row r="41" spans="1:2" x14ac:dyDescent="0.3">
      <c r="A41" s="110" t="s">
        <v>1</v>
      </c>
      <c r="B41" s="150">
        <v>43389</v>
      </c>
    </row>
    <row r="42" spans="1:2" x14ac:dyDescent="0.3">
      <c r="A42" s="110" t="s">
        <v>2</v>
      </c>
      <c r="B42" s="150">
        <v>43390</v>
      </c>
    </row>
    <row r="43" spans="1:2" x14ac:dyDescent="0.3">
      <c r="A43" s="110" t="s">
        <v>3</v>
      </c>
      <c r="B43" s="150">
        <v>43391</v>
      </c>
    </row>
    <row r="44" spans="1:2" x14ac:dyDescent="0.3">
      <c r="A44" s="110" t="s">
        <v>4</v>
      </c>
      <c r="B44" s="150">
        <v>43392</v>
      </c>
    </row>
    <row r="45" spans="1:2" x14ac:dyDescent="0.3">
      <c r="A45" s="110" t="s">
        <v>409</v>
      </c>
      <c r="B45" s="150">
        <v>43393</v>
      </c>
    </row>
    <row r="46" spans="1:2" x14ac:dyDescent="0.3">
      <c r="A46" s="110" t="s">
        <v>410</v>
      </c>
      <c r="B46" s="150">
        <v>43394</v>
      </c>
    </row>
    <row r="47" spans="1:2" x14ac:dyDescent="0.3">
      <c r="A47" s="110" t="s">
        <v>0</v>
      </c>
      <c r="B47" s="150">
        <v>43395</v>
      </c>
    </row>
    <row r="48" spans="1:2" x14ac:dyDescent="0.3">
      <c r="A48" s="110" t="s">
        <v>1</v>
      </c>
      <c r="B48" s="150">
        <v>43396</v>
      </c>
    </row>
    <row r="49" spans="1:2" x14ac:dyDescent="0.3">
      <c r="A49" s="110" t="s">
        <v>2</v>
      </c>
      <c r="B49" s="150">
        <v>43397</v>
      </c>
    </row>
    <row r="50" spans="1:2" x14ac:dyDescent="0.3">
      <c r="A50" s="110" t="s">
        <v>3</v>
      </c>
      <c r="B50" s="150">
        <v>43398</v>
      </c>
    </row>
    <row r="51" spans="1:2" x14ac:dyDescent="0.3">
      <c r="A51" s="110" t="s">
        <v>4</v>
      </c>
      <c r="B51" s="150">
        <v>43399</v>
      </c>
    </row>
    <row r="52" spans="1:2" x14ac:dyDescent="0.3">
      <c r="A52" s="110" t="s">
        <v>409</v>
      </c>
      <c r="B52" s="150">
        <v>43400</v>
      </c>
    </row>
    <row r="53" spans="1:2" x14ac:dyDescent="0.3">
      <c r="A53" s="110" t="s">
        <v>410</v>
      </c>
      <c r="B53" s="150">
        <v>43401</v>
      </c>
    </row>
    <row r="54" spans="1:2" x14ac:dyDescent="0.3">
      <c r="A54" s="110" t="s">
        <v>0</v>
      </c>
      <c r="B54" s="150">
        <v>43402</v>
      </c>
    </row>
    <row r="55" spans="1:2" x14ac:dyDescent="0.3">
      <c r="A55" s="110" t="s">
        <v>1</v>
      </c>
      <c r="B55" s="150">
        <v>43403</v>
      </c>
    </row>
    <row r="56" spans="1:2" x14ac:dyDescent="0.3">
      <c r="A56" s="110" t="s">
        <v>2</v>
      </c>
      <c r="B56" s="150">
        <v>43404</v>
      </c>
    </row>
    <row r="57" spans="1:2" x14ac:dyDescent="0.3">
      <c r="A57" s="110" t="s">
        <v>3</v>
      </c>
      <c r="B57" s="150">
        <v>43405</v>
      </c>
    </row>
    <row r="58" spans="1:2" x14ac:dyDescent="0.3">
      <c r="A58" s="110" t="s">
        <v>4</v>
      </c>
      <c r="B58" s="150">
        <v>43406</v>
      </c>
    </row>
    <row r="59" spans="1:2" x14ac:dyDescent="0.3">
      <c r="A59" s="110" t="s">
        <v>409</v>
      </c>
      <c r="B59" s="150">
        <v>43407</v>
      </c>
    </row>
    <row r="60" spans="1:2" x14ac:dyDescent="0.3">
      <c r="A60" s="110" t="s">
        <v>410</v>
      </c>
      <c r="B60" s="150">
        <v>43408</v>
      </c>
    </row>
    <row r="61" spans="1:2" x14ac:dyDescent="0.3">
      <c r="A61" s="110" t="s">
        <v>0</v>
      </c>
      <c r="B61" s="150">
        <v>43409</v>
      </c>
    </row>
    <row r="62" spans="1:2" x14ac:dyDescent="0.3">
      <c r="A62" s="110" t="s">
        <v>1</v>
      </c>
      <c r="B62" s="150">
        <v>43410</v>
      </c>
    </row>
    <row r="63" spans="1:2" x14ac:dyDescent="0.3">
      <c r="A63" s="110" t="s">
        <v>2</v>
      </c>
      <c r="B63" s="150">
        <v>43411</v>
      </c>
    </row>
    <row r="64" spans="1:2" x14ac:dyDescent="0.3">
      <c r="A64" s="110" t="s">
        <v>3</v>
      </c>
      <c r="B64" s="150">
        <v>43412</v>
      </c>
    </row>
    <row r="65" spans="1:2" x14ac:dyDescent="0.3">
      <c r="A65" s="110" t="s">
        <v>4</v>
      </c>
      <c r="B65" s="150">
        <v>43413</v>
      </c>
    </row>
    <row r="66" spans="1:2" x14ac:dyDescent="0.3">
      <c r="A66" s="110" t="s">
        <v>409</v>
      </c>
      <c r="B66" s="150">
        <v>43414</v>
      </c>
    </row>
    <row r="67" spans="1:2" x14ac:dyDescent="0.3">
      <c r="A67" s="110" t="s">
        <v>410</v>
      </c>
      <c r="B67" s="150">
        <v>43415</v>
      </c>
    </row>
    <row r="68" spans="1:2" x14ac:dyDescent="0.3">
      <c r="A68" s="110" t="s">
        <v>0</v>
      </c>
      <c r="B68" s="150">
        <v>43416</v>
      </c>
    </row>
    <row r="69" spans="1:2" x14ac:dyDescent="0.3">
      <c r="A69" s="110" t="s">
        <v>1</v>
      </c>
      <c r="B69" s="150">
        <v>43417</v>
      </c>
    </row>
    <row r="70" spans="1:2" x14ac:dyDescent="0.3">
      <c r="A70" s="110" t="s">
        <v>2</v>
      </c>
      <c r="B70" s="150">
        <v>43418</v>
      </c>
    </row>
    <row r="71" spans="1:2" x14ac:dyDescent="0.3">
      <c r="A71" s="110" t="s">
        <v>3</v>
      </c>
      <c r="B71" s="150">
        <v>43419</v>
      </c>
    </row>
    <row r="72" spans="1:2" x14ac:dyDescent="0.3">
      <c r="A72" s="110" t="s">
        <v>4</v>
      </c>
      <c r="B72" s="150">
        <v>43420</v>
      </c>
    </row>
    <row r="73" spans="1:2" x14ac:dyDescent="0.3">
      <c r="A73" s="110" t="s">
        <v>409</v>
      </c>
      <c r="B73" s="150">
        <v>43421</v>
      </c>
    </row>
    <row r="74" spans="1:2" x14ac:dyDescent="0.3">
      <c r="A74" s="110" t="s">
        <v>410</v>
      </c>
      <c r="B74" s="150">
        <v>43422</v>
      </c>
    </row>
    <row r="75" spans="1:2" x14ac:dyDescent="0.3">
      <c r="A75" s="110" t="s">
        <v>0</v>
      </c>
      <c r="B75" s="150">
        <v>43423</v>
      </c>
    </row>
    <row r="76" spans="1:2" x14ac:dyDescent="0.3">
      <c r="A76" s="110" t="s">
        <v>1</v>
      </c>
      <c r="B76" s="150">
        <v>43424</v>
      </c>
    </row>
    <row r="77" spans="1:2" x14ac:dyDescent="0.3">
      <c r="A77" s="110" t="s">
        <v>2</v>
      </c>
      <c r="B77" s="150">
        <v>43425</v>
      </c>
    </row>
    <row r="78" spans="1:2" x14ac:dyDescent="0.3">
      <c r="A78" s="110" t="s">
        <v>3</v>
      </c>
      <c r="B78" s="150">
        <v>43426</v>
      </c>
    </row>
    <row r="79" spans="1:2" x14ac:dyDescent="0.3">
      <c r="A79" s="110" t="s">
        <v>4</v>
      </c>
      <c r="B79" s="150">
        <v>43427</v>
      </c>
    </row>
    <row r="80" spans="1:2" x14ac:dyDescent="0.3">
      <c r="A80" s="110" t="s">
        <v>409</v>
      </c>
      <c r="B80" s="150">
        <v>43428</v>
      </c>
    </row>
    <row r="81" spans="1:2" x14ac:dyDescent="0.3">
      <c r="A81" s="110" t="s">
        <v>410</v>
      </c>
      <c r="B81" s="150">
        <v>43429</v>
      </c>
    </row>
    <row r="82" spans="1:2" x14ac:dyDescent="0.3">
      <c r="A82" s="110" t="s">
        <v>0</v>
      </c>
      <c r="B82" s="150">
        <v>43430</v>
      </c>
    </row>
    <row r="83" spans="1:2" x14ac:dyDescent="0.3">
      <c r="A83" s="110" t="s">
        <v>1</v>
      </c>
      <c r="B83" s="150">
        <v>43431</v>
      </c>
    </row>
    <row r="84" spans="1:2" x14ac:dyDescent="0.3">
      <c r="A84" s="110" t="s">
        <v>2</v>
      </c>
      <c r="B84" s="150">
        <v>43432</v>
      </c>
    </row>
    <row r="85" spans="1:2" x14ac:dyDescent="0.3">
      <c r="A85" s="110" t="s">
        <v>3</v>
      </c>
      <c r="B85" s="150">
        <v>43433</v>
      </c>
    </row>
    <row r="86" spans="1:2" x14ac:dyDescent="0.3">
      <c r="A86" s="110" t="s">
        <v>4</v>
      </c>
      <c r="B86" s="150">
        <v>43434</v>
      </c>
    </row>
    <row r="87" spans="1:2" x14ac:dyDescent="0.3">
      <c r="A87" s="110" t="s">
        <v>409</v>
      </c>
      <c r="B87" s="150">
        <v>43435</v>
      </c>
    </row>
    <row r="88" spans="1:2" x14ac:dyDescent="0.3">
      <c r="A88" s="110" t="s">
        <v>410</v>
      </c>
      <c r="B88" s="150">
        <v>43436</v>
      </c>
    </row>
    <row r="89" spans="1:2" x14ac:dyDescent="0.3">
      <c r="A89" s="110" t="s">
        <v>0</v>
      </c>
      <c r="B89" s="150">
        <v>43437</v>
      </c>
    </row>
    <row r="90" spans="1:2" x14ac:dyDescent="0.3">
      <c r="A90" s="110" t="s">
        <v>1</v>
      </c>
      <c r="B90" s="150">
        <v>43438</v>
      </c>
    </row>
    <row r="91" spans="1:2" x14ac:dyDescent="0.3">
      <c r="A91" s="110" t="s">
        <v>2</v>
      </c>
      <c r="B91" s="150">
        <v>43439</v>
      </c>
    </row>
    <row r="92" spans="1:2" x14ac:dyDescent="0.3">
      <c r="A92" s="110" t="s">
        <v>3</v>
      </c>
      <c r="B92" s="150">
        <v>43440</v>
      </c>
    </row>
    <row r="93" spans="1:2" x14ac:dyDescent="0.3">
      <c r="A93" s="110" t="s">
        <v>4</v>
      </c>
      <c r="B93" s="150">
        <v>43441</v>
      </c>
    </row>
    <row r="94" spans="1:2" x14ac:dyDescent="0.3">
      <c r="A94" s="110" t="s">
        <v>409</v>
      </c>
      <c r="B94" s="150">
        <v>43442</v>
      </c>
    </row>
    <row r="95" spans="1:2" x14ac:dyDescent="0.3">
      <c r="A95" s="110" t="s">
        <v>410</v>
      </c>
      <c r="B95" s="150">
        <v>43443</v>
      </c>
    </row>
    <row r="96" spans="1:2" x14ac:dyDescent="0.3">
      <c r="A96" s="110" t="s">
        <v>0</v>
      </c>
      <c r="B96" s="150">
        <v>43444</v>
      </c>
    </row>
    <row r="97" spans="1:2" x14ac:dyDescent="0.3">
      <c r="A97" s="110" t="s">
        <v>1</v>
      </c>
      <c r="B97" s="150">
        <v>43445</v>
      </c>
    </row>
    <row r="98" spans="1:2" x14ac:dyDescent="0.3">
      <c r="A98" s="110" t="s">
        <v>2</v>
      </c>
      <c r="B98" s="150">
        <v>43446</v>
      </c>
    </row>
    <row r="99" spans="1:2" x14ac:dyDescent="0.3">
      <c r="A99" s="110" t="s">
        <v>3</v>
      </c>
      <c r="B99" s="150">
        <v>43447</v>
      </c>
    </row>
    <row r="100" spans="1:2" x14ac:dyDescent="0.3">
      <c r="A100" s="110" t="s">
        <v>4</v>
      </c>
      <c r="B100" s="150">
        <v>43448</v>
      </c>
    </row>
    <row r="101" spans="1:2" x14ac:dyDescent="0.3">
      <c r="A101" s="110" t="s">
        <v>409</v>
      </c>
      <c r="B101" s="150">
        <v>43449</v>
      </c>
    </row>
    <row r="102" spans="1:2" x14ac:dyDescent="0.3">
      <c r="A102" s="110" t="s">
        <v>410</v>
      </c>
      <c r="B102" s="150">
        <v>43450</v>
      </c>
    </row>
    <row r="103" spans="1:2" x14ac:dyDescent="0.3">
      <c r="A103" s="110" t="s">
        <v>0</v>
      </c>
      <c r="B103" s="150">
        <v>43451</v>
      </c>
    </row>
    <row r="104" spans="1:2" x14ac:dyDescent="0.3">
      <c r="A104" s="110" t="s">
        <v>1</v>
      </c>
      <c r="B104" s="150">
        <v>43452</v>
      </c>
    </row>
    <row r="105" spans="1:2" x14ac:dyDescent="0.3">
      <c r="A105" s="110" t="s">
        <v>2</v>
      </c>
      <c r="B105" s="150">
        <v>43453</v>
      </c>
    </row>
    <row r="106" spans="1:2" x14ac:dyDescent="0.3">
      <c r="A106" s="110" t="s">
        <v>3</v>
      </c>
      <c r="B106" s="150">
        <v>43454</v>
      </c>
    </row>
    <row r="107" spans="1:2" x14ac:dyDescent="0.3">
      <c r="A107" s="110" t="s">
        <v>4</v>
      </c>
      <c r="B107" s="150">
        <v>43455</v>
      </c>
    </row>
    <row r="108" spans="1:2" x14ac:dyDescent="0.3">
      <c r="A108" s="110" t="s">
        <v>409</v>
      </c>
      <c r="B108" s="150">
        <v>43456</v>
      </c>
    </row>
    <row r="109" spans="1:2" x14ac:dyDescent="0.3">
      <c r="A109" s="110" t="s">
        <v>410</v>
      </c>
      <c r="B109" s="150">
        <v>43457</v>
      </c>
    </row>
    <row r="110" spans="1:2" x14ac:dyDescent="0.3">
      <c r="A110" s="110" t="s">
        <v>0</v>
      </c>
      <c r="B110" s="150">
        <v>43458</v>
      </c>
    </row>
    <row r="111" spans="1:2" x14ac:dyDescent="0.3">
      <c r="A111" s="110" t="s">
        <v>1</v>
      </c>
      <c r="B111" s="150">
        <v>43459</v>
      </c>
    </row>
    <row r="112" spans="1:2" x14ac:dyDescent="0.3">
      <c r="A112" s="110" t="s">
        <v>2</v>
      </c>
      <c r="B112" s="150">
        <v>43460</v>
      </c>
    </row>
    <row r="113" spans="1:2" x14ac:dyDescent="0.3">
      <c r="A113" s="110" t="s">
        <v>3</v>
      </c>
      <c r="B113" s="150">
        <v>43461</v>
      </c>
    </row>
    <row r="114" spans="1:2" x14ac:dyDescent="0.3">
      <c r="A114" s="110" t="s">
        <v>4</v>
      </c>
      <c r="B114" s="150">
        <v>43462</v>
      </c>
    </row>
    <row r="115" spans="1:2" x14ac:dyDescent="0.3">
      <c r="A115" s="110" t="s">
        <v>409</v>
      </c>
      <c r="B115" s="150">
        <v>43463</v>
      </c>
    </row>
    <row r="116" spans="1:2" x14ac:dyDescent="0.3">
      <c r="A116" s="110" t="s">
        <v>410</v>
      </c>
      <c r="B116" s="150">
        <v>43464</v>
      </c>
    </row>
    <row r="117" spans="1:2" x14ac:dyDescent="0.3">
      <c r="A117" s="110" t="s">
        <v>0</v>
      </c>
      <c r="B117" s="150">
        <v>43465</v>
      </c>
    </row>
    <row r="118" spans="1:2" x14ac:dyDescent="0.3">
      <c r="A118" s="110" t="s">
        <v>1</v>
      </c>
      <c r="B118" s="150">
        <v>43466</v>
      </c>
    </row>
    <row r="119" spans="1:2" x14ac:dyDescent="0.3">
      <c r="A119" s="110" t="s">
        <v>2</v>
      </c>
      <c r="B119" s="150">
        <v>43467</v>
      </c>
    </row>
    <row r="120" spans="1:2" x14ac:dyDescent="0.3">
      <c r="A120" s="110" t="s">
        <v>3</v>
      </c>
      <c r="B120" s="150">
        <v>43468</v>
      </c>
    </row>
    <row r="121" spans="1:2" x14ac:dyDescent="0.3">
      <c r="A121" s="110" t="s">
        <v>4</v>
      </c>
      <c r="B121" s="150">
        <v>43469</v>
      </c>
    </row>
    <row r="122" spans="1:2" x14ac:dyDescent="0.3">
      <c r="A122" s="110" t="s">
        <v>409</v>
      </c>
      <c r="B122" s="150">
        <v>43470</v>
      </c>
    </row>
  </sheetData>
  <pageMargins left="0.25" right="0.25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/>
  <dimension ref="A1:O1263"/>
  <sheetViews>
    <sheetView workbookViewId="0">
      <selection activeCell="H607" sqref="G9:H607"/>
    </sheetView>
  </sheetViews>
  <sheetFormatPr baseColWidth="10" defaultRowHeight="14.4" x14ac:dyDescent="0.3"/>
  <cols>
    <col min="1" max="1" width="26" style="175" bestFit="1" customWidth="1"/>
    <col min="2" max="2" width="8.109375" bestFit="1" customWidth="1"/>
    <col min="3" max="3" width="18.44140625" style="173" bestFit="1" customWidth="1"/>
    <col min="4" max="4" width="18.44140625" bestFit="1" customWidth="1"/>
    <col min="5" max="5" width="8.5546875" style="174" bestFit="1" customWidth="1"/>
    <col min="6" max="6" width="8.109375" style="122" bestFit="1" customWidth="1"/>
    <col min="7" max="7" width="18.44140625" bestFit="1" customWidth="1"/>
    <col min="8" max="8" width="27.109375" style="175" bestFit="1" customWidth="1"/>
    <col min="9" max="9" width="0" hidden="1" customWidth="1"/>
    <col min="10" max="10" width="22.6640625" hidden="1" customWidth="1"/>
    <col min="11" max="11" width="8.109375" hidden="1" customWidth="1"/>
    <col min="12" max="13" width="18.44140625" hidden="1" customWidth="1"/>
    <col min="14" max="14" width="8.5546875" hidden="1" customWidth="1"/>
  </cols>
  <sheetData>
    <row r="1" spans="1:15" x14ac:dyDescent="0.3">
      <c r="A1" s="175">
        <v>29</v>
      </c>
      <c r="B1" s="169">
        <v>0.53059413194444438</v>
      </c>
      <c r="C1" s="183">
        <f>A1+B1</f>
        <v>29.530594131944444</v>
      </c>
      <c r="D1" s="173">
        <f>765433/24/60/60</f>
        <v>8.8591782407407411</v>
      </c>
      <c r="E1" s="174">
        <f>C1</f>
        <v>29.530594131944444</v>
      </c>
      <c r="H1" s="182">
        <f>(B1*24-12)*60*18</f>
        <v>792.99989999999741</v>
      </c>
      <c r="O1">
        <f>793/H1</f>
        <v>1.0000001261034239</v>
      </c>
    </row>
    <row r="2" spans="1:15" hidden="1" x14ac:dyDescent="0.3">
      <c r="A2" s="176">
        <v>43117</v>
      </c>
      <c r="B2" s="177">
        <v>0.13770833333333335</v>
      </c>
      <c r="C2" s="178">
        <f>A2+B2</f>
        <v>43117.137708333335</v>
      </c>
      <c r="D2" s="179"/>
      <c r="E2" s="180"/>
      <c r="F2" s="181">
        <f>ABS(C2-G2)</f>
        <v>3.6990740743931383E-2</v>
      </c>
      <c r="G2" s="178">
        <f>L2</f>
        <v>43117.100717592592</v>
      </c>
      <c r="H2" s="176">
        <f>G2</f>
        <v>43117.100717592592</v>
      </c>
      <c r="I2" s="179"/>
      <c r="J2" s="176">
        <v>43117</v>
      </c>
      <c r="K2" s="177">
        <v>0.10071759259259259</v>
      </c>
      <c r="L2" s="178">
        <f t="shared" ref="L2:L9" si="0">J2+K2</f>
        <v>43117.100717592592</v>
      </c>
      <c r="M2" s="179"/>
      <c r="N2" s="180"/>
    </row>
    <row r="3" spans="1:15" hidden="1" x14ac:dyDescent="0.3">
      <c r="A3" s="176">
        <v>43146</v>
      </c>
      <c r="B3" s="177">
        <v>0.92142361111111104</v>
      </c>
      <c r="C3" s="178">
        <f t="shared" ref="C3:C26" si="1">A3+B3</f>
        <v>43146.921423611115</v>
      </c>
      <c r="D3" s="178">
        <f>C3-C2</f>
        <v>29.783715277779265</v>
      </c>
      <c r="E3" s="180">
        <f>D3</f>
        <v>29.783715277779265</v>
      </c>
      <c r="F3" s="181">
        <f t="shared" ref="F3:F26" si="2">ABS(C3-G3)</f>
        <v>0.29011188657750608</v>
      </c>
      <c r="G3" s="178">
        <f>G2+$E$1</f>
        <v>43146.631311724537</v>
      </c>
      <c r="H3" s="176">
        <f t="shared" ref="H3:H54" si="3">G3</f>
        <v>43146.631311724537</v>
      </c>
      <c r="I3" s="179"/>
      <c r="J3" s="176">
        <v>43146</v>
      </c>
      <c r="K3" s="177">
        <v>0.63128472222222221</v>
      </c>
      <c r="L3" s="178">
        <f t="shared" si="0"/>
        <v>43146.631284722222</v>
      </c>
      <c r="M3" s="178">
        <f t="shared" ref="M3:M9" si="4">L3-L2</f>
        <v>29.530567129630072</v>
      </c>
      <c r="N3" s="180">
        <f t="shared" ref="N3:N9" si="5">M3</f>
        <v>29.530567129630072</v>
      </c>
    </row>
    <row r="4" spans="1:15" hidden="1" x14ac:dyDescent="0.3">
      <c r="A4" s="176">
        <v>43176</v>
      </c>
      <c r="B4" s="177">
        <v>0.59327546296296296</v>
      </c>
      <c r="C4" s="178">
        <f t="shared" si="1"/>
        <v>43176.593275462961</v>
      </c>
      <c r="D4" s="178">
        <f t="shared" ref="D4:D26" si="6">C4-C3</f>
        <v>29.671851851846441</v>
      </c>
      <c r="E4" s="180">
        <f t="shared" ref="E4:E26" si="7">D4</f>
        <v>29.671851851846441</v>
      </c>
      <c r="F4" s="181">
        <f t="shared" si="2"/>
        <v>0.43136960647825617</v>
      </c>
      <c r="G4" s="178">
        <f t="shared" ref="G4:G67" si="8">G3+$E$1</f>
        <v>43176.161905856483</v>
      </c>
      <c r="H4" s="176">
        <f t="shared" si="3"/>
        <v>43176.161905856483</v>
      </c>
      <c r="I4" s="179"/>
      <c r="J4" s="176">
        <v>43176</v>
      </c>
      <c r="K4" s="177">
        <v>0.16185185185185186</v>
      </c>
      <c r="L4" s="178">
        <f t="shared" si="0"/>
        <v>43176.161851851852</v>
      </c>
      <c r="M4" s="178">
        <f t="shared" si="4"/>
        <v>29.530567129630072</v>
      </c>
      <c r="N4" s="180">
        <f t="shared" si="5"/>
        <v>29.530567129630072</v>
      </c>
    </row>
    <row r="5" spans="1:15" hidden="1" x14ac:dyDescent="0.3">
      <c r="A5" s="176">
        <v>43206</v>
      </c>
      <c r="B5" s="177">
        <v>0.16658564814814816</v>
      </c>
      <c r="C5" s="178">
        <f t="shared" si="1"/>
        <v>43206.166585648149</v>
      </c>
      <c r="D5" s="178">
        <f t="shared" si="6"/>
        <v>29.573310185187438</v>
      </c>
      <c r="E5" s="180">
        <f t="shared" si="7"/>
        <v>29.573310185187438</v>
      </c>
      <c r="F5" s="181">
        <f t="shared" si="2"/>
        <v>0.4740856597200036</v>
      </c>
      <c r="G5" s="178">
        <f t="shared" si="8"/>
        <v>43205.692499988429</v>
      </c>
      <c r="H5" s="176">
        <f t="shared" si="3"/>
        <v>43205.692499988429</v>
      </c>
      <c r="I5" s="179"/>
      <c r="J5" s="176">
        <v>43205</v>
      </c>
      <c r="K5" s="177">
        <v>0.69241898148148151</v>
      </c>
      <c r="L5" s="178">
        <f t="shared" si="0"/>
        <v>43205.692418981482</v>
      </c>
      <c r="M5" s="178">
        <f t="shared" si="4"/>
        <v>29.530567129630072</v>
      </c>
      <c r="N5" s="180">
        <f t="shared" si="5"/>
        <v>29.530567129630072</v>
      </c>
    </row>
    <row r="6" spans="1:15" hidden="1" x14ac:dyDescent="0.3">
      <c r="A6" s="176">
        <v>43235</v>
      </c>
      <c r="B6" s="177">
        <v>0.57626157407407408</v>
      </c>
      <c r="C6" s="178">
        <f t="shared" si="1"/>
        <v>43235.576261574075</v>
      </c>
      <c r="D6" s="178">
        <f t="shared" si="6"/>
        <v>29.409675925926422</v>
      </c>
      <c r="E6" s="180">
        <f t="shared" si="7"/>
        <v>29.409675925926422</v>
      </c>
      <c r="F6" s="181">
        <f t="shared" si="2"/>
        <v>0.35316745370073477</v>
      </c>
      <c r="G6" s="178">
        <f t="shared" si="8"/>
        <v>43235.223094120374</v>
      </c>
      <c r="H6" s="176">
        <f t="shared" si="3"/>
        <v>43235.223094120374</v>
      </c>
      <c r="I6" s="179"/>
      <c r="J6" s="176">
        <v>43235</v>
      </c>
      <c r="K6" s="177">
        <v>0.22298611111111111</v>
      </c>
      <c r="L6" s="178">
        <f t="shared" si="0"/>
        <v>43235.222986111112</v>
      </c>
      <c r="M6" s="178">
        <f t="shared" si="4"/>
        <v>29.530567129630072</v>
      </c>
      <c r="N6" s="180">
        <f t="shared" si="5"/>
        <v>29.530567129630072</v>
      </c>
    </row>
    <row r="7" spans="1:15" hidden="1" x14ac:dyDescent="0.3">
      <c r="A7" s="175">
        <v>43264</v>
      </c>
      <c r="B7" s="169">
        <v>0.90629629629629627</v>
      </c>
      <c r="C7" s="173">
        <f t="shared" si="1"/>
        <v>43264.9062962963</v>
      </c>
      <c r="D7" s="173">
        <f t="shared" si="6"/>
        <v>29.330034722224809</v>
      </c>
      <c r="E7" s="174">
        <f t="shared" si="7"/>
        <v>29.330034722224809</v>
      </c>
      <c r="F7" s="181">
        <f t="shared" si="2"/>
        <v>0.15260804397985339</v>
      </c>
      <c r="G7" s="173">
        <f t="shared" si="8"/>
        <v>43264.75368825232</v>
      </c>
      <c r="H7" s="175">
        <f t="shared" si="3"/>
        <v>43264.75368825232</v>
      </c>
      <c r="J7" s="175">
        <v>43264</v>
      </c>
      <c r="K7" s="169">
        <v>0.7535532407407407</v>
      </c>
      <c r="L7" s="173">
        <f t="shared" si="0"/>
        <v>43264.753553240742</v>
      </c>
      <c r="M7" s="173">
        <f t="shared" si="4"/>
        <v>29.530567129630072</v>
      </c>
      <c r="N7" s="174">
        <f t="shared" si="5"/>
        <v>29.530567129630072</v>
      </c>
    </row>
    <row r="8" spans="1:15" hidden="1" x14ac:dyDescent="0.3">
      <c r="A8" s="175">
        <v>43294</v>
      </c>
      <c r="B8" s="169">
        <v>0.20109953703703706</v>
      </c>
      <c r="C8" s="173">
        <f t="shared" si="1"/>
        <v>43294.201099537036</v>
      </c>
      <c r="D8" s="173">
        <f t="shared" si="6"/>
        <v>29.294803240736655</v>
      </c>
      <c r="E8" s="174">
        <f t="shared" si="7"/>
        <v>29.294803240736655</v>
      </c>
      <c r="F8" s="181">
        <f t="shared" si="2"/>
        <v>8.3182847229181789E-2</v>
      </c>
      <c r="G8" s="173">
        <f t="shared" si="8"/>
        <v>43294.284282384266</v>
      </c>
      <c r="H8" s="175">
        <f t="shared" si="3"/>
        <v>43294.284282384266</v>
      </c>
      <c r="J8" s="175">
        <v>43294</v>
      </c>
      <c r="K8" s="169">
        <v>0.28412037037037036</v>
      </c>
      <c r="L8" s="173">
        <f t="shared" si="0"/>
        <v>43294.284120370372</v>
      </c>
      <c r="M8" s="173">
        <f t="shared" si="4"/>
        <v>29.530567129630072</v>
      </c>
      <c r="N8" s="174">
        <f t="shared" si="5"/>
        <v>29.530567129630072</v>
      </c>
    </row>
    <row r="9" spans="1:15" x14ac:dyDescent="0.3">
      <c r="A9" s="175">
        <v>43323</v>
      </c>
      <c r="B9" s="169">
        <v>0.49938657407407411</v>
      </c>
      <c r="C9" s="173">
        <f t="shared" si="1"/>
        <v>43323.499386574076</v>
      </c>
      <c r="D9" s="173">
        <f t="shared" si="6"/>
        <v>29.298287037039699</v>
      </c>
      <c r="E9" s="174">
        <f t="shared" si="7"/>
        <v>29.298287037039699</v>
      </c>
      <c r="F9" s="181">
        <f t="shared" si="2"/>
        <v>0.3154899421351729</v>
      </c>
      <c r="G9" s="173">
        <f t="shared" si="8"/>
        <v>43323.814876516211</v>
      </c>
      <c r="H9" s="175">
        <f t="shared" si="3"/>
        <v>43323.814876516211</v>
      </c>
      <c r="J9" s="175">
        <v>43323</v>
      </c>
      <c r="K9" s="169">
        <v>0.8146874999999999</v>
      </c>
      <c r="L9" s="173">
        <f t="shared" si="0"/>
        <v>43323.814687500002</v>
      </c>
      <c r="M9" s="173">
        <f t="shared" si="4"/>
        <v>29.530567129630072</v>
      </c>
      <c r="N9" s="174">
        <f t="shared" si="5"/>
        <v>29.530567129630072</v>
      </c>
    </row>
    <row r="10" spans="1:15" x14ac:dyDescent="0.3">
      <c r="A10" s="175">
        <v>43352</v>
      </c>
      <c r="B10" s="169">
        <v>0.83519675925925929</v>
      </c>
      <c r="C10" s="173">
        <f t="shared" si="1"/>
        <v>43352.835196759261</v>
      </c>
      <c r="D10" s="173">
        <f t="shared" si="6"/>
        <v>29.335810185184528</v>
      </c>
      <c r="E10" s="174">
        <f t="shared" si="7"/>
        <v>29.335810185184528</v>
      </c>
      <c r="F10" s="181">
        <f t="shared" si="2"/>
        <v>0.51027388889633585</v>
      </c>
      <c r="G10" s="173">
        <f t="shared" si="8"/>
        <v>43353.345470648157</v>
      </c>
      <c r="H10" s="175">
        <f t="shared" si="3"/>
        <v>43353.345470648157</v>
      </c>
    </row>
    <row r="11" spans="1:15" x14ac:dyDescent="0.3">
      <c r="A11" s="175">
        <v>43382</v>
      </c>
      <c r="B11" s="169">
        <v>0.24155092592592595</v>
      </c>
      <c r="C11" s="173">
        <f t="shared" si="1"/>
        <v>43382.241550925923</v>
      </c>
      <c r="D11" s="173">
        <f t="shared" si="6"/>
        <v>29.406354166661913</v>
      </c>
      <c r="E11" s="174">
        <f t="shared" si="7"/>
        <v>29.406354166661913</v>
      </c>
      <c r="F11" s="181">
        <f t="shared" si="2"/>
        <v>0.63451385418011341</v>
      </c>
      <c r="G11" s="173">
        <f t="shared" si="8"/>
        <v>43382.876064780103</v>
      </c>
      <c r="H11" s="175">
        <f t="shared" si="3"/>
        <v>43382.876064780103</v>
      </c>
    </row>
    <row r="12" spans="1:15" x14ac:dyDescent="0.3">
      <c r="A12" s="175">
        <v>43411</v>
      </c>
      <c r="B12" s="169">
        <v>0.71032407407407405</v>
      </c>
      <c r="C12" s="173">
        <f t="shared" si="1"/>
        <v>43411.710324074076</v>
      </c>
      <c r="D12" s="173">
        <f t="shared" si="6"/>
        <v>29.468773148153559</v>
      </c>
      <c r="E12" s="174">
        <f t="shared" si="7"/>
        <v>29.468773148153559</v>
      </c>
      <c r="F12" s="181">
        <f t="shared" si="2"/>
        <v>0.69633483797224471</v>
      </c>
      <c r="G12" s="173">
        <f t="shared" si="8"/>
        <v>43412.406658912048</v>
      </c>
      <c r="H12" s="175">
        <f t="shared" si="3"/>
        <v>43412.406658912048</v>
      </c>
    </row>
    <row r="13" spans="1:15" x14ac:dyDescent="0.3">
      <c r="A13" s="175">
        <v>43441</v>
      </c>
      <c r="B13" s="169">
        <v>0.34840277777777778</v>
      </c>
      <c r="C13" s="173">
        <f t="shared" si="1"/>
        <v>43441.348402777781</v>
      </c>
      <c r="D13" s="173">
        <f t="shared" si="6"/>
        <v>29.638078703705105</v>
      </c>
      <c r="E13" s="174">
        <f t="shared" si="7"/>
        <v>29.638078703705105</v>
      </c>
      <c r="F13" s="181">
        <f t="shared" si="2"/>
        <v>0.58885026621283032</v>
      </c>
      <c r="G13" s="173">
        <f t="shared" si="8"/>
        <v>43441.937253043994</v>
      </c>
      <c r="H13" s="175">
        <f t="shared" si="3"/>
        <v>43441.937253043994</v>
      </c>
    </row>
    <row r="14" spans="1:15" x14ac:dyDescent="0.3">
      <c r="A14" s="175">
        <v>43471</v>
      </c>
      <c r="B14" s="169">
        <v>0.10407407407407408</v>
      </c>
      <c r="C14" s="173">
        <f t="shared" si="1"/>
        <v>43471.104074074072</v>
      </c>
      <c r="D14" s="173">
        <f t="shared" si="6"/>
        <v>29.755671296290529</v>
      </c>
      <c r="E14" s="174">
        <f t="shared" si="7"/>
        <v>29.755671296290529</v>
      </c>
      <c r="F14" s="181">
        <f t="shared" si="2"/>
        <v>0.3637731018679915</v>
      </c>
      <c r="G14" s="173">
        <f t="shared" si="8"/>
        <v>43471.46784717594</v>
      </c>
      <c r="H14" s="175">
        <f t="shared" si="3"/>
        <v>43471.46784717594</v>
      </c>
    </row>
    <row r="15" spans="1:15" x14ac:dyDescent="0.3">
      <c r="A15" s="175">
        <v>43500</v>
      </c>
      <c r="B15" s="169">
        <v>0.92005787037037035</v>
      </c>
      <c r="C15" s="173">
        <f t="shared" si="1"/>
        <v>43500.920057870368</v>
      </c>
      <c r="D15" s="173">
        <f t="shared" si="6"/>
        <v>29.815983796295768</v>
      </c>
      <c r="E15" s="174">
        <f t="shared" si="7"/>
        <v>29.815983796295768</v>
      </c>
      <c r="F15" s="181">
        <f t="shared" si="2"/>
        <v>7.838343751791399E-2</v>
      </c>
      <c r="G15" s="173">
        <f t="shared" si="8"/>
        <v>43500.998441307886</v>
      </c>
      <c r="H15" s="175">
        <f t="shared" si="3"/>
        <v>43500.998441307886</v>
      </c>
    </row>
    <row r="16" spans="1:15" x14ac:dyDescent="0.3">
      <c r="A16" s="175">
        <v>43530</v>
      </c>
      <c r="B16" s="169">
        <v>0.71211805555555552</v>
      </c>
      <c r="C16" s="173">
        <f t="shared" si="1"/>
        <v>43530.712118055555</v>
      </c>
      <c r="D16" s="173">
        <f t="shared" si="6"/>
        <v>29.792060185187438</v>
      </c>
      <c r="E16" s="174">
        <f t="shared" si="7"/>
        <v>29.792060185187438</v>
      </c>
      <c r="F16" s="181">
        <f t="shared" si="2"/>
        <v>0.18308261572383344</v>
      </c>
      <c r="G16" s="173">
        <f t="shared" si="8"/>
        <v>43530.529035439831</v>
      </c>
      <c r="H16" s="175">
        <f t="shared" si="3"/>
        <v>43530.529035439831</v>
      </c>
    </row>
    <row r="17" spans="1:8" x14ac:dyDescent="0.3">
      <c r="A17" s="175">
        <v>43560</v>
      </c>
      <c r="B17" s="169">
        <v>0.45303240740740741</v>
      </c>
      <c r="C17" s="173">
        <f t="shared" si="1"/>
        <v>43560.453032407408</v>
      </c>
      <c r="D17" s="173">
        <f t="shared" si="6"/>
        <v>29.740914351852552</v>
      </c>
      <c r="E17" s="174">
        <f t="shared" si="7"/>
        <v>29.740914351852552</v>
      </c>
      <c r="F17" s="181">
        <f t="shared" si="2"/>
        <v>0.39340283563069534</v>
      </c>
      <c r="G17" s="173">
        <f t="shared" si="8"/>
        <v>43560.059629571777</v>
      </c>
      <c r="H17" s="175">
        <f t="shared" si="3"/>
        <v>43560.059629571777</v>
      </c>
    </row>
    <row r="18" spans="1:8" x14ac:dyDescent="0.3">
      <c r="A18" s="175">
        <v>43590</v>
      </c>
      <c r="B18" s="169">
        <v>3.2650462962962964E-2</v>
      </c>
      <c r="C18" s="173">
        <f t="shared" si="1"/>
        <v>43590.032650462963</v>
      </c>
      <c r="D18" s="173">
        <f t="shared" si="6"/>
        <v>29.579618055555329</v>
      </c>
      <c r="E18" s="174">
        <f t="shared" si="7"/>
        <v>29.579618055555329</v>
      </c>
      <c r="F18" s="181">
        <f t="shared" si="2"/>
        <v>0.44242675924033392</v>
      </c>
      <c r="G18" s="173">
        <f t="shared" si="8"/>
        <v>43589.590223703723</v>
      </c>
      <c r="H18" s="175">
        <f t="shared" si="3"/>
        <v>43589.590223703723</v>
      </c>
    </row>
    <row r="19" spans="1:8" x14ac:dyDescent="0.3">
      <c r="A19" s="175">
        <v>43619</v>
      </c>
      <c r="B19" s="169">
        <v>0.50207175925925929</v>
      </c>
      <c r="C19" s="173">
        <f t="shared" si="1"/>
        <v>43619.502071759256</v>
      </c>
      <c r="D19" s="173">
        <f t="shared" si="6"/>
        <v>29.469421296293149</v>
      </c>
      <c r="E19" s="174">
        <f t="shared" si="7"/>
        <v>29.469421296293149</v>
      </c>
      <c r="F19" s="181">
        <f t="shared" si="2"/>
        <v>0.38125392358779209</v>
      </c>
      <c r="G19" s="173">
        <f t="shared" si="8"/>
        <v>43619.120817835668</v>
      </c>
      <c r="H19" s="175">
        <f t="shared" si="3"/>
        <v>43619.120817835668</v>
      </c>
    </row>
    <row r="20" spans="1:8" x14ac:dyDescent="0.3">
      <c r="A20" s="175">
        <v>43648</v>
      </c>
      <c r="B20" s="169">
        <v>0.88692129629629635</v>
      </c>
      <c r="C20" s="173">
        <f t="shared" si="1"/>
        <v>43648.886921296296</v>
      </c>
      <c r="D20" s="173">
        <f t="shared" si="6"/>
        <v>29.384849537040282</v>
      </c>
      <c r="E20" s="174">
        <f t="shared" si="7"/>
        <v>29.384849537040282</v>
      </c>
      <c r="F20" s="181">
        <f t="shared" si="2"/>
        <v>0.23550932868238306</v>
      </c>
      <c r="G20" s="173">
        <f t="shared" si="8"/>
        <v>43648.651411967614</v>
      </c>
      <c r="H20" s="175">
        <f t="shared" si="3"/>
        <v>43648.651411967614</v>
      </c>
    </row>
    <row r="21" spans="1:8" x14ac:dyDescent="0.3">
      <c r="A21" s="175">
        <v>43678</v>
      </c>
      <c r="B21" s="169">
        <v>0.21730324074074073</v>
      </c>
      <c r="C21" s="173">
        <f t="shared" si="1"/>
        <v>43678.217303240737</v>
      </c>
      <c r="D21" s="173">
        <f t="shared" si="6"/>
        <v>29.330381944440887</v>
      </c>
      <c r="E21" s="174">
        <f t="shared" si="7"/>
        <v>29.330381944440887</v>
      </c>
      <c r="F21" s="181">
        <f t="shared" si="2"/>
        <v>3.5297141177579761E-2</v>
      </c>
      <c r="G21" s="173">
        <f t="shared" si="8"/>
        <v>43678.18200609956</v>
      </c>
      <c r="H21" s="175">
        <f t="shared" si="3"/>
        <v>43678.18200609956</v>
      </c>
    </row>
    <row r="22" spans="1:8" x14ac:dyDescent="0.3">
      <c r="A22" s="175">
        <v>43707</v>
      </c>
      <c r="B22" s="169">
        <v>0.52662037037037035</v>
      </c>
      <c r="C22" s="173">
        <f t="shared" si="1"/>
        <v>43707.526620370372</v>
      </c>
      <c r="D22" s="173">
        <f t="shared" si="6"/>
        <v>29.309317129635019</v>
      </c>
      <c r="E22" s="174">
        <f t="shared" si="7"/>
        <v>29.309317129635019</v>
      </c>
      <c r="F22" s="181">
        <f t="shared" si="2"/>
        <v>0.18597986113309162</v>
      </c>
      <c r="G22" s="173">
        <f t="shared" si="8"/>
        <v>43707.712600231505</v>
      </c>
      <c r="H22" s="175">
        <f t="shared" si="3"/>
        <v>43707.712600231505</v>
      </c>
    </row>
    <row r="23" spans="1:8" x14ac:dyDescent="0.3">
      <c r="A23" s="175">
        <v>43736</v>
      </c>
      <c r="B23" s="169">
        <v>0.85270833333333329</v>
      </c>
      <c r="C23" s="173">
        <f t="shared" si="1"/>
        <v>43736.852708333332</v>
      </c>
      <c r="D23" s="173">
        <f t="shared" si="6"/>
        <v>29.326087962959718</v>
      </c>
      <c r="E23" s="174">
        <f t="shared" si="7"/>
        <v>29.326087962959718</v>
      </c>
      <c r="F23" s="181">
        <f t="shared" si="2"/>
        <v>0.3904860301190638</v>
      </c>
      <c r="G23" s="173">
        <f t="shared" si="8"/>
        <v>43737.243194363451</v>
      </c>
      <c r="H23" s="175">
        <f t="shared" si="3"/>
        <v>43737.243194363451</v>
      </c>
    </row>
    <row r="24" spans="1:8" x14ac:dyDescent="0.3">
      <c r="A24" s="175">
        <v>43766</v>
      </c>
      <c r="B24" s="169">
        <v>0.19461805555555556</v>
      </c>
      <c r="C24" s="173">
        <f t="shared" si="1"/>
        <v>43766.194618055553</v>
      </c>
      <c r="D24" s="173">
        <f t="shared" si="6"/>
        <v>29.341909722221317</v>
      </c>
      <c r="E24" s="174">
        <f t="shared" si="7"/>
        <v>29.341909722221317</v>
      </c>
      <c r="F24" s="181">
        <f t="shared" si="2"/>
        <v>0.57917043984343763</v>
      </c>
      <c r="G24" s="173">
        <f t="shared" si="8"/>
        <v>43766.773788495397</v>
      </c>
      <c r="H24" s="175">
        <f t="shared" si="3"/>
        <v>43766.773788495397</v>
      </c>
    </row>
    <row r="25" spans="1:8" x14ac:dyDescent="0.3">
      <c r="A25" s="175">
        <v>43795</v>
      </c>
      <c r="B25" s="169">
        <v>0.67200231481481476</v>
      </c>
      <c r="C25" s="173">
        <f t="shared" si="1"/>
        <v>43795.672002314815</v>
      </c>
      <c r="D25" s="173">
        <f t="shared" si="6"/>
        <v>29.47738425926218</v>
      </c>
      <c r="E25" s="174">
        <f t="shared" si="7"/>
        <v>29.47738425926218</v>
      </c>
      <c r="F25" s="181">
        <f t="shared" si="2"/>
        <v>0.63238031252694782</v>
      </c>
      <c r="G25" s="173">
        <f t="shared" si="8"/>
        <v>43796.304382627342</v>
      </c>
      <c r="H25" s="175">
        <f t="shared" si="3"/>
        <v>43796.304382627342</v>
      </c>
    </row>
    <row r="26" spans="1:8" x14ac:dyDescent="0.3">
      <c r="A26" s="175">
        <v>43825</v>
      </c>
      <c r="B26" s="169">
        <v>0.260775462962963</v>
      </c>
      <c r="C26" s="173">
        <f t="shared" si="1"/>
        <v>43825.260775462964</v>
      </c>
      <c r="D26" s="173">
        <f t="shared" si="6"/>
        <v>29.588773148148903</v>
      </c>
      <c r="E26" s="174">
        <f t="shared" si="7"/>
        <v>29.588773148148903</v>
      </c>
      <c r="F26" s="181">
        <f t="shared" si="2"/>
        <v>0.57420129632373573</v>
      </c>
      <c r="G26" s="173">
        <f t="shared" si="8"/>
        <v>43825.834976759288</v>
      </c>
      <c r="H26" s="175">
        <f t="shared" si="3"/>
        <v>43825.834976759288</v>
      </c>
    </row>
    <row r="27" spans="1:8" x14ac:dyDescent="0.3">
      <c r="D27" s="173"/>
      <c r="G27" s="173">
        <f t="shared" si="8"/>
        <v>43855.365570891234</v>
      </c>
      <c r="H27" s="175">
        <f t="shared" si="3"/>
        <v>43855.365570891234</v>
      </c>
    </row>
    <row r="28" spans="1:8" x14ac:dyDescent="0.3">
      <c r="G28" s="173">
        <f t="shared" si="8"/>
        <v>43884.896165023179</v>
      </c>
      <c r="H28" s="175">
        <f t="shared" si="3"/>
        <v>43884.896165023179</v>
      </c>
    </row>
    <row r="29" spans="1:8" x14ac:dyDescent="0.3">
      <c r="G29" s="173">
        <f t="shared" si="8"/>
        <v>43914.426759155125</v>
      </c>
      <c r="H29" s="175">
        <f t="shared" si="3"/>
        <v>43914.426759155125</v>
      </c>
    </row>
    <row r="30" spans="1:8" x14ac:dyDescent="0.3">
      <c r="G30" s="173">
        <f t="shared" si="8"/>
        <v>43943.957353287071</v>
      </c>
      <c r="H30" s="175">
        <f t="shared" si="3"/>
        <v>43943.957353287071</v>
      </c>
    </row>
    <row r="31" spans="1:8" x14ac:dyDescent="0.3">
      <c r="G31" s="173">
        <f t="shared" si="8"/>
        <v>43973.487947419017</v>
      </c>
      <c r="H31" s="175">
        <f t="shared" si="3"/>
        <v>43973.487947419017</v>
      </c>
    </row>
    <row r="32" spans="1:8" x14ac:dyDescent="0.3">
      <c r="G32" s="173">
        <f t="shared" si="8"/>
        <v>44003.018541550962</v>
      </c>
      <c r="H32" s="175">
        <f t="shared" si="3"/>
        <v>44003.018541550962</v>
      </c>
    </row>
    <row r="33" spans="2:8" x14ac:dyDescent="0.3">
      <c r="G33" s="173">
        <f t="shared" si="8"/>
        <v>44032.549135682908</v>
      </c>
      <c r="H33" s="175">
        <f t="shared" si="3"/>
        <v>44032.549135682908</v>
      </c>
    </row>
    <row r="34" spans="2:8" x14ac:dyDescent="0.3">
      <c r="G34" s="173">
        <f t="shared" si="8"/>
        <v>44062.079729814854</v>
      </c>
      <c r="H34" s="175">
        <f t="shared" si="3"/>
        <v>44062.079729814854</v>
      </c>
    </row>
    <row r="35" spans="2:8" x14ac:dyDescent="0.3">
      <c r="G35" s="173">
        <f t="shared" si="8"/>
        <v>44091.610323946799</v>
      </c>
      <c r="H35" s="175">
        <f t="shared" si="3"/>
        <v>44091.610323946799</v>
      </c>
    </row>
    <row r="36" spans="2:8" x14ac:dyDescent="0.3">
      <c r="B36" s="169"/>
      <c r="D36" s="173"/>
      <c r="G36" s="173">
        <f t="shared" si="8"/>
        <v>44121.140918078745</v>
      </c>
      <c r="H36" s="175">
        <f t="shared" si="3"/>
        <v>44121.140918078745</v>
      </c>
    </row>
    <row r="37" spans="2:8" x14ac:dyDescent="0.3">
      <c r="B37" s="169"/>
      <c r="D37" s="173"/>
      <c r="G37" s="173">
        <f t="shared" si="8"/>
        <v>44150.671512210691</v>
      </c>
      <c r="H37" s="175">
        <f t="shared" si="3"/>
        <v>44150.671512210691</v>
      </c>
    </row>
    <row r="38" spans="2:8" x14ac:dyDescent="0.3">
      <c r="B38" s="169"/>
      <c r="D38" s="173"/>
      <c r="G38" s="173">
        <f t="shared" si="8"/>
        <v>44180.202106342636</v>
      </c>
      <c r="H38" s="175">
        <f t="shared" si="3"/>
        <v>44180.202106342636</v>
      </c>
    </row>
    <row r="39" spans="2:8" x14ac:dyDescent="0.3">
      <c r="B39" s="169"/>
      <c r="D39" s="173"/>
      <c r="G39" s="173">
        <f t="shared" si="8"/>
        <v>44209.732700474582</v>
      </c>
      <c r="H39" s="175">
        <f t="shared" si="3"/>
        <v>44209.732700474582</v>
      </c>
    </row>
    <row r="40" spans="2:8" x14ac:dyDescent="0.3">
      <c r="B40" s="169"/>
      <c r="D40" s="173"/>
      <c r="G40" s="173">
        <f t="shared" si="8"/>
        <v>44239.263294606528</v>
      </c>
      <c r="H40" s="175">
        <f t="shared" si="3"/>
        <v>44239.263294606528</v>
      </c>
    </row>
    <row r="41" spans="2:8" x14ac:dyDescent="0.3">
      <c r="B41" s="169"/>
      <c r="D41" s="173"/>
      <c r="G41" s="173">
        <f t="shared" si="8"/>
        <v>44268.793888738473</v>
      </c>
      <c r="H41" s="175">
        <f t="shared" si="3"/>
        <v>44268.793888738473</v>
      </c>
    </row>
    <row r="42" spans="2:8" x14ac:dyDescent="0.3">
      <c r="B42" s="169"/>
      <c r="D42" s="173"/>
      <c r="G42" s="173">
        <f t="shared" si="8"/>
        <v>44298.324482870419</v>
      </c>
      <c r="H42" s="175">
        <f t="shared" si="3"/>
        <v>44298.324482870419</v>
      </c>
    </row>
    <row r="43" spans="2:8" x14ac:dyDescent="0.3">
      <c r="B43" s="169"/>
      <c r="D43" s="173"/>
      <c r="G43" s="173">
        <f t="shared" si="8"/>
        <v>44327.855077002365</v>
      </c>
      <c r="H43" s="175">
        <f t="shared" si="3"/>
        <v>44327.855077002365</v>
      </c>
    </row>
    <row r="44" spans="2:8" x14ac:dyDescent="0.3">
      <c r="B44" s="169"/>
      <c r="D44" s="173"/>
      <c r="G44" s="173">
        <f t="shared" si="8"/>
        <v>44357.385671134311</v>
      </c>
      <c r="H44" s="175">
        <f t="shared" si="3"/>
        <v>44357.385671134311</v>
      </c>
    </row>
    <row r="45" spans="2:8" x14ac:dyDescent="0.3">
      <c r="B45" s="169"/>
      <c r="D45" s="173"/>
      <c r="G45" s="173">
        <f t="shared" si="8"/>
        <v>44386.916265266256</v>
      </c>
      <c r="H45" s="175">
        <f t="shared" si="3"/>
        <v>44386.916265266256</v>
      </c>
    </row>
    <row r="46" spans="2:8" x14ac:dyDescent="0.3">
      <c r="B46" s="169"/>
      <c r="D46" s="173"/>
      <c r="G46" s="173">
        <f t="shared" si="8"/>
        <v>44416.446859398202</v>
      </c>
      <c r="H46" s="175">
        <f t="shared" si="3"/>
        <v>44416.446859398202</v>
      </c>
    </row>
    <row r="47" spans="2:8" x14ac:dyDescent="0.3">
      <c r="B47" s="169"/>
      <c r="D47" s="173"/>
      <c r="G47" s="173">
        <f t="shared" si="8"/>
        <v>44445.977453530148</v>
      </c>
      <c r="H47" s="175">
        <f t="shared" si="3"/>
        <v>44445.977453530148</v>
      </c>
    </row>
    <row r="48" spans="2:8" x14ac:dyDescent="0.3">
      <c r="B48" s="169"/>
      <c r="D48" s="173"/>
      <c r="G48" s="173">
        <f t="shared" si="8"/>
        <v>44475.508047662093</v>
      </c>
      <c r="H48" s="175">
        <f t="shared" si="3"/>
        <v>44475.508047662093</v>
      </c>
    </row>
    <row r="49" spans="2:8" x14ac:dyDescent="0.3">
      <c r="B49" s="169"/>
      <c r="D49" s="173"/>
      <c r="G49" s="173">
        <f t="shared" si="8"/>
        <v>44505.038641794039</v>
      </c>
      <c r="H49" s="175">
        <f t="shared" si="3"/>
        <v>44505.038641794039</v>
      </c>
    </row>
    <row r="50" spans="2:8" x14ac:dyDescent="0.3">
      <c r="B50" s="169"/>
      <c r="D50" s="173"/>
      <c r="G50" s="173">
        <f t="shared" si="8"/>
        <v>44534.569235925985</v>
      </c>
      <c r="H50" s="175">
        <f t="shared" si="3"/>
        <v>44534.569235925985</v>
      </c>
    </row>
    <row r="51" spans="2:8" x14ac:dyDescent="0.3">
      <c r="B51" s="169"/>
      <c r="D51" s="173"/>
      <c r="G51" s="173">
        <f t="shared" si="8"/>
        <v>44564.09983005793</v>
      </c>
      <c r="H51" s="175">
        <f t="shared" si="3"/>
        <v>44564.09983005793</v>
      </c>
    </row>
    <row r="52" spans="2:8" x14ac:dyDescent="0.3">
      <c r="B52" s="169"/>
      <c r="D52" s="173"/>
      <c r="G52" s="173">
        <f t="shared" si="8"/>
        <v>44593.630424189876</v>
      </c>
      <c r="H52" s="175">
        <f t="shared" si="3"/>
        <v>44593.630424189876</v>
      </c>
    </row>
    <row r="53" spans="2:8" x14ac:dyDescent="0.3">
      <c r="D53" s="173"/>
      <c r="G53" s="173">
        <f t="shared" si="8"/>
        <v>44623.161018321822</v>
      </c>
      <c r="H53" s="175">
        <f t="shared" si="3"/>
        <v>44623.161018321822</v>
      </c>
    </row>
    <row r="54" spans="2:8" x14ac:dyDescent="0.3">
      <c r="D54" s="173"/>
      <c r="G54" s="173">
        <f t="shared" si="8"/>
        <v>44652.691612453767</v>
      </c>
      <c r="H54" s="175">
        <f t="shared" si="3"/>
        <v>44652.691612453767</v>
      </c>
    </row>
    <row r="55" spans="2:8" x14ac:dyDescent="0.3">
      <c r="G55" s="173">
        <f t="shared" si="8"/>
        <v>44682.222206585713</v>
      </c>
      <c r="H55" s="175">
        <f t="shared" ref="H55:H76" si="9">G55</f>
        <v>44682.222206585713</v>
      </c>
    </row>
    <row r="56" spans="2:8" x14ac:dyDescent="0.3">
      <c r="G56" s="173">
        <f t="shared" si="8"/>
        <v>44711.752800717659</v>
      </c>
      <c r="H56" s="175">
        <f t="shared" si="9"/>
        <v>44711.752800717659</v>
      </c>
    </row>
    <row r="57" spans="2:8" x14ac:dyDescent="0.3">
      <c r="G57" s="173">
        <f t="shared" si="8"/>
        <v>44741.283394849605</v>
      </c>
      <c r="H57" s="175">
        <f t="shared" si="9"/>
        <v>44741.283394849605</v>
      </c>
    </row>
    <row r="58" spans="2:8" x14ac:dyDescent="0.3">
      <c r="G58" s="173">
        <f t="shared" si="8"/>
        <v>44770.81398898155</v>
      </c>
      <c r="H58" s="175">
        <f t="shared" si="9"/>
        <v>44770.81398898155</v>
      </c>
    </row>
    <row r="59" spans="2:8" x14ac:dyDescent="0.3">
      <c r="G59" s="173">
        <f t="shared" si="8"/>
        <v>44800.344583113496</v>
      </c>
      <c r="H59" s="175">
        <f t="shared" si="9"/>
        <v>44800.344583113496</v>
      </c>
    </row>
    <row r="60" spans="2:8" x14ac:dyDescent="0.3">
      <c r="G60" s="173">
        <f t="shared" si="8"/>
        <v>44829.875177245442</v>
      </c>
      <c r="H60" s="175">
        <f t="shared" si="9"/>
        <v>44829.875177245442</v>
      </c>
    </row>
    <row r="61" spans="2:8" x14ac:dyDescent="0.3">
      <c r="G61" s="173">
        <f t="shared" si="8"/>
        <v>44859.405771377387</v>
      </c>
      <c r="H61" s="175">
        <f t="shared" si="9"/>
        <v>44859.405771377387</v>
      </c>
    </row>
    <row r="62" spans="2:8" x14ac:dyDescent="0.3">
      <c r="G62" s="173">
        <f t="shared" si="8"/>
        <v>44888.936365509333</v>
      </c>
      <c r="H62" s="175">
        <f t="shared" si="9"/>
        <v>44888.936365509333</v>
      </c>
    </row>
    <row r="63" spans="2:8" x14ac:dyDescent="0.3">
      <c r="G63" s="173">
        <f t="shared" si="8"/>
        <v>44918.466959641279</v>
      </c>
      <c r="H63" s="175">
        <f t="shared" si="9"/>
        <v>44918.466959641279</v>
      </c>
    </row>
    <row r="64" spans="2:8" x14ac:dyDescent="0.3">
      <c r="G64" s="173">
        <f t="shared" si="8"/>
        <v>44947.997553773224</v>
      </c>
      <c r="H64" s="175">
        <f t="shared" si="9"/>
        <v>44947.997553773224</v>
      </c>
    </row>
    <row r="65" spans="7:8" x14ac:dyDescent="0.3">
      <c r="G65" s="173">
        <f t="shared" si="8"/>
        <v>44977.52814790517</v>
      </c>
      <c r="H65" s="175">
        <f t="shared" si="9"/>
        <v>44977.52814790517</v>
      </c>
    </row>
    <row r="66" spans="7:8" x14ac:dyDescent="0.3">
      <c r="G66" s="173">
        <f t="shared" si="8"/>
        <v>45007.058742037116</v>
      </c>
      <c r="H66" s="175">
        <f t="shared" si="9"/>
        <v>45007.058742037116</v>
      </c>
    </row>
    <row r="67" spans="7:8" x14ac:dyDescent="0.3">
      <c r="G67" s="173">
        <f t="shared" si="8"/>
        <v>45036.589336169061</v>
      </c>
      <c r="H67" s="175">
        <f t="shared" si="9"/>
        <v>45036.589336169061</v>
      </c>
    </row>
    <row r="68" spans="7:8" x14ac:dyDescent="0.3">
      <c r="G68" s="173">
        <f t="shared" ref="G68:G131" si="10">G67+$E$1</f>
        <v>45066.119930301007</v>
      </c>
      <c r="H68" s="175">
        <f t="shared" si="9"/>
        <v>45066.119930301007</v>
      </c>
    </row>
    <row r="69" spans="7:8" x14ac:dyDescent="0.3">
      <c r="G69" s="173">
        <f t="shared" si="10"/>
        <v>45095.650524432953</v>
      </c>
      <c r="H69" s="175">
        <f t="shared" si="9"/>
        <v>45095.650524432953</v>
      </c>
    </row>
    <row r="70" spans="7:8" x14ac:dyDescent="0.3">
      <c r="G70" s="173">
        <f t="shared" si="10"/>
        <v>45125.181118564898</v>
      </c>
      <c r="H70" s="175">
        <f t="shared" si="9"/>
        <v>45125.181118564898</v>
      </c>
    </row>
    <row r="71" spans="7:8" x14ac:dyDescent="0.3">
      <c r="G71" s="173">
        <f t="shared" si="10"/>
        <v>45154.711712696844</v>
      </c>
      <c r="H71" s="175">
        <f t="shared" si="9"/>
        <v>45154.711712696844</v>
      </c>
    </row>
    <row r="72" spans="7:8" x14ac:dyDescent="0.3">
      <c r="G72" s="173">
        <f t="shared" si="10"/>
        <v>45184.24230682879</v>
      </c>
      <c r="H72" s="175">
        <f t="shared" si="9"/>
        <v>45184.24230682879</v>
      </c>
    </row>
    <row r="73" spans="7:8" x14ac:dyDescent="0.3">
      <c r="G73" s="173">
        <f t="shared" si="10"/>
        <v>45213.772900960736</v>
      </c>
      <c r="H73" s="175">
        <f t="shared" si="9"/>
        <v>45213.772900960736</v>
      </c>
    </row>
    <row r="74" spans="7:8" x14ac:dyDescent="0.3">
      <c r="G74" s="173">
        <f t="shared" si="10"/>
        <v>45243.303495092681</v>
      </c>
      <c r="H74" s="175">
        <f t="shared" si="9"/>
        <v>45243.303495092681</v>
      </c>
    </row>
    <row r="75" spans="7:8" x14ac:dyDescent="0.3">
      <c r="G75" s="173">
        <f t="shared" si="10"/>
        <v>45272.834089224627</v>
      </c>
      <c r="H75" s="175">
        <f t="shared" si="9"/>
        <v>45272.834089224627</v>
      </c>
    </row>
    <row r="76" spans="7:8" x14ac:dyDescent="0.3">
      <c r="G76" s="173">
        <f t="shared" si="10"/>
        <v>45302.364683356573</v>
      </c>
      <c r="H76" s="175">
        <f t="shared" si="9"/>
        <v>45302.364683356573</v>
      </c>
    </row>
    <row r="77" spans="7:8" x14ac:dyDescent="0.3">
      <c r="G77" s="173">
        <f t="shared" si="10"/>
        <v>45331.895277488518</v>
      </c>
      <c r="H77" s="175">
        <f t="shared" ref="H77:H140" si="11">G77</f>
        <v>45331.895277488518</v>
      </c>
    </row>
    <row r="78" spans="7:8" x14ac:dyDescent="0.3">
      <c r="G78" s="173">
        <f t="shared" si="10"/>
        <v>45361.425871620464</v>
      </c>
      <c r="H78" s="175">
        <f t="shared" si="11"/>
        <v>45361.425871620464</v>
      </c>
    </row>
    <row r="79" spans="7:8" x14ac:dyDescent="0.3">
      <c r="G79" s="173">
        <f t="shared" si="10"/>
        <v>45390.95646575241</v>
      </c>
      <c r="H79" s="175">
        <f t="shared" si="11"/>
        <v>45390.95646575241</v>
      </c>
    </row>
    <row r="80" spans="7:8" x14ac:dyDescent="0.3">
      <c r="G80" s="173">
        <f t="shared" si="10"/>
        <v>45420.487059884355</v>
      </c>
      <c r="H80" s="175">
        <f t="shared" si="11"/>
        <v>45420.487059884355</v>
      </c>
    </row>
    <row r="81" spans="7:8" x14ac:dyDescent="0.3">
      <c r="G81" s="173">
        <f t="shared" si="10"/>
        <v>45450.017654016301</v>
      </c>
      <c r="H81" s="175">
        <f t="shared" si="11"/>
        <v>45450.017654016301</v>
      </c>
    </row>
    <row r="82" spans="7:8" x14ac:dyDescent="0.3">
      <c r="G82" s="173">
        <f t="shared" si="10"/>
        <v>45479.548248148247</v>
      </c>
      <c r="H82" s="175">
        <f t="shared" si="11"/>
        <v>45479.548248148247</v>
      </c>
    </row>
    <row r="83" spans="7:8" x14ac:dyDescent="0.3">
      <c r="G83" s="173">
        <f t="shared" si="10"/>
        <v>45509.078842280192</v>
      </c>
      <c r="H83" s="175">
        <f t="shared" si="11"/>
        <v>45509.078842280192</v>
      </c>
    </row>
    <row r="84" spans="7:8" x14ac:dyDescent="0.3">
      <c r="G84" s="173">
        <f t="shared" si="10"/>
        <v>45538.609436412138</v>
      </c>
      <c r="H84" s="175">
        <f t="shared" si="11"/>
        <v>45538.609436412138</v>
      </c>
    </row>
    <row r="85" spans="7:8" x14ac:dyDescent="0.3">
      <c r="G85" s="173">
        <f t="shared" si="10"/>
        <v>45568.140030544084</v>
      </c>
      <c r="H85" s="175">
        <f t="shared" si="11"/>
        <v>45568.140030544084</v>
      </c>
    </row>
    <row r="86" spans="7:8" x14ac:dyDescent="0.3">
      <c r="G86" s="173">
        <f t="shared" si="10"/>
        <v>45597.67062467603</v>
      </c>
      <c r="H86" s="175">
        <f t="shared" si="11"/>
        <v>45597.67062467603</v>
      </c>
    </row>
    <row r="87" spans="7:8" x14ac:dyDescent="0.3">
      <c r="G87" s="173">
        <f t="shared" si="10"/>
        <v>45627.201218807975</v>
      </c>
      <c r="H87" s="175">
        <f t="shared" si="11"/>
        <v>45627.201218807975</v>
      </c>
    </row>
    <row r="88" spans="7:8" x14ac:dyDescent="0.3">
      <c r="G88" s="173">
        <f t="shared" si="10"/>
        <v>45656.731812939921</v>
      </c>
      <c r="H88" s="175">
        <f t="shared" si="11"/>
        <v>45656.731812939921</v>
      </c>
    </row>
    <row r="89" spans="7:8" x14ac:dyDescent="0.3">
      <c r="G89" s="173">
        <f t="shared" si="10"/>
        <v>45686.262407071867</v>
      </c>
      <c r="H89" s="175">
        <f t="shared" si="11"/>
        <v>45686.262407071867</v>
      </c>
    </row>
    <row r="90" spans="7:8" x14ac:dyDescent="0.3">
      <c r="G90" s="173">
        <f t="shared" si="10"/>
        <v>45715.793001203812</v>
      </c>
      <c r="H90" s="175">
        <f t="shared" si="11"/>
        <v>45715.793001203812</v>
      </c>
    </row>
    <row r="91" spans="7:8" x14ac:dyDescent="0.3">
      <c r="G91" s="173">
        <f t="shared" si="10"/>
        <v>45745.323595335758</v>
      </c>
      <c r="H91" s="175">
        <f t="shared" si="11"/>
        <v>45745.323595335758</v>
      </c>
    </row>
    <row r="92" spans="7:8" x14ac:dyDescent="0.3">
      <c r="G92" s="173">
        <f t="shared" si="10"/>
        <v>45774.854189467704</v>
      </c>
      <c r="H92" s="175">
        <f t="shared" si="11"/>
        <v>45774.854189467704</v>
      </c>
    </row>
    <row r="93" spans="7:8" x14ac:dyDescent="0.3">
      <c r="G93" s="173">
        <f t="shared" si="10"/>
        <v>45804.384783599649</v>
      </c>
      <c r="H93" s="175">
        <f t="shared" si="11"/>
        <v>45804.384783599649</v>
      </c>
    </row>
    <row r="94" spans="7:8" x14ac:dyDescent="0.3">
      <c r="G94" s="173">
        <f t="shared" si="10"/>
        <v>45833.915377731595</v>
      </c>
      <c r="H94" s="175">
        <f t="shared" si="11"/>
        <v>45833.915377731595</v>
      </c>
    </row>
    <row r="95" spans="7:8" x14ac:dyDescent="0.3">
      <c r="G95" s="173">
        <f t="shared" si="10"/>
        <v>45863.445971863541</v>
      </c>
      <c r="H95" s="175">
        <f t="shared" si="11"/>
        <v>45863.445971863541</v>
      </c>
    </row>
    <row r="96" spans="7:8" x14ac:dyDescent="0.3">
      <c r="G96" s="173">
        <f t="shared" si="10"/>
        <v>45892.976565995486</v>
      </c>
      <c r="H96" s="175">
        <f t="shared" si="11"/>
        <v>45892.976565995486</v>
      </c>
    </row>
    <row r="97" spans="7:8" x14ac:dyDescent="0.3">
      <c r="G97" s="173">
        <f t="shared" si="10"/>
        <v>45922.507160127432</v>
      </c>
      <c r="H97" s="175">
        <f t="shared" si="11"/>
        <v>45922.507160127432</v>
      </c>
    </row>
    <row r="98" spans="7:8" x14ac:dyDescent="0.3">
      <c r="G98" s="173">
        <f t="shared" si="10"/>
        <v>45952.037754259378</v>
      </c>
      <c r="H98" s="175">
        <f t="shared" si="11"/>
        <v>45952.037754259378</v>
      </c>
    </row>
    <row r="99" spans="7:8" x14ac:dyDescent="0.3">
      <c r="G99" s="173">
        <f t="shared" si="10"/>
        <v>45981.568348391324</v>
      </c>
      <c r="H99" s="175">
        <f t="shared" si="11"/>
        <v>45981.568348391324</v>
      </c>
    </row>
    <row r="100" spans="7:8" x14ac:dyDescent="0.3">
      <c r="G100" s="173">
        <f t="shared" si="10"/>
        <v>46011.098942523269</v>
      </c>
      <c r="H100" s="175">
        <f t="shared" si="11"/>
        <v>46011.098942523269</v>
      </c>
    </row>
    <row r="101" spans="7:8" x14ac:dyDescent="0.3">
      <c r="G101" s="173">
        <f t="shared" si="10"/>
        <v>46040.629536655215</v>
      </c>
      <c r="H101" s="175">
        <f t="shared" si="11"/>
        <v>46040.629536655215</v>
      </c>
    </row>
    <row r="102" spans="7:8" x14ac:dyDescent="0.3">
      <c r="G102" s="173">
        <f t="shared" si="10"/>
        <v>46070.160130787161</v>
      </c>
      <c r="H102" s="175">
        <f t="shared" si="11"/>
        <v>46070.160130787161</v>
      </c>
    </row>
    <row r="103" spans="7:8" x14ac:dyDescent="0.3">
      <c r="G103" s="173">
        <f t="shared" si="10"/>
        <v>46099.690724919106</v>
      </c>
      <c r="H103" s="175">
        <f t="shared" si="11"/>
        <v>46099.690724919106</v>
      </c>
    </row>
    <row r="104" spans="7:8" x14ac:dyDescent="0.3">
      <c r="G104" s="173">
        <f t="shared" si="10"/>
        <v>46129.221319051052</v>
      </c>
      <c r="H104" s="175">
        <f t="shared" si="11"/>
        <v>46129.221319051052</v>
      </c>
    </row>
    <row r="105" spans="7:8" x14ac:dyDescent="0.3">
      <c r="G105" s="173">
        <f t="shared" si="10"/>
        <v>46158.751913182998</v>
      </c>
      <c r="H105" s="175">
        <f t="shared" si="11"/>
        <v>46158.751913182998</v>
      </c>
    </row>
    <row r="106" spans="7:8" x14ac:dyDescent="0.3">
      <c r="G106" s="173">
        <f t="shared" si="10"/>
        <v>46188.282507314943</v>
      </c>
      <c r="H106" s="175">
        <f t="shared" si="11"/>
        <v>46188.282507314943</v>
      </c>
    </row>
    <row r="107" spans="7:8" x14ac:dyDescent="0.3">
      <c r="G107" s="173">
        <f t="shared" si="10"/>
        <v>46217.813101446889</v>
      </c>
      <c r="H107" s="175">
        <f t="shared" si="11"/>
        <v>46217.813101446889</v>
      </c>
    </row>
    <row r="108" spans="7:8" x14ac:dyDescent="0.3">
      <c r="G108" s="173">
        <f t="shared" si="10"/>
        <v>46247.343695578835</v>
      </c>
      <c r="H108" s="175">
        <f t="shared" si="11"/>
        <v>46247.343695578835</v>
      </c>
    </row>
    <row r="109" spans="7:8" x14ac:dyDescent="0.3">
      <c r="G109" s="173">
        <f t="shared" si="10"/>
        <v>46276.87428971078</v>
      </c>
      <c r="H109" s="175">
        <f t="shared" si="11"/>
        <v>46276.87428971078</v>
      </c>
    </row>
    <row r="110" spans="7:8" x14ac:dyDescent="0.3">
      <c r="G110" s="173">
        <f t="shared" si="10"/>
        <v>46306.404883842726</v>
      </c>
      <c r="H110" s="175">
        <f t="shared" si="11"/>
        <v>46306.404883842726</v>
      </c>
    </row>
    <row r="111" spans="7:8" x14ac:dyDescent="0.3">
      <c r="G111" s="173">
        <f t="shared" si="10"/>
        <v>46335.935477974672</v>
      </c>
      <c r="H111" s="175">
        <f t="shared" si="11"/>
        <v>46335.935477974672</v>
      </c>
    </row>
    <row r="112" spans="7:8" x14ac:dyDescent="0.3">
      <c r="G112" s="173">
        <f t="shared" si="10"/>
        <v>46365.466072106618</v>
      </c>
      <c r="H112" s="175">
        <f t="shared" si="11"/>
        <v>46365.466072106618</v>
      </c>
    </row>
    <row r="113" spans="7:8" x14ac:dyDescent="0.3">
      <c r="G113" s="173">
        <f t="shared" si="10"/>
        <v>46394.996666238563</v>
      </c>
      <c r="H113" s="175">
        <f t="shared" si="11"/>
        <v>46394.996666238563</v>
      </c>
    </row>
    <row r="114" spans="7:8" x14ac:dyDescent="0.3">
      <c r="G114" s="173">
        <f t="shared" si="10"/>
        <v>46424.527260370509</v>
      </c>
      <c r="H114" s="175">
        <f t="shared" si="11"/>
        <v>46424.527260370509</v>
      </c>
    </row>
    <row r="115" spans="7:8" x14ac:dyDescent="0.3">
      <c r="G115" s="173">
        <f t="shared" si="10"/>
        <v>46454.057854502455</v>
      </c>
      <c r="H115" s="175">
        <f t="shared" si="11"/>
        <v>46454.057854502455</v>
      </c>
    </row>
    <row r="116" spans="7:8" x14ac:dyDescent="0.3">
      <c r="G116" s="173">
        <f t="shared" si="10"/>
        <v>46483.5884486344</v>
      </c>
      <c r="H116" s="175">
        <f t="shared" si="11"/>
        <v>46483.5884486344</v>
      </c>
    </row>
    <row r="117" spans="7:8" x14ac:dyDescent="0.3">
      <c r="G117" s="173">
        <f t="shared" si="10"/>
        <v>46513.119042766346</v>
      </c>
      <c r="H117" s="175">
        <f t="shared" si="11"/>
        <v>46513.119042766346</v>
      </c>
    </row>
    <row r="118" spans="7:8" x14ac:dyDescent="0.3">
      <c r="G118" s="173">
        <f t="shared" si="10"/>
        <v>46542.649636898292</v>
      </c>
      <c r="H118" s="175">
        <f t="shared" si="11"/>
        <v>46542.649636898292</v>
      </c>
    </row>
    <row r="119" spans="7:8" x14ac:dyDescent="0.3">
      <c r="G119" s="173">
        <f t="shared" si="10"/>
        <v>46572.180231030237</v>
      </c>
      <c r="H119" s="175">
        <f t="shared" si="11"/>
        <v>46572.180231030237</v>
      </c>
    </row>
    <row r="120" spans="7:8" x14ac:dyDescent="0.3">
      <c r="G120" s="173">
        <f t="shared" si="10"/>
        <v>46601.710825162183</v>
      </c>
      <c r="H120" s="175">
        <f t="shared" si="11"/>
        <v>46601.710825162183</v>
      </c>
    </row>
    <row r="121" spans="7:8" x14ac:dyDescent="0.3">
      <c r="G121" s="173">
        <f t="shared" si="10"/>
        <v>46631.241419294129</v>
      </c>
      <c r="H121" s="175">
        <f t="shared" si="11"/>
        <v>46631.241419294129</v>
      </c>
    </row>
    <row r="122" spans="7:8" x14ac:dyDescent="0.3">
      <c r="G122" s="173">
        <f t="shared" si="10"/>
        <v>46660.772013426074</v>
      </c>
      <c r="H122" s="175">
        <f t="shared" si="11"/>
        <v>46660.772013426074</v>
      </c>
    </row>
    <row r="123" spans="7:8" x14ac:dyDescent="0.3">
      <c r="G123" s="173">
        <f t="shared" si="10"/>
        <v>46690.30260755802</v>
      </c>
      <c r="H123" s="175">
        <f t="shared" si="11"/>
        <v>46690.30260755802</v>
      </c>
    </row>
    <row r="124" spans="7:8" x14ac:dyDescent="0.3">
      <c r="G124" s="173">
        <f t="shared" si="10"/>
        <v>46719.833201689966</v>
      </c>
      <c r="H124" s="175">
        <f t="shared" si="11"/>
        <v>46719.833201689966</v>
      </c>
    </row>
    <row r="125" spans="7:8" x14ac:dyDescent="0.3">
      <c r="G125" s="173">
        <f t="shared" si="10"/>
        <v>46749.363795821911</v>
      </c>
      <c r="H125" s="175">
        <f t="shared" si="11"/>
        <v>46749.363795821911</v>
      </c>
    </row>
    <row r="126" spans="7:8" x14ac:dyDescent="0.3">
      <c r="G126" s="173">
        <f t="shared" si="10"/>
        <v>46778.894389953857</v>
      </c>
      <c r="H126" s="175">
        <f t="shared" si="11"/>
        <v>46778.894389953857</v>
      </c>
    </row>
    <row r="127" spans="7:8" x14ac:dyDescent="0.3">
      <c r="G127" s="173">
        <f t="shared" si="10"/>
        <v>46808.424984085803</v>
      </c>
      <c r="H127" s="175">
        <f t="shared" si="11"/>
        <v>46808.424984085803</v>
      </c>
    </row>
    <row r="128" spans="7:8" x14ac:dyDescent="0.3">
      <c r="G128" s="173">
        <f t="shared" si="10"/>
        <v>46837.955578217749</v>
      </c>
      <c r="H128" s="175">
        <f t="shared" si="11"/>
        <v>46837.955578217749</v>
      </c>
    </row>
    <row r="129" spans="7:8" x14ac:dyDescent="0.3">
      <c r="G129" s="173">
        <f t="shared" si="10"/>
        <v>46867.486172349694</v>
      </c>
      <c r="H129" s="175">
        <f t="shared" si="11"/>
        <v>46867.486172349694</v>
      </c>
    </row>
    <row r="130" spans="7:8" x14ac:dyDescent="0.3">
      <c r="G130" s="173">
        <f t="shared" si="10"/>
        <v>46897.01676648164</v>
      </c>
      <c r="H130" s="175">
        <f t="shared" si="11"/>
        <v>46897.01676648164</v>
      </c>
    </row>
    <row r="131" spans="7:8" x14ac:dyDescent="0.3">
      <c r="G131" s="173">
        <f t="shared" si="10"/>
        <v>46926.547360613586</v>
      </c>
      <c r="H131" s="175">
        <f t="shared" si="11"/>
        <v>46926.547360613586</v>
      </c>
    </row>
    <row r="132" spans="7:8" x14ac:dyDescent="0.3">
      <c r="G132" s="173">
        <f t="shared" ref="G132:G195" si="12">G131+$E$1</f>
        <v>46956.077954745531</v>
      </c>
      <c r="H132" s="175">
        <f t="shared" si="11"/>
        <v>46956.077954745531</v>
      </c>
    </row>
    <row r="133" spans="7:8" x14ac:dyDescent="0.3">
      <c r="G133" s="173">
        <f t="shared" si="12"/>
        <v>46985.608548877477</v>
      </c>
      <c r="H133" s="175">
        <f t="shared" si="11"/>
        <v>46985.608548877477</v>
      </c>
    </row>
    <row r="134" spans="7:8" x14ac:dyDescent="0.3">
      <c r="G134" s="173">
        <f t="shared" si="12"/>
        <v>47015.139143009423</v>
      </c>
      <c r="H134" s="175">
        <f t="shared" si="11"/>
        <v>47015.139143009423</v>
      </c>
    </row>
    <row r="135" spans="7:8" x14ac:dyDescent="0.3">
      <c r="G135" s="173">
        <f t="shared" si="12"/>
        <v>47044.669737141368</v>
      </c>
      <c r="H135" s="175">
        <f t="shared" si="11"/>
        <v>47044.669737141368</v>
      </c>
    </row>
    <row r="136" spans="7:8" x14ac:dyDescent="0.3">
      <c r="G136" s="173">
        <f t="shared" si="12"/>
        <v>47074.200331273314</v>
      </c>
      <c r="H136" s="175">
        <f t="shared" si="11"/>
        <v>47074.200331273314</v>
      </c>
    </row>
    <row r="137" spans="7:8" x14ac:dyDescent="0.3">
      <c r="G137" s="173">
        <f t="shared" si="12"/>
        <v>47103.73092540526</v>
      </c>
      <c r="H137" s="175">
        <f t="shared" si="11"/>
        <v>47103.73092540526</v>
      </c>
    </row>
    <row r="138" spans="7:8" x14ac:dyDescent="0.3">
      <c r="G138" s="173">
        <f t="shared" si="12"/>
        <v>47133.261519537205</v>
      </c>
      <c r="H138" s="175">
        <f t="shared" si="11"/>
        <v>47133.261519537205</v>
      </c>
    </row>
    <row r="139" spans="7:8" x14ac:dyDescent="0.3">
      <c r="G139" s="173">
        <f t="shared" si="12"/>
        <v>47162.792113669151</v>
      </c>
      <c r="H139" s="175">
        <f t="shared" si="11"/>
        <v>47162.792113669151</v>
      </c>
    </row>
    <row r="140" spans="7:8" x14ac:dyDescent="0.3">
      <c r="G140" s="173">
        <f t="shared" si="12"/>
        <v>47192.322707801097</v>
      </c>
      <c r="H140" s="175">
        <f t="shared" si="11"/>
        <v>47192.322707801097</v>
      </c>
    </row>
    <row r="141" spans="7:8" x14ac:dyDescent="0.3">
      <c r="G141" s="173">
        <f t="shared" si="12"/>
        <v>47221.853301933043</v>
      </c>
      <c r="H141" s="175">
        <f t="shared" ref="H141:H204" si="13">G141</f>
        <v>47221.853301933043</v>
      </c>
    </row>
    <row r="142" spans="7:8" x14ac:dyDescent="0.3">
      <c r="G142" s="173">
        <f t="shared" si="12"/>
        <v>47251.383896064988</v>
      </c>
      <c r="H142" s="175">
        <f t="shared" si="13"/>
        <v>47251.383896064988</v>
      </c>
    </row>
    <row r="143" spans="7:8" x14ac:dyDescent="0.3">
      <c r="G143" s="173">
        <f t="shared" si="12"/>
        <v>47280.914490196934</v>
      </c>
      <c r="H143" s="175">
        <f t="shared" si="13"/>
        <v>47280.914490196934</v>
      </c>
    </row>
    <row r="144" spans="7:8" x14ac:dyDescent="0.3">
      <c r="G144" s="173">
        <f t="shared" si="12"/>
        <v>47310.44508432888</v>
      </c>
      <c r="H144" s="175">
        <f t="shared" si="13"/>
        <v>47310.44508432888</v>
      </c>
    </row>
    <row r="145" spans="7:8" x14ac:dyDescent="0.3">
      <c r="G145" s="173">
        <f t="shared" si="12"/>
        <v>47339.975678460825</v>
      </c>
      <c r="H145" s="175">
        <f t="shared" si="13"/>
        <v>47339.975678460825</v>
      </c>
    </row>
    <row r="146" spans="7:8" x14ac:dyDescent="0.3">
      <c r="G146" s="173">
        <f t="shared" si="12"/>
        <v>47369.506272592771</v>
      </c>
      <c r="H146" s="175">
        <f t="shared" si="13"/>
        <v>47369.506272592771</v>
      </c>
    </row>
    <row r="147" spans="7:8" x14ac:dyDescent="0.3">
      <c r="G147" s="173">
        <f t="shared" si="12"/>
        <v>47399.036866724717</v>
      </c>
      <c r="H147" s="175">
        <f t="shared" si="13"/>
        <v>47399.036866724717</v>
      </c>
    </row>
    <row r="148" spans="7:8" x14ac:dyDescent="0.3">
      <c r="G148" s="173">
        <f t="shared" si="12"/>
        <v>47428.567460856662</v>
      </c>
      <c r="H148" s="175">
        <f t="shared" si="13"/>
        <v>47428.567460856662</v>
      </c>
    </row>
    <row r="149" spans="7:8" x14ac:dyDescent="0.3">
      <c r="G149" s="173">
        <f t="shared" si="12"/>
        <v>47458.098054988608</v>
      </c>
      <c r="H149" s="175">
        <f t="shared" si="13"/>
        <v>47458.098054988608</v>
      </c>
    </row>
    <row r="150" spans="7:8" x14ac:dyDescent="0.3">
      <c r="G150" s="173">
        <f t="shared" si="12"/>
        <v>47487.628649120554</v>
      </c>
      <c r="H150" s="175">
        <f t="shared" si="13"/>
        <v>47487.628649120554</v>
      </c>
    </row>
    <row r="151" spans="7:8" x14ac:dyDescent="0.3">
      <c r="G151" s="173">
        <f t="shared" si="12"/>
        <v>47517.159243252499</v>
      </c>
      <c r="H151" s="175">
        <f t="shared" si="13"/>
        <v>47517.159243252499</v>
      </c>
    </row>
    <row r="152" spans="7:8" x14ac:dyDescent="0.3">
      <c r="G152" s="173">
        <f t="shared" si="12"/>
        <v>47546.689837384445</v>
      </c>
      <c r="H152" s="175">
        <f t="shared" si="13"/>
        <v>47546.689837384445</v>
      </c>
    </row>
    <row r="153" spans="7:8" x14ac:dyDescent="0.3">
      <c r="G153" s="173">
        <f t="shared" si="12"/>
        <v>47576.220431516391</v>
      </c>
      <c r="H153" s="175">
        <f t="shared" si="13"/>
        <v>47576.220431516391</v>
      </c>
    </row>
    <row r="154" spans="7:8" x14ac:dyDescent="0.3">
      <c r="G154" s="173">
        <f t="shared" si="12"/>
        <v>47605.751025648337</v>
      </c>
      <c r="H154" s="175">
        <f t="shared" si="13"/>
        <v>47605.751025648337</v>
      </c>
    </row>
    <row r="155" spans="7:8" x14ac:dyDescent="0.3">
      <c r="G155" s="173">
        <f t="shared" si="12"/>
        <v>47635.281619780282</v>
      </c>
      <c r="H155" s="175">
        <f t="shared" si="13"/>
        <v>47635.281619780282</v>
      </c>
    </row>
    <row r="156" spans="7:8" x14ac:dyDescent="0.3">
      <c r="G156" s="173">
        <f t="shared" si="12"/>
        <v>47664.812213912228</v>
      </c>
      <c r="H156" s="175">
        <f t="shared" si="13"/>
        <v>47664.812213912228</v>
      </c>
    </row>
    <row r="157" spans="7:8" x14ac:dyDescent="0.3">
      <c r="G157" s="173">
        <f t="shared" si="12"/>
        <v>47694.342808044174</v>
      </c>
      <c r="H157" s="175">
        <f t="shared" si="13"/>
        <v>47694.342808044174</v>
      </c>
    </row>
    <row r="158" spans="7:8" x14ac:dyDescent="0.3">
      <c r="G158" s="173">
        <f t="shared" si="12"/>
        <v>47723.873402176119</v>
      </c>
      <c r="H158" s="175">
        <f t="shared" si="13"/>
        <v>47723.873402176119</v>
      </c>
    </row>
    <row r="159" spans="7:8" x14ac:dyDescent="0.3">
      <c r="G159" s="173">
        <f t="shared" si="12"/>
        <v>47753.403996308065</v>
      </c>
      <c r="H159" s="175">
        <f t="shared" si="13"/>
        <v>47753.403996308065</v>
      </c>
    </row>
    <row r="160" spans="7:8" x14ac:dyDescent="0.3">
      <c r="G160" s="173">
        <f t="shared" si="12"/>
        <v>47782.934590440011</v>
      </c>
      <c r="H160" s="175">
        <f t="shared" si="13"/>
        <v>47782.934590440011</v>
      </c>
    </row>
    <row r="161" spans="7:8" x14ac:dyDescent="0.3">
      <c r="G161" s="173">
        <f t="shared" si="12"/>
        <v>47812.465184571956</v>
      </c>
      <c r="H161" s="175">
        <f t="shared" si="13"/>
        <v>47812.465184571956</v>
      </c>
    </row>
    <row r="162" spans="7:8" x14ac:dyDescent="0.3">
      <c r="G162" s="173">
        <f t="shared" si="12"/>
        <v>47841.995778703902</v>
      </c>
      <c r="H162" s="175">
        <f t="shared" si="13"/>
        <v>47841.995778703902</v>
      </c>
    </row>
    <row r="163" spans="7:8" x14ac:dyDescent="0.3">
      <c r="G163" s="173">
        <f t="shared" si="12"/>
        <v>47871.526372835848</v>
      </c>
      <c r="H163" s="175">
        <f t="shared" si="13"/>
        <v>47871.526372835848</v>
      </c>
    </row>
    <row r="164" spans="7:8" x14ac:dyDescent="0.3">
      <c r="G164" s="173">
        <f t="shared" si="12"/>
        <v>47901.056966967793</v>
      </c>
      <c r="H164" s="175">
        <f t="shared" si="13"/>
        <v>47901.056966967793</v>
      </c>
    </row>
    <row r="165" spans="7:8" x14ac:dyDescent="0.3">
      <c r="G165" s="173">
        <f t="shared" si="12"/>
        <v>47930.587561099739</v>
      </c>
      <c r="H165" s="175">
        <f t="shared" si="13"/>
        <v>47930.587561099739</v>
      </c>
    </row>
    <row r="166" spans="7:8" x14ac:dyDescent="0.3">
      <c r="G166" s="173">
        <f t="shared" si="12"/>
        <v>47960.118155231685</v>
      </c>
      <c r="H166" s="175">
        <f t="shared" si="13"/>
        <v>47960.118155231685</v>
      </c>
    </row>
    <row r="167" spans="7:8" x14ac:dyDescent="0.3">
      <c r="G167" s="173">
        <f t="shared" si="12"/>
        <v>47989.64874936363</v>
      </c>
      <c r="H167" s="175">
        <f t="shared" si="13"/>
        <v>47989.64874936363</v>
      </c>
    </row>
    <row r="168" spans="7:8" x14ac:dyDescent="0.3">
      <c r="G168" s="173">
        <f t="shared" si="12"/>
        <v>48019.179343495576</v>
      </c>
      <c r="H168" s="175">
        <f t="shared" si="13"/>
        <v>48019.179343495576</v>
      </c>
    </row>
    <row r="169" spans="7:8" x14ac:dyDescent="0.3">
      <c r="G169" s="173">
        <f t="shared" si="12"/>
        <v>48048.709937627522</v>
      </c>
      <c r="H169" s="175">
        <f t="shared" si="13"/>
        <v>48048.709937627522</v>
      </c>
    </row>
    <row r="170" spans="7:8" x14ac:dyDescent="0.3">
      <c r="G170" s="173">
        <f t="shared" si="12"/>
        <v>48078.240531759468</v>
      </c>
      <c r="H170" s="175">
        <f t="shared" si="13"/>
        <v>48078.240531759468</v>
      </c>
    </row>
    <row r="171" spans="7:8" x14ac:dyDescent="0.3">
      <c r="G171" s="173">
        <f t="shared" si="12"/>
        <v>48107.771125891413</v>
      </c>
      <c r="H171" s="175">
        <f t="shared" si="13"/>
        <v>48107.771125891413</v>
      </c>
    </row>
    <row r="172" spans="7:8" x14ac:dyDescent="0.3">
      <c r="G172" s="173">
        <f t="shared" si="12"/>
        <v>48137.301720023359</v>
      </c>
      <c r="H172" s="175">
        <f t="shared" si="13"/>
        <v>48137.301720023359</v>
      </c>
    </row>
    <row r="173" spans="7:8" x14ac:dyDescent="0.3">
      <c r="G173" s="173">
        <f t="shared" si="12"/>
        <v>48166.832314155305</v>
      </c>
      <c r="H173" s="175">
        <f t="shared" si="13"/>
        <v>48166.832314155305</v>
      </c>
    </row>
    <row r="174" spans="7:8" x14ac:dyDescent="0.3">
      <c r="G174" s="173">
        <f t="shared" si="12"/>
        <v>48196.36290828725</v>
      </c>
      <c r="H174" s="175">
        <f t="shared" si="13"/>
        <v>48196.36290828725</v>
      </c>
    </row>
    <row r="175" spans="7:8" x14ac:dyDescent="0.3">
      <c r="G175" s="173">
        <f t="shared" si="12"/>
        <v>48225.893502419196</v>
      </c>
      <c r="H175" s="175">
        <f t="shared" si="13"/>
        <v>48225.893502419196</v>
      </c>
    </row>
    <row r="176" spans="7:8" x14ac:dyDescent="0.3">
      <c r="G176" s="173">
        <f t="shared" si="12"/>
        <v>48255.424096551142</v>
      </c>
      <c r="H176" s="175">
        <f t="shared" si="13"/>
        <v>48255.424096551142</v>
      </c>
    </row>
    <row r="177" spans="7:8" x14ac:dyDescent="0.3">
      <c r="G177" s="173">
        <f t="shared" si="12"/>
        <v>48284.954690683087</v>
      </c>
      <c r="H177" s="175">
        <f t="shared" si="13"/>
        <v>48284.954690683087</v>
      </c>
    </row>
    <row r="178" spans="7:8" x14ac:dyDescent="0.3">
      <c r="G178" s="173">
        <f t="shared" si="12"/>
        <v>48314.485284815033</v>
      </c>
      <c r="H178" s="175">
        <f t="shared" si="13"/>
        <v>48314.485284815033</v>
      </c>
    </row>
    <row r="179" spans="7:8" x14ac:dyDescent="0.3">
      <c r="G179" s="173">
        <f t="shared" si="12"/>
        <v>48344.015878946979</v>
      </c>
      <c r="H179" s="175">
        <f t="shared" si="13"/>
        <v>48344.015878946979</v>
      </c>
    </row>
    <row r="180" spans="7:8" x14ac:dyDescent="0.3">
      <c r="G180" s="173">
        <f t="shared" si="12"/>
        <v>48373.546473078924</v>
      </c>
      <c r="H180" s="175">
        <f t="shared" si="13"/>
        <v>48373.546473078924</v>
      </c>
    </row>
    <row r="181" spans="7:8" x14ac:dyDescent="0.3">
      <c r="G181" s="173">
        <f t="shared" si="12"/>
        <v>48403.07706721087</v>
      </c>
      <c r="H181" s="175">
        <f t="shared" si="13"/>
        <v>48403.07706721087</v>
      </c>
    </row>
    <row r="182" spans="7:8" x14ac:dyDescent="0.3">
      <c r="G182" s="173">
        <f t="shared" si="12"/>
        <v>48432.607661342816</v>
      </c>
      <c r="H182" s="175">
        <f t="shared" si="13"/>
        <v>48432.607661342816</v>
      </c>
    </row>
    <row r="183" spans="7:8" x14ac:dyDescent="0.3">
      <c r="G183" s="173">
        <f t="shared" si="12"/>
        <v>48462.138255474762</v>
      </c>
      <c r="H183" s="175">
        <f t="shared" si="13"/>
        <v>48462.138255474762</v>
      </c>
    </row>
    <row r="184" spans="7:8" x14ac:dyDescent="0.3">
      <c r="G184" s="173">
        <f t="shared" si="12"/>
        <v>48491.668849606707</v>
      </c>
      <c r="H184" s="175">
        <f t="shared" si="13"/>
        <v>48491.668849606707</v>
      </c>
    </row>
    <row r="185" spans="7:8" x14ac:dyDescent="0.3">
      <c r="G185" s="173">
        <f t="shared" si="12"/>
        <v>48521.199443738653</v>
      </c>
      <c r="H185" s="175">
        <f t="shared" si="13"/>
        <v>48521.199443738653</v>
      </c>
    </row>
    <row r="186" spans="7:8" x14ac:dyDescent="0.3">
      <c r="G186" s="173">
        <f t="shared" si="12"/>
        <v>48550.730037870599</v>
      </c>
      <c r="H186" s="175">
        <f t="shared" si="13"/>
        <v>48550.730037870599</v>
      </c>
    </row>
    <row r="187" spans="7:8" x14ac:dyDescent="0.3">
      <c r="G187" s="173">
        <f t="shared" si="12"/>
        <v>48580.260632002544</v>
      </c>
      <c r="H187" s="175">
        <f t="shared" si="13"/>
        <v>48580.260632002544</v>
      </c>
    </row>
    <row r="188" spans="7:8" x14ac:dyDescent="0.3">
      <c r="G188" s="173">
        <f t="shared" si="12"/>
        <v>48609.79122613449</v>
      </c>
      <c r="H188" s="175">
        <f t="shared" si="13"/>
        <v>48609.79122613449</v>
      </c>
    </row>
    <row r="189" spans="7:8" x14ac:dyDescent="0.3">
      <c r="G189" s="173">
        <f t="shared" si="12"/>
        <v>48639.321820266436</v>
      </c>
      <c r="H189" s="175">
        <f t="shared" si="13"/>
        <v>48639.321820266436</v>
      </c>
    </row>
    <row r="190" spans="7:8" x14ac:dyDescent="0.3">
      <c r="G190" s="173">
        <f t="shared" si="12"/>
        <v>48668.852414398381</v>
      </c>
      <c r="H190" s="175">
        <f t="shared" si="13"/>
        <v>48668.852414398381</v>
      </c>
    </row>
    <row r="191" spans="7:8" x14ac:dyDescent="0.3">
      <c r="G191" s="173">
        <f t="shared" si="12"/>
        <v>48698.383008530327</v>
      </c>
      <c r="H191" s="175">
        <f t="shared" si="13"/>
        <v>48698.383008530327</v>
      </c>
    </row>
    <row r="192" spans="7:8" x14ac:dyDescent="0.3">
      <c r="G192" s="173">
        <f t="shared" si="12"/>
        <v>48727.913602662273</v>
      </c>
      <c r="H192" s="175">
        <f t="shared" si="13"/>
        <v>48727.913602662273</v>
      </c>
    </row>
    <row r="193" spans="7:8" x14ac:dyDescent="0.3">
      <c r="G193" s="173">
        <f t="shared" si="12"/>
        <v>48757.444196794218</v>
      </c>
      <c r="H193" s="175">
        <f t="shared" si="13"/>
        <v>48757.444196794218</v>
      </c>
    </row>
    <row r="194" spans="7:8" x14ac:dyDescent="0.3">
      <c r="G194" s="173">
        <f t="shared" si="12"/>
        <v>48786.974790926164</v>
      </c>
      <c r="H194" s="175">
        <f t="shared" si="13"/>
        <v>48786.974790926164</v>
      </c>
    </row>
    <row r="195" spans="7:8" x14ac:dyDescent="0.3">
      <c r="G195" s="173">
        <f t="shared" si="12"/>
        <v>48816.50538505811</v>
      </c>
      <c r="H195" s="175">
        <f t="shared" si="13"/>
        <v>48816.50538505811</v>
      </c>
    </row>
    <row r="196" spans="7:8" x14ac:dyDescent="0.3">
      <c r="G196" s="173">
        <f t="shared" ref="G196:G259" si="14">G195+$E$1</f>
        <v>48846.035979190056</v>
      </c>
      <c r="H196" s="175">
        <f t="shared" si="13"/>
        <v>48846.035979190056</v>
      </c>
    </row>
    <row r="197" spans="7:8" x14ac:dyDescent="0.3">
      <c r="G197" s="173">
        <f t="shared" si="14"/>
        <v>48875.566573322001</v>
      </c>
      <c r="H197" s="175">
        <f t="shared" si="13"/>
        <v>48875.566573322001</v>
      </c>
    </row>
    <row r="198" spans="7:8" x14ac:dyDescent="0.3">
      <c r="G198" s="173">
        <f t="shared" si="14"/>
        <v>48905.097167453947</v>
      </c>
      <c r="H198" s="175">
        <f t="shared" si="13"/>
        <v>48905.097167453947</v>
      </c>
    </row>
    <row r="199" spans="7:8" x14ac:dyDescent="0.3">
      <c r="G199" s="173">
        <f t="shared" si="14"/>
        <v>48934.627761585893</v>
      </c>
      <c r="H199" s="175">
        <f t="shared" si="13"/>
        <v>48934.627761585893</v>
      </c>
    </row>
    <row r="200" spans="7:8" x14ac:dyDescent="0.3">
      <c r="G200" s="173">
        <f t="shared" si="14"/>
        <v>48964.158355717838</v>
      </c>
      <c r="H200" s="175">
        <f t="shared" si="13"/>
        <v>48964.158355717838</v>
      </c>
    </row>
    <row r="201" spans="7:8" x14ac:dyDescent="0.3">
      <c r="G201" s="173">
        <f t="shared" si="14"/>
        <v>48993.688949849784</v>
      </c>
      <c r="H201" s="175">
        <f t="shared" si="13"/>
        <v>48993.688949849784</v>
      </c>
    </row>
    <row r="202" spans="7:8" x14ac:dyDescent="0.3">
      <c r="G202" s="173">
        <f t="shared" si="14"/>
        <v>49023.21954398173</v>
      </c>
      <c r="H202" s="175">
        <f t="shared" si="13"/>
        <v>49023.21954398173</v>
      </c>
    </row>
    <row r="203" spans="7:8" x14ac:dyDescent="0.3">
      <c r="G203" s="173">
        <f t="shared" si="14"/>
        <v>49052.750138113675</v>
      </c>
      <c r="H203" s="175">
        <f t="shared" si="13"/>
        <v>49052.750138113675</v>
      </c>
    </row>
    <row r="204" spans="7:8" x14ac:dyDescent="0.3">
      <c r="G204" s="173">
        <f t="shared" si="14"/>
        <v>49082.280732245621</v>
      </c>
      <c r="H204" s="175">
        <f t="shared" si="13"/>
        <v>49082.280732245621</v>
      </c>
    </row>
    <row r="205" spans="7:8" x14ac:dyDescent="0.3">
      <c r="G205" s="173">
        <f t="shared" si="14"/>
        <v>49111.811326377567</v>
      </c>
      <c r="H205" s="175">
        <f t="shared" ref="H205:H268" si="15">G205</f>
        <v>49111.811326377567</v>
      </c>
    </row>
    <row r="206" spans="7:8" x14ac:dyDescent="0.3">
      <c r="G206" s="173">
        <f t="shared" si="14"/>
        <v>49141.341920509512</v>
      </c>
      <c r="H206" s="175">
        <f t="shared" si="15"/>
        <v>49141.341920509512</v>
      </c>
    </row>
    <row r="207" spans="7:8" x14ac:dyDescent="0.3">
      <c r="G207" s="173">
        <f t="shared" si="14"/>
        <v>49170.872514641458</v>
      </c>
      <c r="H207" s="175">
        <f t="shared" si="15"/>
        <v>49170.872514641458</v>
      </c>
    </row>
    <row r="208" spans="7:8" x14ac:dyDescent="0.3">
      <c r="G208" s="173">
        <f t="shared" si="14"/>
        <v>49200.403108773404</v>
      </c>
      <c r="H208" s="175">
        <f t="shared" si="15"/>
        <v>49200.403108773404</v>
      </c>
    </row>
    <row r="209" spans="7:8" x14ac:dyDescent="0.3">
      <c r="G209" s="173">
        <f t="shared" si="14"/>
        <v>49229.933702905349</v>
      </c>
      <c r="H209" s="175">
        <f t="shared" si="15"/>
        <v>49229.933702905349</v>
      </c>
    </row>
    <row r="210" spans="7:8" x14ac:dyDescent="0.3">
      <c r="G210" s="173">
        <f t="shared" si="14"/>
        <v>49259.464297037295</v>
      </c>
      <c r="H210" s="175">
        <f t="shared" si="15"/>
        <v>49259.464297037295</v>
      </c>
    </row>
    <row r="211" spans="7:8" x14ac:dyDescent="0.3">
      <c r="G211" s="173">
        <f t="shared" si="14"/>
        <v>49288.994891169241</v>
      </c>
      <c r="H211" s="175">
        <f t="shared" si="15"/>
        <v>49288.994891169241</v>
      </c>
    </row>
    <row r="212" spans="7:8" x14ac:dyDescent="0.3">
      <c r="G212" s="173">
        <f t="shared" si="14"/>
        <v>49318.525485301187</v>
      </c>
      <c r="H212" s="175">
        <f t="shared" si="15"/>
        <v>49318.525485301187</v>
      </c>
    </row>
    <row r="213" spans="7:8" x14ac:dyDescent="0.3">
      <c r="G213" s="173">
        <f t="shared" si="14"/>
        <v>49348.056079433132</v>
      </c>
      <c r="H213" s="175">
        <f t="shared" si="15"/>
        <v>49348.056079433132</v>
      </c>
    </row>
    <row r="214" spans="7:8" x14ac:dyDescent="0.3">
      <c r="G214" s="173">
        <f t="shared" si="14"/>
        <v>49377.586673565078</v>
      </c>
      <c r="H214" s="175">
        <f t="shared" si="15"/>
        <v>49377.586673565078</v>
      </c>
    </row>
    <row r="215" spans="7:8" x14ac:dyDescent="0.3">
      <c r="G215" s="173">
        <f t="shared" si="14"/>
        <v>49407.117267697024</v>
      </c>
      <c r="H215" s="175">
        <f t="shared" si="15"/>
        <v>49407.117267697024</v>
      </c>
    </row>
    <row r="216" spans="7:8" x14ac:dyDescent="0.3">
      <c r="G216" s="173">
        <f t="shared" si="14"/>
        <v>49436.647861828969</v>
      </c>
      <c r="H216" s="175">
        <f t="shared" si="15"/>
        <v>49436.647861828969</v>
      </c>
    </row>
    <row r="217" spans="7:8" x14ac:dyDescent="0.3">
      <c r="G217" s="173">
        <f t="shared" si="14"/>
        <v>49466.178455960915</v>
      </c>
      <c r="H217" s="175">
        <f t="shared" si="15"/>
        <v>49466.178455960915</v>
      </c>
    </row>
    <row r="218" spans="7:8" x14ac:dyDescent="0.3">
      <c r="G218" s="173">
        <f t="shared" si="14"/>
        <v>49495.709050092861</v>
      </c>
      <c r="H218" s="175">
        <f t="shared" si="15"/>
        <v>49495.709050092861</v>
      </c>
    </row>
    <row r="219" spans="7:8" x14ac:dyDescent="0.3">
      <c r="G219" s="173">
        <f t="shared" si="14"/>
        <v>49525.239644224806</v>
      </c>
      <c r="H219" s="175">
        <f t="shared" si="15"/>
        <v>49525.239644224806</v>
      </c>
    </row>
    <row r="220" spans="7:8" x14ac:dyDescent="0.3">
      <c r="G220" s="173">
        <f t="shared" si="14"/>
        <v>49554.770238356752</v>
      </c>
      <c r="H220" s="175">
        <f t="shared" si="15"/>
        <v>49554.770238356752</v>
      </c>
    </row>
    <row r="221" spans="7:8" x14ac:dyDescent="0.3">
      <c r="G221" s="173">
        <f t="shared" si="14"/>
        <v>49584.300832488698</v>
      </c>
      <c r="H221" s="175">
        <f t="shared" si="15"/>
        <v>49584.300832488698</v>
      </c>
    </row>
    <row r="222" spans="7:8" x14ac:dyDescent="0.3">
      <c r="G222" s="173">
        <f t="shared" si="14"/>
        <v>49613.831426620643</v>
      </c>
      <c r="H222" s="175">
        <f t="shared" si="15"/>
        <v>49613.831426620643</v>
      </c>
    </row>
    <row r="223" spans="7:8" x14ac:dyDescent="0.3">
      <c r="G223" s="173">
        <f t="shared" si="14"/>
        <v>49643.362020752589</v>
      </c>
      <c r="H223" s="175">
        <f t="shared" si="15"/>
        <v>49643.362020752589</v>
      </c>
    </row>
    <row r="224" spans="7:8" x14ac:dyDescent="0.3">
      <c r="G224" s="173">
        <f t="shared" si="14"/>
        <v>49672.892614884535</v>
      </c>
      <c r="H224" s="175">
        <f t="shared" si="15"/>
        <v>49672.892614884535</v>
      </c>
    </row>
    <row r="225" spans="7:8" x14ac:dyDescent="0.3">
      <c r="G225" s="173">
        <f t="shared" si="14"/>
        <v>49702.423209016481</v>
      </c>
      <c r="H225" s="175">
        <f t="shared" si="15"/>
        <v>49702.423209016481</v>
      </c>
    </row>
    <row r="226" spans="7:8" x14ac:dyDescent="0.3">
      <c r="G226" s="173">
        <f t="shared" si="14"/>
        <v>49731.953803148426</v>
      </c>
      <c r="H226" s="175">
        <f t="shared" si="15"/>
        <v>49731.953803148426</v>
      </c>
    </row>
    <row r="227" spans="7:8" x14ac:dyDescent="0.3">
      <c r="G227" s="173">
        <f t="shared" si="14"/>
        <v>49761.484397280372</v>
      </c>
      <c r="H227" s="175">
        <f t="shared" si="15"/>
        <v>49761.484397280372</v>
      </c>
    </row>
    <row r="228" spans="7:8" x14ac:dyDescent="0.3">
      <c r="G228" s="173">
        <f t="shared" si="14"/>
        <v>49791.014991412318</v>
      </c>
      <c r="H228" s="175">
        <f t="shared" si="15"/>
        <v>49791.014991412318</v>
      </c>
    </row>
    <row r="229" spans="7:8" x14ac:dyDescent="0.3">
      <c r="G229" s="173">
        <f t="shared" si="14"/>
        <v>49820.545585544263</v>
      </c>
      <c r="H229" s="175">
        <f t="shared" si="15"/>
        <v>49820.545585544263</v>
      </c>
    </row>
    <row r="230" spans="7:8" x14ac:dyDescent="0.3">
      <c r="G230" s="173">
        <f t="shared" si="14"/>
        <v>49850.076179676209</v>
      </c>
      <c r="H230" s="175">
        <f t="shared" si="15"/>
        <v>49850.076179676209</v>
      </c>
    </row>
    <row r="231" spans="7:8" x14ac:dyDescent="0.3">
      <c r="G231" s="173">
        <f t="shared" si="14"/>
        <v>49879.606773808155</v>
      </c>
      <c r="H231" s="175">
        <f t="shared" si="15"/>
        <v>49879.606773808155</v>
      </c>
    </row>
    <row r="232" spans="7:8" x14ac:dyDescent="0.3">
      <c r="G232" s="173">
        <f t="shared" si="14"/>
        <v>49909.1373679401</v>
      </c>
      <c r="H232" s="175">
        <f t="shared" si="15"/>
        <v>49909.1373679401</v>
      </c>
    </row>
    <row r="233" spans="7:8" x14ac:dyDescent="0.3">
      <c r="G233" s="173">
        <f t="shared" si="14"/>
        <v>49938.667962072046</v>
      </c>
      <c r="H233" s="175">
        <f t="shared" si="15"/>
        <v>49938.667962072046</v>
      </c>
    </row>
    <row r="234" spans="7:8" x14ac:dyDescent="0.3">
      <c r="G234" s="173">
        <f t="shared" si="14"/>
        <v>49968.198556203992</v>
      </c>
      <c r="H234" s="175">
        <f t="shared" si="15"/>
        <v>49968.198556203992</v>
      </c>
    </row>
    <row r="235" spans="7:8" x14ac:dyDescent="0.3">
      <c r="G235" s="173">
        <f t="shared" si="14"/>
        <v>49997.729150335937</v>
      </c>
      <c r="H235" s="175">
        <f t="shared" si="15"/>
        <v>49997.729150335937</v>
      </c>
    </row>
    <row r="236" spans="7:8" x14ac:dyDescent="0.3">
      <c r="G236" s="173">
        <f t="shared" si="14"/>
        <v>50027.259744467883</v>
      </c>
      <c r="H236" s="175">
        <f t="shared" si="15"/>
        <v>50027.259744467883</v>
      </c>
    </row>
    <row r="237" spans="7:8" x14ac:dyDescent="0.3">
      <c r="G237" s="173">
        <f t="shared" si="14"/>
        <v>50056.790338599829</v>
      </c>
      <c r="H237" s="175">
        <f t="shared" si="15"/>
        <v>50056.790338599829</v>
      </c>
    </row>
    <row r="238" spans="7:8" x14ac:dyDescent="0.3">
      <c r="G238" s="173">
        <f t="shared" si="14"/>
        <v>50086.320932731775</v>
      </c>
      <c r="H238" s="175">
        <f t="shared" si="15"/>
        <v>50086.320932731775</v>
      </c>
    </row>
    <row r="239" spans="7:8" x14ac:dyDescent="0.3">
      <c r="G239" s="173">
        <f t="shared" si="14"/>
        <v>50115.85152686372</v>
      </c>
      <c r="H239" s="175">
        <f t="shared" si="15"/>
        <v>50115.85152686372</v>
      </c>
    </row>
    <row r="240" spans="7:8" x14ac:dyDescent="0.3">
      <c r="G240" s="173">
        <f t="shared" si="14"/>
        <v>50145.382120995666</v>
      </c>
      <c r="H240" s="175">
        <f t="shared" si="15"/>
        <v>50145.382120995666</v>
      </c>
    </row>
    <row r="241" spans="7:8" x14ac:dyDescent="0.3">
      <c r="G241" s="173">
        <f t="shared" si="14"/>
        <v>50174.912715127612</v>
      </c>
      <c r="H241" s="175">
        <f t="shared" si="15"/>
        <v>50174.912715127612</v>
      </c>
    </row>
    <row r="242" spans="7:8" x14ac:dyDescent="0.3">
      <c r="G242" s="173">
        <f t="shared" si="14"/>
        <v>50204.443309259557</v>
      </c>
      <c r="H242" s="175">
        <f t="shared" si="15"/>
        <v>50204.443309259557</v>
      </c>
    </row>
    <row r="243" spans="7:8" x14ac:dyDescent="0.3">
      <c r="G243" s="173">
        <f t="shared" si="14"/>
        <v>50233.973903391503</v>
      </c>
      <c r="H243" s="175">
        <f t="shared" si="15"/>
        <v>50233.973903391503</v>
      </c>
    </row>
    <row r="244" spans="7:8" x14ac:dyDescent="0.3">
      <c r="G244" s="173">
        <f t="shared" si="14"/>
        <v>50263.504497523449</v>
      </c>
      <c r="H244" s="175">
        <f t="shared" si="15"/>
        <v>50263.504497523449</v>
      </c>
    </row>
    <row r="245" spans="7:8" x14ac:dyDescent="0.3">
      <c r="G245" s="173">
        <f t="shared" si="14"/>
        <v>50293.035091655394</v>
      </c>
      <c r="H245" s="175">
        <f t="shared" si="15"/>
        <v>50293.035091655394</v>
      </c>
    </row>
    <row r="246" spans="7:8" x14ac:dyDescent="0.3">
      <c r="G246" s="173">
        <f t="shared" si="14"/>
        <v>50322.56568578734</v>
      </c>
      <c r="H246" s="175">
        <f t="shared" si="15"/>
        <v>50322.56568578734</v>
      </c>
    </row>
    <row r="247" spans="7:8" x14ac:dyDescent="0.3">
      <c r="G247" s="173">
        <f t="shared" si="14"/>
        <v>50352.096279919286</v>
      </c>
      <c r="H247" s="175">
        <f t="shared" si="15"/>
        <v>50352.096279919286</v>
      </c>
    </row>
    <row r="248" spans="7:8" x14ac:dyDescent="0.3">
      <c r="G248" s="173">
        <f t="shared" si="14"/>
        <v>50381.626874051231</v>
      </c>
      <c r="H248" s="175">
        <f t="shared" si="15"/>
        <v>50381.626874051231</v>
      </c>
    </row>
    <row r="249" spans="7:8" x14ac:dyDescent="0.3">
      <c r="G249" s="173">
        <f t="shared" si="14"/>
        <v>50411.157468183177</v>
      </c>
      <c r="H249" s="175">
        <f t="shared" si="15"/>
        <v>50411.157468183177</v>
      </c>
    </row>
    <row r="250" spans="7:8" x14ac:dyDescent="0.3">
      <c r="G250" s="173">
        <f t="shared" si="14"/>
        <v>50440.688062315123</v>
      </c>
      <c r="H250" s="175">
        <f t="shared" si="15"/>
        <v>50440.688062315123</v>
      </c>
    </row>
    <row r="251" spans="7:8" x14ac:dyDescent="0.3">
      <c r="G251" s="173">
        <f t="shared" si="14"/>
        <v>50470.218656447068</v>
      </c>
      <c r="H251" s="175">
        <f t="shared" si="15"/>
        <v>50470.218656447068</v>
      </c>
    </row>
    <row r="252" spans="7:8" x14ac:dyDescent="0.3">
      <c r="G252" s="173">
        <f t="shared" si="14"/>
        <v>50499.749250579014</v>
      </c>
      <c r="H252" s="175">
        <f t="shared" si="15"/>
        <v>50499.749250579014</v>
      </c>
    </row>
    <row r="253" spans="7:8" x14ac:dyDescent="0.3">
      <c r="G253" s="173">
        <f t="shared" si="14"/>
        <v>50529.27984471096</v>
      </c>
      <c r="H253" s="175">
        <f t="shared" si="15"/>
        <v>50529.27984471096</v>
      </c>
    </row>
    <row r="254" spans="7:8" x14ac:dyDescent="0.3">
      <c r="G254" s="173">
        <f t="shared" si="14"/>
        <v>50558.810438842906</v>
      </c>
      <c r="H254" s="175">
        <f t="shared" si="15"/>
        <v>50558.810438842906</v>
      </c>
    </row>
    <row r="255" spans="7:8" x14ac:dyDescent="0.3">
      <c r="G255" s="173">
        <f t="shared" si="14"/>
        <v>50588.341032974851</v>
      </c>
      <c r="H255" s="175">
        <f t="shared" si="15"/>
        <v>50588.341032974851</v>
      </c>
    </row>
    <row r="256" spans="7:8" x14ac:dyDescent="0.3">
      <c r="G256" s="173">
        <f t="shared" si="14"/>
        <v>50617.871627106797</v>
      </c>
      <c r="H256" s="175">
        <f t="shared" si="15"/>
        <v>50617.871627106797</v>
      </c>
    </row>
    <row r="257" spans="7:8" x14ac:dyDescent="0.3">
      <c r="G257" s="173">
        <f t="shared" si="14"/>
        <v>50647.402221238743</v>
      </c>
      <c r="H257" s="175">
        <f t="shared" si="15"/>
        <v>50647.402221238743</v>
      </c>
    </row>
    <row r="258" spans="7:8" x14ac:dyDescent="0.3">
      <c r="G258" s="173">
        <f t="shared" si="14"/>
        <v>50676.932815370688</v>
      </c>
      <c r="H258" s="175">
        <f t="shared" si="15"/>
        <v>50676.932815370688</v>
      </c>
    </row>
    <row r="259" spans="7:8" x14ac:dyDescent="0.3">
      <c r="G259" s="173">
        <f t="shared" si="14"/>
        <v>50706.463409502634</v>
      </c>
      <c r="H259" s="175">
        <f t="shared" si="15"/>
        <v>50706.463409502634</v>
      </c>
    </row>
    <row r="260" spans="7:8" x14ac:dyDescent="0.3">
      <c r="G260" s="173">
        <f t="shared" ref="G260:G323" si="16">G259+$E$1</f>
        <v>50735.99400363458</v>
      </c>
      <c r="H260" s="175">
        <f t="shared" si="15"/>
        <v>50735.99400363458</v>
      </c>
    </row>
    <row r="261" spans="7:8" x14ac:dyDescent="0.3">
      <c r="G261" s="173">
        <f t="shared" si="16"/>
        <v>50765.524597766525</v>
      </c>
      <c r="H261" s="175">
        <f t="shared" si="15"/>
        <v>50765.524597766525</v>
      </c>
    </row>
    <row r="262" spans="7:8" x14ac:dyDescent="0.3">
      <c r="G262" s="173">
        <f t="shared" si="16"/>
        <v>50795.055191898471</v>
      </c>
      <c r="H262" s="175">
        <f t="shared" si="15"/>
        <v>50795.055191898471</v>
      </c>
    </row>
    <row r="263" spans="7:8" x14ac:dyDescent="0.3">
      <c r="G263" s="173">
        <f t="shared" si="16"/>
        <v>50824.585786030417</v>
      </c>
      <c r="H263" s="175">
        <f t="shared" si="15"/>
        <v>50824.585786030417</v>
      </c>
    </row>
    <row r="264" spans="7:8" x14ac:dyDescent="0.3">
      <c r="G264" s="173">
        <f t="shared" si="16"/>
        <v>50854.116380162362</v>
      </c>
      <c r="H264" s="175">
        <f t="shared" si="15"/>
        <v>50854.116380162362</v>
      </c>
    </row>
    <row r="265" spans="7:8" x14ac:dyDescent="0.3">
      <c r="G265" s="173">
        <f t="shared" si="16"/>
        <v>50883.646974294308</v>
      </c>
      <c r="H265" s="175">
        <f t="shared" si="15"/>
        <v>50883.646974294308</v>
      </c>
    </row>
    <row r="266" spans="7:8" x14ac:dyDescent="0.3">
      <c r="G266" s="173">
        <f t="shared" si="16"/>
        <v>50913.177568426254</v>
      </c>
      <c r="H266" s="175">
        <f t="shared" si="15"/>
        <v>50913.177568426254</v>
      </c>
    </row>
    <row r="267" spans="7:8" x14ac:dyDescent="0.3">
      <c r="G267" s="173">
        <f t="shared" si="16"/>
        <v>50942.7081625582</v>
      </c>
      <c r="H267" s="175">
        <f t="shared" si="15"/>
        <v>50942.7081625582</v>
      </c>
    </row>
    <row r="268" spans="7:8" x14ac:dyDescent="0.3">
      <c r="G268" s="173">
        <f t="shared" si="16"/>
        <v>50972.238756690145</v>
      </c>
      <c r="H268" s="175">
        <f t="shared" si="15"/>
        <v>50972.238756690145</v>
      </c>
    </row>
    <row r="269" spans="7:8" x14ac:dyDescent="0.3">
      <c r="G269" s="173">
        <f t="shared" si="16"/>
        <v>51001.769350822091</v>
      </c>
      <c r="H269" s="175">
        <f t="shared" ref="H269:H332" si="17">G269</f>
        <v>51001.769350822091</v>
      </c>
    </row>
    <row r="270" spans="7:8" x14ac:dyDescent="0.3">
      <c r="G270" s="173">
        <f t="shared" si="16"/>
        <v>51031.299944954037</v>
      </c>
      <c r="H270" s="175">
        <f t="shared" si="17"/>
        <v>51031.299944954037</v>
      </c>
    </row>
    <row r="271" spans="7:8" x14ac:dyDescent="0.3">
      <c r="G271" s="173">
        <f t="shared" si="16"/>
        <v>51060.830539085982</v>
      </c>
      <c r="H271" s="175">
        <f t="shared" si="17"/>
        <v>51060.830539085982</v>
      </c>
    </row>
    <row r="272" spans="7:8" x14ac:dyDescent="0.3">
      <c r="G272" s="173">
        <f t="shared" si="16"/>
        <v>51090.361133217928</v>
      </c>
      <c r="H272" s="175">
        <f t="shared" si="17"/>
        <v>51090.361133217928</v>
      </c>
    </row>
    <row r="273" spans="7:8" x14ac:dyDescent="0.3">
      <c r="G273" s="173">
        <f t="shared" si="16"/>
        <v>51119.891727349874</v>
      </c>
      <c r="H273" s="175">
        <f t="shared" si="17"/>
        <v>51119.891727349874</v>
      </c>
    </row>
    <row r="274" spans="7:8" x14ac:dyDescent="0.3">
      <c r="G274" s="173">
        <f t="shared" si="16"/>
        <v>51149.422321481819</v>
      </c>
      <c r="H274" s="175">
        <f t="shared" si="17"/>
        <v>51149.422321481819</v>
      </c>
    </row>
    <row r="275" spans="7:8" x14ac:dyDescent="0.3">
      <c r="G275" s="173">
        <f t="shared" si="16"/>
        <v>51178.952915613765</v>
      </c>
      <c r="H275" s="175">
        <f t="shared" si="17"/>
        <v>51178.952915613765</v>
      </c>
    </row>
    <row r="276" spans="7:8" x14ac:dyDescent="0.3">
      <c r="G276" s="173">
        <f t="shared" si="16"/>
        <v>51208.483509745711</v>
      </c>
      <c r="H276" s="175">
        <f t="shared" si="17"/>
        <v>51208.483509745711</v>
      </c>
    </row>
    <row r="277" spans="7:8" x14ac:dyDescent="0.3">
      <c r="G277" s="173">
        <f t="shared" si="16"/>
        <v>51238.014103877656</v>
      </c>
      <c r="H277" s="175">
        <f t="shared" si="17"/>
        <v>51238.014103877656</v>
      </c>
    </row>
    <row r="278" spans="7:8" x14ac:dyDescent="0.3">
      <c r="G278" s="173">
        <f t="shared" si="16"/>
        <v>51267.544698009602</v>
      </c>
      <c r="H278" s="175">
        <f t="shared" si="17"/>
        <v>51267.544698009602</v>
      </c>
    </row>
    <row r="279" spans="7:8" x14ac:dyDescent="0.3">
      <c r="G279" s="173">
        <f t="shared" si="16"/>
        <v>51297.075292141548</v>
      </c>
      <c r="H279" s="175">
        <f t="shared" si="17"/>
        <v>51297.075292141548</v>
      </c>
    </row>
    <row r="280" spans="7:8" x14ac:dyDescent="0.3">
      <c r="G280" s="173">
        <f t="shared" si="16"/>
        <v>51326.605886273494</v>
      </c>
      <c r="H280" s="175">
        <f t="shared" si="17"/>
        <v>51326.605886273494</v>
      </c>
    </row>
    <row r="281" spans="7:8" x14ac:dyDescent="0.3">
      <c r="G281" s="173">
        <f t="shared" si="16"/>
        <v>51356.136480405439</v>
      </c>
      <c r="H281" s="175">
        <f t="shared" si="17"/>
        <v>51356.136480405439</v>
      </c>
    </row>
    <row r="282" spans="7:8" x14ac:dyDescent="0.3">
      <c r="G282" s="173">
        <f t="shared" si="16"/>
        <v>51385.667074537385</v>
      </c>
      <c r="H282" s="175">
        <f t="shared" si="17"/>
        <v>51385.667074537385</v>
      </c>
    </row>
    <row r="283" spans="7:8" x14ac:dyDescent="0.3">
      <c r="G283" s="173">
        <f t="shared" si="16"/>
        <v>51415.197668669331</v>
      </c>
      <c r="H283" s="175">
        <f t="shared" si="17"/>
        <v>51415.197668669331</v>
      </c>
    </row>
    <row r="284" spans="7:8" x14ac:dyDescent="0.3">
      <c r="G284" s="173">
        <f t="shared" si="16"/>
        <v>51444.728262801276</v>
      </c>
      <c r="H284" s="175">
        <f t="shared" si="17"/>
        <v>51444.728262801276</v>
      </c>
    </row>
    <row r="285" spans="7:8" x14ac:dyDescent="0.3">
      <c r="G285" s="173">
        <f t="shared" si="16"/>
        <v>51474.258856933222</v>
      </c>
      <c r="H285" s="175">
        <f t="shared" si="17"/>
        <v>51474.258856933222</v>
      </c>
    </row>
    <row r="286" spans="7:8" x14ac:dyDescent="0.3">
      <c r="G286" s="173">
        <f t="shared" si="16"/>
        <v>51503.789451065168</v>
      </c>
      <c r="H286" s="175">
        <f t="shared" si="17"/>
        <v>51503.789451065168</v>
      </c>
    </row>
    <row r="287" spans="7:8" x14ac:dyDescent="0.3">
      <c r="G287" s="173">
        <f t="shared" si="16"/>
        <v>51533.320045197113</v>
      </c>
      <c r="H287" s="175">
        <f t="shared" si="17"/>
        <v>51533.320045197113</v>
      </c>
    </row>
    <row r="288" spans="7:8" x14ac:dyDescent="0.3">
      <c r="G288" s="173">
        <f t="shared" si="16"/>
        <v>51562.850639329059</v>
      </c>
      <c r="H288" s="175">
        <f t="shared" si="17"/>
        <v>51562.850639329059</v>
      </c>
    </row>
    <row r="289" spans="7:8" x14ac:dyDescent="0.3">
      <c r="G289" s="173">
        <f t="shared" si="16"/>
        <v>51592.381233461005</v>
      </c>
      <c r="H289" s="175">
        <f t="shared" si="17"/>
        <v>51592.381233461005</v>
      </c>
    </row>
    <row r="290" spans="7:8" x14ac:dyDescent="0.3">
      <c r="G290" s="173">
        <f t="shared" si="16"/>
        <v>51621.91182759295</v>
      </c>
      <c r="H290" s="175">
        <f t="shared" si="17"/>
        <v>51621.91182759295</v>
      </c>
    </row>
    <row r="291" spans="7:8" x14ac:dyDescent="0.3">
      <c r="G291" s="173">
        <f t="shared" si="16"/>
        <v>51651.442421724896</v>
      </c>
      <c r="H291" s="175">
        <f t="shared" si="17"/>
        <v>51651.442421724896</v>
      </c>
    </row>
    <row r="292" spans="7:8" x14ac:dyDescent="0.3">
      <c r="G292" s="173">
        <f t="shared" si="16"/>
        <v>51680.973015856842</v>
      </c>
      <c r="H292" s="175">
        <f t="shared" si="17"/>
        <v>51680.973015856842</v>
      </c>
    </row>
    <row r="293" spans="7:8" x14ac:dyDescent="0.3">
      <c r="G293" s="173">
        <f t="shared" si="16"/>
        <v>51710.503609988788</v>
      </c>
      <c r="H293" s="175">
        <f t="shared" si="17"/>
        <v>51710.503609988788</v>
      </c>
    </row>
    <row r="294" spans="7:8" x14ac:dyDescent="0.3">
      <c r="G294" s="173">
        <f t="shared" si="16"/>
        <v>51740.034204120733</v>
      </c>
      <c r="H294" s="175">
        <f t="shared" si="17"/>
        <v>51740.034204120733</v>
      </c>
    </row>
    <row r="295" spans="7:8" x14ac:dyDescent="0.3">
      <c r="G295" s="173">
        <f t="shared" si="16"/>
        <v>51769.564798252679</v>
      </c>
      <c r="H295" s="175">
        <f t="shared" si="17"/>
        <v>51769.564798252679</v>
      </c>
    </row>
    <row r="296" spans="7:8" x14ac:dyDescent="0.3">
      <c r="G296" s="173">
        <f t="shared" si="16"/>
        <v>51799.095392384625</v>
      </c>
      <c r="H296" s="175">
        <f t="shared" si="17"/>
        <v>51799.095392384625</v>
      </c>
    </row>
    <row r="297" spans="7:8" x14ac:dyDescent="0.3">
      <c r="G297" s="173">
        <f t="shared" si="16"/>
        <v>51828.62598651657</v>
      </c>
      <c r="H297" s="175">
        <f t="shared" si="17"/>
        <v>51828.62598651657</v>
      </c>
    </row>
    <row r="298" spans="7:8" x14ac:dyDescent="0.3">
      <c r="G298" s="173">
        <f t="shared" si="16"/>
        <v>51858.156580648516</v>
      </c>
      <c r="H298" s="175">
        <f t="shared" si="17"/>
        <v>51858.156580648516</v>
      </c>
    </row>
    <row r="299" spans="7:8" x14ac:dyDescent="0.3">
      <c r="G299" s="173">
        <f t="shared" si="16"/>
        <v>51887.687174780462</v>
      </c>
      <c r="H299" s="175">
        <f t="shared" si="17"/>
        <v>51887.687174780462</v>
      </c>
    </row>
    <row r="300" spans="7:8" x14ac:dyDescent="0.3">
      <c r="G300" s="173">
        <f t="shared" si="16"/>
        <v>51917.217768912407</v>
      </c>
      <c r="H300" s="175">
        <f t="shared" si="17"/>
        <v>51917.217768912407</v>
      </c>
    </row>
    <row r="301" spans="7:8" x14ac:dyDescent="0.3">
      <c r="G301" s="173">
        <f t="shared" si="16"/>
        <v>51946.748363044353</v>
      </c>
      <c r="H301" s="175">
        <f t="shared" si="17"/>
        <v>51946.748363044353</v>
      </c>
    </row>
    <row r="302" spans="7:8" x14ac:dyDescent="0.3">
      <c r="G302" s="173">
        <f t="shared" si="16"/>
        <v>51976.278957176299</v>
      </c>
      <c r="H302" s="175">
        <f t="shared" si="17"/>
        <v>51976.278957176299</v>
      </c>
    </row>
    <row r="303" spans="7:8" x14ac:dyDescent="0.3">
      <c r="G303" s="173">
        <f t="shared" si="16"/>
        <v>52005.809551308244</v>
      </c>
      <c r="H303" s="175">
        <f t="shared" si="17"/>
        <v>52005.809551308244</v>
      </c>
    </row>
    <row r="304" spans="7:8" x14ac:dyDescent="0.3">
      <c r="G304" s="173">
        <f t="shared" si="16"/>
        <v>52035.34014544019</v>
      </c>
      <c r="H304" s="175">
        <f t="shared" si="17"/>
        <v>52035.34014544019</v>
      </c>
    </row>
    <row r="305" spans="7:8" x14ac:dyDescent="0.3">
      <c r="G305" s="173">
        <f t="shared" si="16"/>
        <v>52064.870739572136</v>
      </c>
      <c r="H305" s="175">
        <f t="shared" si="17"/>
        <v>52064.870739572136</v>
      </c>
    </row>
    <row r="306" spans="7:8" x14ac:dyDescent="0.3">
      <c r="G306" s="173">
        <f t="shared" si="16"/>
        <v>52094.401333704081</v>
      </c>
      <c r="H306" s="175">
        <f t="shared" si="17"/>
        <v>52094.401333704081</v>
      </c>
    </row>
    <row r="307" spans="7:8" x14ac:dyDescent="0.3">
      <c r="G307" s="173">
        <f t="shared" si="16"/>
        <v>52123.931927836027</v>
      </c>
      <c r="H307" s="175">
        <f t="shared" si="17"/>
        <v>52123.931927836027</v>
      </c>
    </row>
    <row r="308" spans="7:8" x14ac:dyDescent="0.3">
      <c r="G308" s="173">
        <f t="shared" si="16"/>
        <v>52153.462521967973</v>
      </c>
      <c r="H308" s="175">
        <f t="shared" si="17"/>
        <v>52153.462521967973</v>
      </c>
    </row>
    <row r="309" spans="7:8" x14ac:dyDescent="0.3">
      <c r="G309" s="173">
        <f t="shared" si="16"/>
        <v>52182.993116099919</v>
      </c>
      <c r="H309" s="175">
        <f t="shared" si="17"/>
        <v>52182.993116099919</v>
      </c>
    </row>
    <row r="310" spans="7:8" x14ac:dyDescent="0.3">
      <c r="G310" s="173">
        <f t="shared" si="16"/>
        <v>52212.523710231864</v>
      </c>
      <c r="H310" s="175">
        <f t="shared" si="17"/>
        <v>52212.523710231864</v>
      </c>
    </row>
    <row r="311" spans="7:8" x14ac:dyDescent="0.3">
      <c r="G311" s="173">
        <f t="shared" si="16"/>
        <v>52242.05430436381</v>
      </c>
      <c r="H311" s="175">
        <f t="shared" si="17"/>
        <v>52242.05430436381</v>
      </c>
    </row>
    <row r="312" spans="7:8" x14ac:dyDescent="0.3">
      <c r="G312" s="173">
        <f t="shared" si="16"/>
        <v>52271.584898495756</v>
      </c>
      <c r="H312" s="175">
        <f t="shared" si="17"/>
        <v>52271.584898495756</v>
      </c>
    </row>
    <row r="313" spans="7:8" x14ac:dyDescent="0.3">
      <c r="G313" s="173">
        <f t="shared" si="16"/>
        <v>52301.115492627701</v>
      </c>
      <c r="H313" s="175">
        <f t="shared" si="17"/>
        <v>52301.115492627701</v>
      </c>
    </row>
    <row r="314" spans="7:8" x14ac:dyDescent="0.3">
      <c r="G314" s="173">
        <f t="shared" si="16"/>
        <v>52330.646086759647</v>
      </c>
      <c r="H314" s="175">
        <f t="shared" si="17"/>
        <v>52330.646086759647</v>
      </c>
    </row>
    <row r="315" spans="7:8" x14ac:dyDescent="0.3">
      <c r="G315" s="173">
        <f t="shared" si="16"/>
        <v>52360.176680891593</v>
      </c>
      <c r="H315" s="175">
        <f t="shared" si="17"/>
        <v>52360.176680891593</v>
      </c>
    </row>
    <row r="316" spans="7:8" x14ac:dyDescent="0.3">
      <c r="G316" s="173">
        <f t="shared" si="16"/>
        <v>52389.707275023538</v>
      </c>
      <c r="H316" s="175">
        <f t="shared" si="17"/>
        <v>52389.707275023538</v>
      </c>
    </row>
    <row r="317" spans="7:8" x14ac:dyDescent="0.3">
      <c r="G317" s="173">
        <f t="shared" si="16"/>
        <v>52419.237869155484</v>
      </c>
      <c r="H317" s="175">
        <f t="shared" si="17"/>
        <v>52419.237869155484</v>
      </c>
    </row>
    <row r="318" spans="7:8" x14ac:dyDescent="0.3">
      <c r="G318" s="173">
        <f t="shared" si="16"/>
        <v>52448.76846328743</v>
      </c>
      <c r="H318" s="175">
        <f t="shared" si="17"/>
        <v>52448.76846328743</v>
      </c>
    </row>
    <row r="319" spans="7:8" x14ac:dyDescent="0.3">
      <c r="G319" s="173">
        <f t="shared" si="16"/>
        <v>52478.299057419375</v>
      </c>
      <c r="H319" s="175">
        <f t="shared" si="17"/>
        <v>52478.299057419375</v>
      </c>
    </row>
    <row r="320" spans="7:8" x14ac:dyDescent="0.3">
      <c r="G320" s="173">
        <f t="shared" si="16"/>
        <v>52507.829651551321</v>
      </c>
      <c r="H320" s="175">
        <f t="shared" si="17"/>
        <v>52507.829651551321</v>
      </c>
    </row>
    <row r="321" spans="7:8" x14ac:dyDescent="0.3">
      <c r="G321" s="173">
        <f t="shared" si="16"/>
        <v>52537.360245683267</v>
      </c>
      <c r="H321" s="175">
        <f t="shared" si="17"/>
        <v>52537.360245683267</v>
      </c>
    </row>
    <row r="322" spans="7:8" x14ac:dyDescent="0.3">
      <c r="G322" s="173">
        <f t="shared" si="16"/>
        <v>52566.890839815213</v>
      </c>
      <c r="H322" s="175">
        <f t="shared" si="17"/>
        <v>52566.890839815213</v>
      </c>
    </row>
    <row r="323" spans="7:8" x14ac:dyDescent="0.3">
      <c r="G323" s="173">
        <f t="shared" si="16"/>
        <v>52596.421433947158</v>
      </c>
      <c r="H323" s="175">
        <f t="shared" si="17"/>
        <v>52596.421433947158</v>
      </c>
    </row>
    <row r="324" spans="7:8" x14ac:dyDescent="0.3">
      <c r="G324" s="173">
        <f t="shared" ref="G324:G387" si="18">G323+$E$1</f>
        <v>52625.952028079104</v>
      </c>
      <c r="H324" s="175">
        <f t="shared" si="17"/>
        <v>52625.952028079104</v>
      </c>
    </row>
    <row r="325" spans="7:8" x14ac:dyDescent="0.3">
      <c r="G325" s="173">
        <f t="shared" si="18"/>
        <v>52655.48262221105</v>
      </c>
      <c r="H325" s="175">
        <f t="shared" si="17"/>
        <v>52655.48262221105</v>
      </c>
    </row>
    <row r="326" spans="7:8" x14ac:dyDescent="0.3">
      <c r="G326" s="173">
        <f t="shared" si="18"/>
        <v>52685.013216342995</v>
      </c>
      <c r="H326" s="175">
        <f t="shared" si="17"/>
        <v>52685.013216342995</v>
      </c>
    </row>
    <row r="327" spans="7:8" x14ac:dyDescent="0.3">
      <c r="G327" s="173">
        <f t="shared" si="18"/>
        <v>52714.543810474941</v>
      </c>
      <c r="H327" s="175">
        <f t="shared" si="17"/>
        <v>52714.543810474941</v>
      </c>
    </row>
    <row r="328" spans="7:8" x14ac:dyDescent="0.3">
      <c r="G328" s="173">
        <f t="shared" si="18"/>
        <v>52744.074404606887</v>
      </c>
      <c r="H328" s="175">
        <f t="shared" si="17"/>
        <v>52744.074404606887</v>
      </c>
    </row>
    <row r="329" spans="7:8" x14ac:dyDescent="0.3">
      <c r="G329" s="173">
        <f t="shared" si="18"/>
        <v>52773.604998738832</v>
      </c>
      <c r="H329" s="175">
        <f t="shared" si="17"/>
        <v>52773.604998738832</v>
      </c>
    </row>
    <row r="330" spans="7:8" x14ac:dyDescent="0.3">
      <c r="G330" s="173">
        <f t="shared" si="18"/>
        <v>52803.135592870778</v>
      </c>
      <c r="H330" s="175">
        <f t="shared" si="17"/>
        <v>52803.135592870778</v>
      </c>
    </row>
    <row r="331" spans="7:8" x14ac:dyDescent="0.3">
      <c r="G331" s="173">
        <f t="shared" si="18"/>
        <v>52832.666187002724</v>
      </c>
      <c r="H331" s="175">
        <f t="shared" si="17"/>
        <v>52832.666187002724</v>
      </c>
    </row>
    <row r="332" spans="7:8" x14ac:dyDescent="0.3">
      <c r="G332" s="173">
        <f t="shared" si="18"/>
        <v>52862.196781134669</v>
      </c>
      <c r="H332" s="175">
        <f t="shared" si="17"/>
        <v>52862.196781134669</v>
      </c>
    </row>
    <row r="333" spans="7:8" x14ac:dyDescent="0.3">
      <c r="G333" s="173">
        <f t="shared" si="18"/>
        <v>52891.727375266615</v>
      </c>
      <c r="H333" s="175">
        <f t="shared" ref="H333:H396" si="19">G333</f>
        <v>52891.727375266615</v>
      </c>
    </row>
    <row r="334" spans="7:8" x14ac:dyDescent="0.3">
      <c r="G334" s="173">
        <f t="shared" si="18"/>
        <v>52921.257969398561</v>
      </c>
      <c r="H334" s="175">
        <f t="shared" si="19"/>
        <v>52921.257969398561</v>
      </c>
    </row>
    <row r="335" spans="7:8" x14ac:dyDescent="0.3">
      <c r="G335" s="173">
        <f t="shared" si="18"/>
        <v>52950.788563530507</v>
      </c>
      <c r="H335" s="175">
        <f t="shared" si="19"/>
        <v>52950.788563530507</v>
      </c>
    </row>
    <row r="336" spans="7:8" x14ac:dyDescent="0.3">
      <c r="G336" s="173">
        <f t="shared" si="18"/>
        <v>52980.319157662452</v>
      </c>
      <c r="H336" s="175">
        <f t="shared" si="19"/>
        <v>52980.319157662452</v>
      </c>
    </row>
    <row r="337" spans="7:8" x14ac:dyDescent="0.3">
      <c r="G337" s="173">
        <f t="shared" si="18"/>
        <v>53009.849751794398</v>
      </c>
      <c r="H337" s="175">
        <f t="shared" si="19"/>
        <v>53009.849751794398</v>
      </c>
    </row>
    <row r="338" spans="7:8" x14ac:dyDescent="0.3">
      <c r="G338" s="173">
        <f t="shared" si="18"/>
        <v>53039.380345926344</v>
      </c>
      <c r="H338" s="175">
        <f t="shared" si="19"/>
        <v>53039.380345926344</v>
      </c>
    </row>
    <row r="339" spans="7:8" x14ac:dyDescent="0.3">
      <c r="G339" s="173">
        <f t="shared" si="18"/>
        <v>53068.910940058289</v>
      </c>
      <c r="H339" s="175">
        <f t="shared" si="19"/>
        <v>53068.910940058289</v>
      </c>
    </row>
    <row r="340" spans="7:8" x14ac:dyDescent="0.3">
      <c r="G340" s="173">
        <f t="shared" si="18"/>
        <v>53098.441534190235</v>
      </c>
      <c r="H340" s="175">
        <f t="shared" si="19"/>
        <v>53098.441534190235</v>
      </c>
    </row>
    <row r="341" spans="7:8" x14ac:dyDescent="0.3">
      <c r="G341" s="173">
        <f t="shared" si="18"/>
        <v>53127.972128322181</v>
      </c>
      <c r="H341" s="175">
        <f t="shared" si="19"/>
        <v>53127.972128322181</v>
      </c>
    </row>
    <row r="342" spans="7:8" x14ac:dyDescent="0.3">
      <c r="G342" s="173">
        <f t="shared" si="18"/>
        <v>53157.502722454126</v>
      </c>
      <c r="H342" s="175">
        <f t="shared" si="19"/>
        <v>53157.502722454126</v>
      </c>
    </row>
    <row r="343" spans="7:8" x14ac:dyDescent="0.3">
      <c r="G343" s="173">
        <f t="shared" si="18"/>
        <v>53187.033316586072</v>
      </c>
      <c r="H343" s="175">
        <f t="shared" si="19"/>
        <v>53187.033316586072</v>
      </c>
    </row>
    <row r="344" spans="7:8" x14ac:dyDescent="0.3">
      <c r="G344" s="173">
        <f t="shared" si="18"/>
        <v>53216.563910718018</v>
      </c>
      <c r="H344" s="175">
        <f t="shared" si="19"/>
        <v>53216.563910718018</v>
      </c>
    </row>
    <row r="345" spans="7:8" x14ac:dyDescent="0.3">
      <c r="G345" s="173">
        <f t="shared" si="18"/>
        <v>53246.094504849963</v>
      </c>
      <c r="H345" s="175">
        <f t="shared" si="19"/>
        <v>53246.094504849963</v>
      </c>
    </row>
    <row r="346" spans="7:8" x14ac:dyDescent="0.3">
      <c r="G346" s="173">
        <f t="shared" si="18"/>
        <v>53275.625098981909</v>
      </c>
      <c r="H346" s="175">
        <f t="shared" si="19"/>
        <v>53275.625098981909</v>
      </c>
    </row>
    <row r="347" spans="7:8" x14ac:dyDescent="0.3">
      <c r="G347" s="173">
        <f t="shared" si="18"/>
        <v>53305.155693113855</v>
      </c>
      <c r="H347" s="175">
        <f t="shared" si="19"/>
        <v>53305.155693113855</v>
      </c>
    </row>
    <row r="348" spans="7:8" x14ac:dyDescent="0.3">
      <c r="G348" s="173">
        <f t="shared" si="18"/>
        <v>53334.6862872458</v>
      </c>
      <c r="H348" s="175">
        <f t="shared" si="19"/>
        <v>53334.6862872458</v>
      </c>
    </row>
    <row r="349" spans="7:8" x14ac:dyDescent="0.3">
      <c r="G349" s="173">
        <f t="shared" si="18"/>
        <v>53364.216881377746</v>
      </c>
      <c r="H349" s="175">
        <f t="shared" si="19"/>
        <v>53364.216881377746</v>
      </c>
    </row>
    <row r="350" spans="7:8" x14ac:dyDescent="0.3">
      <c r="G350" s="173">
        <f t="shared" si="18"/>
        <v>53393.747475509692</v>
      </c>
      <c r="H350" s="175">
        <f t="shared" si="19"/>
        <v>53393.747475509692</v>
      </c>
    </row>
    <row r="351" spans="7:8" x14ac:dyDescent="0.3">
      <c r="G351" s="173">
        <f t="shared" si="18"/>
        <v>53423.278069641638</v>
      </c>
      <c r="H351" s="175">
        <f t="shared" si="19"/>
        <v>53423.278069641638</v>
      </c>
    </row>
    <row r="352" spans="7:8" x14ac:dyDescent="0.3">
      <c r="G352" s="173">
        <f t="shared" si="18"/>
        <v>53452.808663773583</v>
      </c>
      <c r="H352" s="175">
        <f t="shared" si="19"/>
        <v>53452.808663773583</v>
      </c>
    </row>
    <row r="353" spans="7:8" x14ac:dyDescent="0.3">
      <c r="G353" s="173">
        <f t="shared" si="18"/>
        <v>53482.339257905529</v>
      </c>
      <c r="H353" s="175">
        <f t="shared" si="19"/>
        <v>53482.339257905529</v>
      </c>
    </row>
    <row r="354" spans="7:8" x14ac:dyDescent="0.3">
      <c r="G354" s="173">
        <f t="shared" si="18"/>
        <v>53511.869852037475</v>
      </c>
      <c r="H354" s="175">
        <f t="shared" si="19"/>
        <v>53511.869852037475</v>
      </c>
    </row>
    <row r="355" spans="7:8" x14ac:dyDescent="0.3">
      <c r="G355" s="173">
        <f t="shared" si="18"/>
        <v>53541.40044616942</v>
      </c>
      <c r="H355" s="175">
        <f t="shared" si="19"/>
        <v>53541.40044616942</v>
      </c>
    </row>
    <row r="356" spans="7:8" x14ac:dyDescent="0.3">
      <c r="G356" s="173">
        <f t="shared" si="18"/>
        <v>53570.931040301366</v>
      </c>
      <c r="H356" s="175">
        <f t="shared" si="19"/>
        <v>53570.931040301366</v>
      </c>
    </row>
    <row r="357" spans="7:8" x14ac:dyDescent="0.3">
      <c r="G357" s="173">
        <f t="shared" si="18"/>
        <v>53600.461634433312</v>
      </c>
      <c r="H357" s="175">
        <f t="shared" si="19"/>
        <v>53600.461634433312</v>
      </c>
    </row>
    <row r="358" spans="7:8" x14ac:dyDescent="0.3">
      <c r="G358" s="173">
        <f t="shared" si="18"/>
        <v>53629.992228565257</v>
      </c>
      <c r="H358" s="175">
        <f t="shared" si="19"/>
        <v>53629.992228565257</v>
      </c>
    </row>
    <row r="359" spans="7:8" x14ac:dyDescent="0.3">
      <c r="G359" s="173">
        <f t="shared" si="18"/>
        <v>53659.522822697203</v>
      </c>
      <c r="H359" s="175">
        <f t="shared" si="19"/>
        <v>53659.522822697203</v>
      </c>
    </row>
    <row r="360" spans="7:8" x14ac:dyDescent="0.3">
      <c r="G360" s="173">
        <f t="shared" si="18"/>
        <v>53689.053416829149</v>
      </c>
      <c r="H360" s="175">
        <f t="shared" si="19"/>
        <v>53689.053416829149</v>
      </c>
    </row>
    <row r="361" spans="7:8" x14ac:dyDescent="0.3">
      <c r="G361" s="173">
        <f t="shared" si="18"/>
        <v>53718.584010961094</v>
      </c>
      <c r="H361" s="175">
        <f t="shared" si="19"/>
        <v>53718.584010961094</v>
      </c>
    </row>
    <row r="362" spans="7:8" x14ac:dyDescent="0.3">
      <c r="G362" s="173">
        <f t="shared" si="18"/>
        <v>53748.11460509304</v>
      </c>
      <c r="H362" s="175">
        <f t="shared" si="19"/>
        <v>53748.11460509304</v>
      </c>
    </row>
    <row r="363" spans="7:8" x14ac:dyDescent="0.3">
      <c r="G363" s="173">
        <f t="shared" si="18"/>
        <v>53777.645199224986</v>
      </c>
      <c r="H363" s="175">
        <f t="shared" si="19"/>
        <v>53777.645199224986</v>
      </c>
    </row>
    <row r="364" spans="7:8" x14ac:dyDescent="0.3">
      <c r="G364" s="173">
        <f t="shared" si="18"/>
        <v>53807.175793356932</v>
      </c>
      <c r="H364" s="175">
        <f t="shared" si="19"/>
        <v>53807.175793356932</v>
      </c>
    </row>
    <row r="365" spans="7:8" x14ac:dyDescent="0.3">
      <c r="G365" s="173">
        <f t="shared" si="18"/>
        <v>53836.706387488877</v>
      </c>
      <c r="H365" s="175">
        <f t="shared" si="19"/>
        <v>53836.706387488877</v>
      </c>
    </row>
    <row r="366" spans="7:8" x14ac:dyDescent="0.3">
      <c r="G366" s="173">
        <f t="shared" si="18"/>
        <v>53866.236981620823</v>
      </c>
      <c r="H366" s="175">
        <f t="shared" si="19"/>
        <v>53866.236981620823</v>
      </c>
    </row>
    <row r="367" spans="7:8" x14ac:dyDescent="0.3">
      <c r="G367" s="173">
        <f t="shared" si="18"/>
        <v>53895.767575752769</v>
      </c>
      <c r="H367" s="175">
        <f t="shared" si="19"/>
        <v>53895.767575752769</v>
      </c>
    </row>
    <row r="368" spans="7:8" x14ac:dyDescent="0.3">
      <c r="G368" s="173">
        <f t="shared" si="18"/>
        <v>53925.298169884714</v>
      </c>
      <c r="H368" s="175">
        <f t="shared" si="19"/>
        <v>53925.298169884714</v>
      </c>
    </row>
    <row r="369" spans="7:8" x14ac:dyDescent="0.3">
      <c r="G369" s="173">
        <f t="shared" si="18"/>
        <v>53954.82876401666</v>
      </c>
      <c r="H369" s="175">
        <f t="shared" si="19"/>
        <v>53954.82876401666</v>
      </c>
    </row>
    <row r="370" spans="7:8" x14ac:dyDescent="0.3">
      <c r="G370" s="173">
        <f t="shared" si="18"/>
        <v>53984.359358148606</v>
      </c>
      <c r="H370" s="175">
        <f t="shared" si="19"/>
        <v>53984.359358148606</v>
      </c>
    </row>
    <row r="371" spans="7:8" x14ac:dyDescent="0.3">
      <c r="G371" s="173">
        <f t="shared" si="18"/>
        <v>54013.889952280551</v>
      </c>
      <c r="H371" s="175">
        <f t="shared" si="19"/>
        <v>54013.889952280551</v>
      </c>
    </row>
    <row r="372" spans="7:8" x14ac:dyDescent="0.3">
      <c r="G372" s="173">
        <f t="shared" si="18"/>
        <v>54043.420546412497</v>
      </c>
      <c r="H372" s="175">
        <f t="shared" si="19"/>
        <v>54043.420546412497</v>
      </c>
    </row>
    <row r="373" spans="7:8" x14ac:dyDescent="0.3">
      <c r="G373" s="173">
        <f t="shared" si="18"/>
        <v>54072.951140544443</v>
      </c>
      <c r="H373" s="175">
        <f t="shared" si="19"/>
        <v>54072.951140544443</v>
      </c>
    </row>
    <row r="374" spans="7:8" x14ac:dyDescent="0.3">
      <c r="G374" s="173">
        <f t="shared" si="18"/>
        <v>54102.481734676388</v>
      </c>
      <c r="H374" s="175">
        <f t="shared" si="19"/>
        <v>54102.481734676388</v>
      </c>
    </row>
    <row r="375" spans="7:8" x14ac:dyDescent="0.3">
      <c r="G375" s="173">
        <f t="shared" si="18"/>
        <v>54132.012328808334</v>
      </c>
      <c r="H375" s="175">
        <f t="shared" si="19"/>
        <v>54132.012328808334</v>
      </c>
    </row>
    <row r="376" spans="7:8" x14ac:dyDescent="0.3">
      <c r="G376" s="173">
        <f t="shared" si="18"/>
        <v>54161.54292294028</v>
      </c>
      <c r="H376" s="175">
        <f t="shared" si="19"/>
        <v>54161.54292294028</v>
      </c>
    </row>
    <row r="377" spans="7:8" x14ac:dyDescent="0.3">
      <c r="G377" s="173">
        <f t="shared" si="18"/>
        <v>54191.073517072226</v>
      </c>
      <c r="H377" s="175">
        <f t="shared" si="19"/>
        <v>54191.073517072226</v>
      </c>
    </row>
    <row r="378" spans="7:8" x14ac:dyDescent="0.3">
      <c r="G378" s="173">
        <f t="shared" si="18"/>
        <v>54220.604111204171</v>
      </c>
      <c r="H378" s="175">
        <f t="shared" si="19"/>
        <v>54220.604111204171</v>
      </c>
    </row>
    <row r="379" spans="7:8" x14ac:dyDescent="0.3">
      <c r="G379" s="173">
        <f t="shared" si="18"/>
        <v>54250.134705336117</v>
      </c>
      <c r="H379" s="175">
        <f t="shared" si="19"/>
        <v>54250.134705336117</v>
      </c>
    </row>
    <row r="380" spans="7:8" x14ac:dyDescent="0.3">
      <c r="G380" s="173">
        <f t="shared" si="18"/>
        <v>54279.665299468063</v>
      </c>
      <c r="H380" s="175">
        <f t="shared" si="19"/>
        <v>54279.665299468063</v>
      </c>
    </row>
    <row r="381" spans="7:8" x14ac:dyDescent="0.3">
      <c r="G381" s="173">
        <f t="shared" si="18"/>
        <v>54309.195893600008</v>
      </c>
      <c r="H381" s="175">
        <f t="shared" si="19"/>
        <v>54309.195893600008</v>
      </c>
    </row>
    <row r="382" spans="7:8" x14ac:dyDescent="0.3">
      <c r="G382" s="173">
        <f t="shared" si="18"/>
        <v>54338.726487731954</v>
      </c>
      <c r="H382" s="175">
        <f t="shared" si="19"/>
        <v>54338.726487731954</v>
      </c>
    </row>
    <row r="383" spans="7:8" x14ac:dyDescent="0.3">
      <c r="G383" s="173">
        <f t="shared" si="18"/>
        <v>54368.2570818639</v>
      </c>
      <c r="H383" s="175">
        <f t="shared" si="19"/>
        <v>54368.2570818639</v>
      </c>
    </row>
    <row r="384" spans="7:8" x14ac:dyDescent="0.3">
      <c r="G384" s="173">
        <f t="shared" si="18"/>
        <v>54397.787675995845</v>
      </c>
      <c r="H384" s="175">
        <f t="shared" si="19"/>
        <v>54397.787675995845</v>
      </c>
    </row>
    <row r="385" spans="7:8" x14ac:dyDescent="0.3">
      <c r="G385" s="173">
        <f t="shared" si="18"/>
        <v>54427.318270127791</v>
      </c>
      <c r="H385" s="175">
        <f t="shared" si="19"/>
        <v>54427.318270127791</v>
      </c>
    </row>
    <row r="386" spans="7:8" x14ac:dyDescent="0.3">
      <c r="G386" s="173">
        <f t="shared" si="18"/>
        <v>54456.848864259737</v>
      </c>
      <c r="H386" s="175">
        <f t="shared" si="19"/>
        <v>54456.848864259737</v>
      </c>
    </row>
    <row r="387" spans="7:8" x14ac:dyDescent="0.3">
      <c r="G387" s="173">
        <f t="shared" si="18"/>
        <v>54486.379458391682</v>
      </c>
      <c r="H387" s="175">
        <f t="shared" si="19"/>
        <v>54486.379458391682</v>
      </c>
    </row>
    <row r="388" spans="7:8" x14ac:dyDescent="0.3">
      <c r="G388" s="173">
        <f t="shared" ref="G388:G451" si="20">G387+$E$1</f>
        <v>54515.910052523628</v>
      </c>
      <c r="H388" s="175">
        <f t="shared" si="19"/>
        <v>54515.910052523628</v>
      </c>
    </row>
    <row r="389" spans="7:8" x14ac:dyDescent="0.3">
      <c r="G389" s="173">
        <f t="shared" si="20"/>
        <v>54545.440646655574</v>
      </c>
      <c r="H389" s="175">
        <f t="shared" si="19"/>
        <v>54545.440646655574</v>
      </c>
    </row>
    <row r="390" spans="7:8" x14ac:dyDescent="0.3">
      <c r="G390" s="173">
        <f t="shared" si="20"/>
        <v>54574.971240787519</v>
      </c>
      <c r="H390" s="175">
        <f t="shared" si="19"/>
        <v>54574.971240787519</v>
      </c>
    </row>
    <row r="391" spans="7:8" x14ac:dyDescent="0.3">
      <c r="G391" s="173">
        <f t="shared" si="20"/>
        <v>54604.501834919465</v>
      </c>
      <c r="H391" s="175">
        <f t="shared" si="19"/>
        <v>54604.501834919465</v>
      </c>
    </row>
    <row r="392" spans="7:8" x14ac:dyDescent="0.3">
      <c r="G392" s="173">
        <f t="shared" si="20"/>
        <v>54634.032429051411</v>
      </c>
      <c r="H392" s="175">
        <f t="shared" si="19"/>
        <v>54634.032429051411</v>
      </c>
    </row>
    <row r="393" spans="7:8" x14ac:dyDescent="0.3">
      <c r="G393" s="173">
        <f t="shared" si="20"/>
        <v>54663.563023183357</v>
      </c>
      <c r="H393" s="175">
        <f t="shared" si="19"/>
        <v>54663.563023183357</v>
      </c>
    </row>
    <row r="394" spans="7:8" x14ac:dyDescent="0.3">
      <c r="G394" s="173">
        <f t="shared" si="20"/>
        <v>54693.093617315302</v>
      </c>
      <c r="H394" s="175">
        <f t="shared" si="19"/>
        <v>54693.093617315302</v>
      </c>
    </row>
    <row r="395" spans="7:8" x14ac:dyDescent="0.3">
      <c r="G395" s="173">
        <f t="shared" si="20"/>
        <v>54722.624211447248</v>
      </c>
      <c r="H395" s="175">
        <f t="shared" si="19"/>
        <v>54722.624211447248</v>
      </c>
    </row>
    <row r="396" spans="7:8" x14ac:dyDescent="0.3">
      <c r="G396" s="173">
        <f t="shared" si="20"/>
        <v>54752.154805579194</v>
      </c>
      <c r="H396" s="175">
        <f t="shared" si="19"/>
        <v>54752.154805579194</v>
      </c>
    </row>
    <row r="397" spans="7:8" x14ac:dyDescent="0.3">
      <c r="G397" s="173">
        <f t="shared" si="20"/>
        <v>54781.685399711139</v>
      </c>
      <c r="H397" s="175">
        <f t="shared" ref="H397:H460" si="21">G397</f>
        <v>54781.685399711139</v>
      </c>
    </row>
    <row r="398" spans="7:8" x14ac:dyDescent="0.3">
      <c r="G398" s="173">
        <f t="shared" si="20"/>
        <v>54811.215993843085</v>
      </c>
      <c r="H398" s="175">
        <f t="shared" si="21"/>
        <v>54811.215993843085</v>
      </c>
    </row>
    <row r="399" spans="7:8" x14ac:dyDescent="0.3">
      <c r="G399" s="173">
        <f t="shared" si="20"/>
        <v>54840.746587975031</v>
      </c>
      <c r="H399" s="175">
        <f t="shared" si="21"/>
        <v>54840.746587975031</v>
      </c>
    </row>
    <row r="400" spans="7:8" x14ac:dyDescent="0.3">
      <c r="G400" s="173">
        <f t="shared" si="20"/>
        <v>54870.277182106976</v>
      </c>
      <c r="H400" s="175">
        <f t="shared" si="21"/>
        <v>54870.277182106976</v>
      </c>
    </row>
    <row r="401" spans="7:8" x14ac:dyDescent="0.3">
      <c r="G401" s="173">
        <f t="shared" si="20"/>
        <v>54899.807776238922</v>
      </c>
      <c r="H401" s="175">
        <f t="shared" si="21"/>
        <v>54899.807776238922</v>
      </c>
    </row>
    <row r="402" spans="7:8" x14ac:dyDescent="0.3">
      <c r="G402" s="173">
        <f t="shared" si="20"/>
        <v>54929.338370370868</v>
      </c>
      <c r="H402" s="175">
        <f t="shared" si="21"/>
        <v>54929.338370370868</v>
      </c>
    </row>
    <row r="403" spans="7:8" x14ac:dyDescent="0.3">
      <c r="G403" s="173">
        <f t="shared" si="20"/>
        <v>54958.868964502813</v>
      </c>
      <c r="H403" s="175">
        <f t="shared" si="21"/>
        <v>54958.868964502813</v>
      </c>
    </row>
    <row r="404" spans="7:8" x14ac:dyDescent="0.3">
      <c r="G404" s="173">
        <f t="shared" si="20"/>
        <v>54988.399558634759</v>
      </c>
      <c r="H404" s="175">
        <f t="shared" si="21"/>
        <v>54988.399558634759</v>
      </c>
    </row>
    <row r="405" spans="7:8" x14ac:dyDescent="0.3">
      <c r="G405" s="173">
        <f t="shared" si="20"/>
        <v>55017.930152766705</v>
      </c>
      <c r="H405" s="175">
        <f t="shared" si="21"/>
        <v>55017.930152766705</v>
      </c>
    </row>
    <row r="406" spans="7:8" x14ac:dyDescent="0.3">
      <c r="G406" s="173">
        <f t="shared" si="20"/>
        <v>55047.460746898651</v>
      </c>
      <c r="H406" s="175">
        <f t="shared" si="21"/>
        <v>55047.460746898651</v>
      </c>
    </row>
    <row r="407" spans="7:8" x14ac:dyDescent="0.3">
      <c r="G407" s="173">
        <f t="shared" si="20"/>
        <v>55076.991341030596</v>
      </c>
      <c r="H407" s="175">
        <f t="shared" si="21"/>
        <v>55076.991341030596</v>
      </c>
    </row>
    <row r="408" spans="7:8" x14ac:dyDescent="0.3">
      <c r="G408" s="173">
        <f t="shared" si="20"/>
        <v>55106.521935162542</v>
      </c>
      <c r="H408" s="175">
        <f t="shared" si="21"/>
        <v>55106.521935162542</v>
      </c>
    </row>
    <row r="409" spans="7:8" x14ac:dyDescent="0.3">
      <c r="G409" s="173">
        <f t="shared" si="20"/>
        <v>55136.052529294488</v>
      </c>
      <c r="H409" s="175">
        <f t="shared" si="21"/>
        <v>55136.052529294488</v>
      </c>
    </row>
    <row r="410" spans="7:8" x14ac:dyDescent="0.3">
      <c r="G410" s="173">
        <f t="shared" si="20"/>
        <v>55165.583123426433</v>
      </c>
      <c r="H410" s="175">
        <f t="shared" si="21"/>
        <v>55165.583123426433</v>
      </c>
    </row>
    <row r="411" spans="7:8" x14ac:dyDescent="0.3">
      <c r="G411" s="173">
        <f t="shared" si="20"/>
        <v>55195.113717558379</v>
      </c>
      <c r="H411" s="175">
        <f t="shared" si="21"/>
        <v>55195.113717558379</v>
      </c>
    </row>
    <row r="412" spans="7:8" x14ac:dyDescent="0.3">
      <c r="G412" s="173">
        <f t="shared" si="20"/>
        <v>55224.644311690325</v>
      </c>
      <c r="H412" s="175">
        <f t="shared" si="21"/>
        <v>55224.644311690325</v>
      </c>
    </row>
    <row r="413" spans="7:8" x14ac:dyDescent="0.3">
      <c r="G413" s="173">
        <f t="shared" si="20"/>
        <v>55254.17490582227</v>
      </c>
      <c r="H413" s="175">
        <f t="shared" si="21"/>
        <v>55254.17490582227</v>
      </c>
    </row>
    <row r="414" spans="7:8" x14ac:dyDescent="0.3">
      <c r="G414" s="173">
        <f t="shared" si="20"/>
        <v>55283.705499954216</v>
      </c>
      <c r="H414" s="175">
        <f t="shared" si="21"/>
        <v>55283.705499954216</v>
      </c>
    </row>
    <row r="415" spans="7:8" x14ac:dyDescent="0.3">
      <c r="G415" s="173">
        <f t="shared" si="20"/>
        <v>55313.236094086162</v>
      </c>
      <c r="H415" s="175">
        <f t="shared" si="21"/>
        <v>55313.236094086162</v>
      </c>
    </row>
    <row r="416" spans="7:8" x14ac:dyDescent="0.3">
      <c r="G416" s="173">
        <f t="shared" si="20"/>
        <v>55342.766688218107</v>
      </c>
      <c r="H416" s="175">
        <f t="shared" si="21"/>
        <v>55342.766688218107</v>
      </c>
    </row>
    <row r="417" spans="7:8" x14ac:dyDescent="0.3">
      <c r="G417" s="173">
        <f t="shared" si="20"/>
        <v>55372.297282350053</v>
      </c>
      <c r="H417" s="175">
        <f t="shared" si="21"/>
        <v>55372.297282350053</v>
      </c>
    </row>
    <row r="418" spans="7:8" x14ac:dyDescent="0.3">
      <c r="G418" s="173">
        <f t="shared" si="20"/>
        <v>55401.827876481999</v>
      </c>
      <c r="H418" s="175">
        <f t="shared" si="21"/>
        <v>55401.827876481999</v>
      </c>
    </row>
    <row r="419" spans="7:8" x14ac:dyDescent="0.3">
      <c r="G419" s="173">
        <f t="shared" si="20"/>
        <v>55431.358470613945</v>
      </c>
      <c r="H419" s="175">
        <f t="shared" si="21"/>
        <v>55431.358470613945</v>
      </c>
    </row>
    <row r="420" spans="7:8" x14ac:dyDescent="0.3">
      <c r="G420" s="173">
        <f t="shared" si="20"/>
        <v>55460.88906474589</v>
      </c>
      <c r="H420" s="175">
        <f t="shared" si="21"/>
        <v>55460.88906474589</v>
      </c>
    </row>
    <row r="421" spans="7:8" x14ac:dyDescent="0.3">
      <c r="G421" s="173">
        <f t="shared" si="20"/>
        <v>55490.419658877836</v>
      </c>
      <c r="H421" s="175">
        <f t="shared" si="21"/>
        <v>55490.419658877836</v>
      </c>
    </row>
    <row r="422" spans="7:8" x14ac:dyDescent="0.3">
      <c r="G422" s="173">
        <f t="shared" si="20"/>
        <v>55519.950253009782</v>
      </c>
      <c r="H422" s="175">
        <f t="shared" si="21"/>
        <v>55519.950253009782</v>
      </c>
    </row>
    <row r="423" spans="7:8" x14ac:dyDescent="0.3">
      <c r="G423" s="173">
        <f t="shared" si="20"/>
        <v>55549.480847141727</v>
      </c>
      <c r="H423" s="175">
        <f t="shared" si="21"/>
        <v>55549.480847141727</v>
      </c>
    </row>
    <row r="424" spans="7:8" x14ac:dyDescent="0.3">
      <c r="G424" s="173">
        <f t="shared" si="20"/>
        <v>55579.011441273673</v>
      </c>
      <c r="H424" s="175">
        <f t="shared" si="21"/>
        <v>55579.011441273673</v>
      </c>
    </row>
    <row r="425" spans="7:8" x14ac:dyDescent="0.3">
      <c r="G425" s="173">
        <f t="shared" si="20"/>
        <v>55608.542035405619</v>
      </c>
      <c r="H425" s="175">
        <f t="shared" si="21"/>
        <v>55608.542035405619</v>
      </c>
    </row>
    <row r="426" spans="7:8" x14ac:dyDescent="0.3">
      <c r="G426" s="173">
        <f t="shared" si="20"/>
        <v>55638.072629537564</v>
      </c>
      <c r="H426" s="175">
        <f t="shared" si="21"/>
        <v>55638.072629537564</v>
      </c>
    </row>
    <row r="427" spans="7:8" x14ac:dyDescent="0.3">
      <c r="G427" s="173">
        <f t="shared" si="20"/>
        <v>55667.60322366951</v>
      </c>
      <c r="H427" s="175">
        <f t="shared" si="21"/>
        <v>55667.60322366951</v>
      </c>
    </row>
    <row r="428" spans="7:8" x14ac:dyDescent="0.3">
      <c r="G428" s="173">
        <f t="shared" si="20"/>
        <v>55697.133817801456</v>
      </c>
      <c r="H428" s="175">
        <f t="shared" si="21"/>
        <v>55697.133817801456</v>
      </c>
    </row>
    <row r="429" spans="7:8" x14ac:dyDescent="0.3">
      <c r="G429" s="173">
        <f t="shared" si="20"/>
        <v>55726.664411933401</v>
      </c>
      <c r="H429" s="175">
        <f t="shared" si="21"/>
        <v>55726.664411933401</v>
      </c>
    </row>
    <row r="430" spans="7:8" x14ac:dyDescent="0.3">
      <c r="G430" s="173">
        <f t="shared" si="20"/>
        <v>55756.195006065347</v>
      </c>
      <c r="H430" s="175">
        <f t="shared" si="21"/>
        <v>55756.195006065347</v>
      </c>
    </row>
    <row r="431" spans="7:8" x14ac:dyDescent="0.3">
      <c r="G431" s="173">
        <f t="shared" si="20"/>
        <v>55785.725600197293</v>
      </c>
      <c r="H431" s="175">
        <f t="shared" si="21"/>
        <v>55785.725600197293</v>
      </c>
    </row>
    <row r="432" spans="7:8" x14ac:dyDescent="0.3">
      <c r="G432" s="173">
        <f t="shared" si="20"/>
        <v>55815.256194329238</v>
      </c>
      <c r="H432" s="175">
        <f t="shared" si="21"/>
        <v>55815.256194329238</v>
      </c>
    </row>
    <row r="433" spans="7:8" x14ac:dyDescent="0.3">
      <c r="G433" s="173">
        <f t="shared" si="20"/>
        <v>55844.786788461184</v>
      </c>
      <c r="H433" s="175">
        <f t="shared" si="21"/>
        <v>55844.786788461184</v>
      </c>
    </row>
    <row r="434" spans="7:8" x14ac:dyDescent="0.3">
      <c r="G434" s="173">
        <f t="shared" si="20"/>
        <v>55874.31738259313</v>
      </c>
      <c r="H434" s="175">
        <f t="shared" si="21"/>
        <v>55874.31738259313</v>
      </c>
    </row>
    <row r="435" spans="7:8" x14ac:dyDescent="0.3">
      <c r="G435" s="173">
        <f t="shared" si="20"/>
        <v>55903.847976725076</v>
      </c>
      <c r="H435" s="175">
        <f t="shared" si="21"/>
        <v>55903.847976725076</v>
      </c>
    </row>
    <row r="436" spans="7:8" x14ac:dyDescent="0.3">
      <c r="G436" s="173">
        <f t="shared" si="20"/>
        <v>55933.378570857021</v>
      </c>
      <c r="H436" s="175">
        <f t="shared" si="21"/>
        <v>55933.378570857021</v>
      </c>
    </row>
    <row r="437" spans="7:8" x14ac:dyDescent="0.3">
      <c r="G437" s="173">
        <f t="shared" si="20"/>
        <v>55962.909164988967</v>
      </c>
      <c r="H437" s="175">
        <f t="shared" si="21"/>
        <v>55962.909164988967</v>
      </c>
    </row>
    <row r="438" spans="7:8" x14ac:dyDescent="0.3">
      <c r="G438" s="173">
        <f t="shared" si="20"/>
        <v>55992.439759120913</v>
      </c>
      <c r="H438" s="175">
        <f t="shared" si="21"/>
        <v>55992.439759120913</v>
      </c>
    </row>
    <row r="439" spans="7:8" x14ac:dyDescent="0.3">
      <c r="G439" s="173">
        <f t="shared" si="20"/>
        <v>56021.970353252858</v>
      </c>
      <c r="H439" s="175">
        <f t="shared" si="21"/>
        <v>56021.970353252858</v>
      </c>
    </row>
    <row r="440" spans="7:8" x14ac:dyDescent="0.3">
      <c r="G440" s="173">
        <f t="shared" si="20"/>
        <v>56051.500947384804</v>
      </c>
      <c r="H440" s="175">
        <f t="shared" si="21"/>
        <v>56051.500947384804</v>
      </c>
    </row>
    <row r="441" spans="7:8" x14ac:dyDescent="0.3">
      <c r="G441" s="173">
        <f t="shared" si="20"/>
        <v>56081.03154151675</v>
      </c>
      <c r="H441" s="175">
        <f t="shared" si="21"/>
        <v>56081.03154151675</v>
      </c>
    </row>
    <row r="442" spans="7:8" x14ac:dyDescent="0.3">
      <c r="G442" s="173">
        <f t="shared" si="20"/>
        <v>56110.562135648695</v>
      </c>
      <c r="H442" s="175">
        <f t="shared" si="21"/>
        <v>56110.562135648695</v>
      </c>
    </row>
    <row r="443" spans="7:8" x14ac:dyDescent="0.3">
      <c r="G443" s="173">
        <f t="shared" si="20"/>
        <v>56140.092729780641</v>
      </c>
      <c r="H443" s="175">
        <f t="shared" si="21"/>
        <v>56140.092729780641</v>
      </c>
    </row>
    <row r="444" spans="7:8" x14ac:dyDescent="0.3">
      <c r="G444" s="173">
        <f t="shared" si="20"/>
        <v>56169.623323912587</v>
      </c>
      <c r="H444" s="175">
        <f t="shared" si="21"/>
        <v>56169.623323912587</v>
      </c>
    </row>
    <row r="445" spans="7:8" x14ac:dyDescent="0.3">
      <c r="G445" s="173">
        <f t="shared" si="20"/>
        <v>56199.153918044532</v>
      </c>
      <c r="H445" s="175">
        <f t="shared" si="21"/>
        <v>56199.153918044532</v>
      </c>
    </row>
    <row r="446" spans="7:8" x14ac:dyDescent="0.3">
      <c r="G446" s="173">
        <f t="shared" si="20"/>
        <v>56228.684512176478</v>
      </c>
      <c r="H446" s="175">
        <f t="shared" si="21"/>
        <v>56228.684512176478</v>
      </c>
    </row>
    <row r="447" spans="7:8" x14ac:dyDescent="0.3">
      <c r="G447" s="173">
        <f t="shared" si="20"/>
        <v>56258.215106308424</v>
      </c>
      <c r="H447" s="175">
        <f t="shared" si="21"/>
        <v>56258.215106308424</v>
      </c>
    </row>
    <row r="448" spans="7:8" x14ac:dyDescent="0.3">
      <c r="G448" s="173">
        <f t="shared" si="20"/>
        <v>56287.74570044037</v>
      </c>
      <c r="H448" s="175">
        <f t="shared" si="21"/>
        <v>56287.74570044037</v>
      </c>
    </row>
    <row r="449" spans="7:8" x14ac:dyDescent="0.3">
      <c r="G449" s="173">
        <f t="shared" si="20"/>
        <v>56317.276294572315</v>
      </c>
      <c r="H449" s="175">
        <f t="shared" si="21"/>
        <v>56317.276294572315</v>
      </c>
    </row>
    <row r="450" spans="7:8" x14ac:dyDescent="0.3">
      <c r="G450" s="173">
        <f t="shared" si="20"/>
        <v>56346.806888704261</v>
      </c>
      <c r="H450" s="175">
        <f t="shared" si="21"/>
        <v>56346.806888704261</v>
      </c>
    </row>
    <row r="451" spans="7:8" x14ac:dyDescent="0.3">
      <c r="G451" s="173">
        <f t="shared" si="20"/>
        <v>56376.337482836207</v>
      </c>
      <c r="H451" s="175">
        <f t="shared" si="21"/>
        <v>56376.337482836207</v>
      </c>
    </row>
    <row r="452" spans="7:8" x14ac:dyDescent="0.3">
      <c r="G452" s="173">
        <f t="shared" ref="G452:G515" si="22">G451+$E$1</f>
        <v>56405.868076968152</v>
      </c>
      <c r="H452" s="175">
        <f t="shared" si="21"/>
        <v>56405.868076968152</v>
      </c>
    </row>
    <row r="453" spans="7:8" x14ac:dyDescent="0.3">
      <c r="G453" s="173">
        <f t="shared" si="22"/>
        <v>56435.398671100098</v>
      </c>
      <c r="H453" s="175">
        <f t="shared" si="21"/>
        <v>56435.398671100098</v>
      </c>
    </row>
    <row r="454" spans="7:8" x14ac:dyDescent="0.3">
      <c r="G454" s="173">
        <f t="shared" si="22"/>
        <v>56464.929265232044</v>
      </c>
      <c r="H454" s="175">
        <f t="shared" si="21"/>
        <v>56464.929265232044</v>
      </c>
    </row>
    <row r="455" spans="7:8" x14ac:dyDescent="0.3">
      <c r="G455" s="173">
        <f t="shared" si="22"/>
        <v>56494.459859363989</v>
      </c>
      <c r="H455" s="175">
        <f t="shared" si="21"/>
        <v>56494.459859363989</v>
      </c>
    </row>
    <row r="456" spans="7:8" x14ac:dyDescent="0.3">
      <c r="G456" s="173">
        <f t="shared" si="22"/>
        <v>56523.990453495935</v>
      </c>
      <c r="H456" s="175">
        <f t="shared" si="21"/>
        <v>56523.990453495935</v>
      </c>
    </row>
    <row r="457" spans="7:8" x14ac:dyDescent="0.3">
      <c r="G457" s="173">
        <f t="shared" si="22"/>
        <v>56553.521047627881</v>
      </c>
      <c r="H457" s="175">
        <f t="shared" si="21"/>
        <v>56553.521047627881</v>
      </c>
    </row>
    <row r="458" spans="7:8" x14ac:dyDescent="0.3">
      <c r="G458" s="173">
        <f t="shared" si="22"/>
        <v>56583.051641759826</v>
      </c>
      <c r="H458" s="175">
        <f t="shared" si="21"/>
        <v>56583.051641759826</v>
      </c>
    </row>
    <row r="459" spans="7:8" x14ac:dyDescent="0.3">
      <c r="G459" s="173">
        <f t="shared" si="22"/>
        <v>56612.582235891772</v>
      </c>
      <c r="H459" s="175">
        <f t="shared" si="21"/>
        <v>56612.582235891772</v>
      </c>
    </row>
    <row r="460" spans="7:8" x14ac:dyDescent="0.3">
      <c r="G460" s="173">
        <f t="shared" si="22"/>
        <v>56642.112830023718</v>
      </c>
      <c r="H460" s="175">
        <f t="shared" si="21"/>
        <v>56642.112830023718</v>
      </c>
    </row>
    <row r="461" spans="7:8" x14ac:dyDescent="0.3">
      <c r="G461" s="173">
        <f t="shared" si="22"/>
        <v>56671.643424155664</v>
      </c>
      <c r="H461" s="175">
        <f t="shared" ref="H461:H524" si="23">G461</f>
        <v>56671.643424155664</v>
      </c>
    </row>
    <row r="462" spans="7:8" x14ac:dyDescent="0.3">
      <c r="G462" s="173">
        <f t="shared" si="22"/>
        <v>56701.174018287609</v>
      </c>
      <c r="H462" s="175">
        <f t="shared" si="23"/>
        <v>56701.174018287609</v>
      </c>
    </row>
    <row r="463" spans="7:8" x14ac:dyDescent="0.3">
      <c r="G463" s="173">
        <f t="shared" si="22"/>
        <v>56730.704612419555</v>
      </c>
      <c r="H463" s="175">
        <f t="shared" si="23"/>
        <v>56730.704612419555</v>
      </c>
    </row>
    <row r="464" spans="7:8" x14ac:dyDescent="0.3">
      <c r="G464" s="173">
        <f t="shared" si="22"/>
        <v>56760.235206551501</v>
      </c>
      <c r="H464" s="175">
        <f t="shared" si="23"/>
        <v>56760.235206551501</v>
      </c>
    </row>
    <row r="465" spans="7:8" x14ac:dyDescent="0.3">
      <c r="G465" s="173">
        <f t="shared" si="22"/>
        <v>56789.765800683446</v>
      </c>
      <c r="H465" s="175">
        <f t="shared" si="23"/>
        <v>56789.765800683446</v>
      </c>
    </row>
    <row r="466" spans="7:8" x14ac:dyDescent="0.3">
      <c r="G466" s="173">
        <f t="shared" si="22"/>
        <v>56819.296394815392</v>
      </c>
      <c r="H466" s="175">
        <f t="shared" si="23"/>
        <v>56819.296394815392</v>
      </c>
    </row>
    <row r="467" spans="7:8" x14ac:dyDescent="0.3">
      <c r="G467" s="173">
        <f t="shared" si="22"/>
        <v>56848.826988947338</v>
      </c>
      <c r="H467" s="175">
        <f t="shared" si="23"/>
        <v>56848.826988947338</v>
      </c>
    </row>
    <row r="468" spans="7:8" x14ac:dyDescent="0.3">
      <c r="G468" s="173">
        <f t="shared" si="22"/>
        <v>56878.357583079283</v>
      </c>
      <c r="H468" s="175">
        <f t="shared" si="23"/>
        <v>56878.357583079283</v>
      </c>
    </row>
    <row r="469" spans="7:8" x14ac:dyDescent="0.3">
      <c r="G469" s="173">
        <f t="shared" si="22"/>
        <v>56907.888177211229</v>
      </c>
      <c r="H469" s="175">
        <f t="shared" si="23"/>
        <v>56907.888177211229</v>
      </c>
    </row>
    <row r="470" spans="7:8" x14ac:dyDescent="0.3">
      <c r="G470" s="173">
        <f t="shared" si="22"/>
        <v>56937.418771343175</v>
      </c>
      <c r="H470" s="175">
        <f t="shared" si="23"/>
        <v>56937.418771343175</v>
      </c>
    </row>
    <row r="471" spans="7:8" x14ac:dyDescent="0.3">
      <c r="G471" s="173">
        <f t="shared" si="22"/>
        <v>56966.94936547512</v>
      </c>
      <c r="H471" s="175">
        <f t="shared" si="23"/>
        <v>56966.94936547512</v>
      </c>
    </row>
    <row r="472" spans="7:8" x14ac:dyDescent="0.3">
      <c r="G472" s="173">
        <f t="shared" si="22"/>
        <v>56996.479959607066</v>
      </c>
      <c r="H472" s="175">
        <f t="shared" si="23"/>
        <v>56996.479959607066</v>
      </c>
    </row>
    <row r="473" spans="7:8" x14ac:dyDescent="0.3">
      <c r="G473" s="173">
        <f t="shared" si="22"/>
        <v>57026.010553739012</v>
      </c>
      <c r="H473" s="175">
        <f t="shared" si="23"/>
        <v>57026.010553739012</v>
      </c>
    </row>
    <row r="474" spans="7:8" x14ac:dyDescent="0.3">
      <c r="G474" s="173">
        <f t="shared" si="22"/>
        <v>57055.541147870958</v>
      </c>
      <c r="H474" s="175">
        <f t="shared" si="23"/>
        <v>57055.541147870958</v>
      </c>
    </row>
    <row r="475" spans="7:8" x14ac:dyDescent="0.3">
      <c r="G475" s="173">
        <f t="shared" si="22"/>
        <v>57085.071742002903</v>
      </c>
      <c r="H475" s="175">
        <f t="shared" si="23"/>
        <v>57085.071742002903</v>
      </c>
    </row>
    <row r="476" spans="7:8" x14ac:dyDescent="0.3">
      <c r="G476" s="173">
        <f t="shared" si="22"/>
        <v>57114.602336134849</v>
      </c>
      <c r="H476" s="175">
        <f t="shared" si="23"/>
        <v>57114.602336134849</v>
      </c>
    </row>
    <row r="477" spans="7:8" x14ac:dyDescent="0.3">
      <c r="G477" s="173">
        <f t="shared" si="22"/>
        <v>57144.132930266795</v>
      </c>
      <c r="H477" s="175">
        <f t="shared" si="23"/>
        <v>57144.132930266795</v>
      </c>
    </row>
    <row r="478" spans="7:8" x14ac:dyDescent="0.3">
      <c r="G478" s="173">
        <f t="shared" si="22"/>
        <v>57173.66352439874</v>
      </c>
      <c r="H478" s="175">
        <f t="shared" si="23"/>
        <v>57173.66352439874</v>
      </c>
    </row>
    <row r="479" spans="7:8" x14ac:dyDescent="0.3">
      <c r="G479" s="173">
        <f t="shared" si="22"/>
        <v>57203.194118530686</v>
      </c>
      <c r="H479" s="175">
        <f t="shared" si="23"/>
        <v>57203.194118530686</v>
      </c>
    </row>
    <row r="480" spans="7:8" x14ac:dyDescent="0.3">
      <c r="G480" s="173">
        <f t="shared" si="22"/>
        <v>57232.724712662632</v>
      </c>
      <c r="H480" s="175">
        <f t="shared" si="23"/>
        <v>57232.724712662632</v>
      </c>
    </row>
    <row r="481" spans="7:8" x14ac:dyDescent="0.3">
      <c r="G481" s="173">
        <f t="shared" si="22"/>
        <v>57262.255306794577</v>
      </c>
      <c r="H481" s="175">
        <f t="shared" si="23"/>
        <v>57262.255306794577</v>
      </c>
    </row>
    <row r="482" spans="7:8" x14ac:dyDescent="0.3">
      <c r="G482" s="173">
        <f t="shared" si="22"/>
        <v>57291.785900926523</v>
      </c>
      <c r="H482" s="175">
        <f t="shared" si="23"/>
        <v>57291.785900926523</v>
      </c>
    </row>
    <row r="483" spans="7:8" x14ac:dyDescent="0.3">
      <c r="G483" s="173">
        <f t="shared" si="22"/>
        <v>57321.316495058469</v>
      </c>
      <c r="H483" s="175">
        <f t="shared" si="23"/>
        <v>57321.316495058469</v>
      </c>
    </row>
    <row r="484" spans="7:8" x14ac:dyDescent="0.3">
      <c r="G484" s="173">
        <f t="shared" si="22"/>
        <v>57350.847089190414</v>
      </c>
      <c r="H484" s="175">
        <f t="shared" si="23"/>
        <v>57350.847089190414</v>
      </c>
    </row>
    <row r="485" spans="7:8" x14ac:dyDescent="0.3">
      <c r="G485" s="173">
        <f t="shared" si="22"/>
        <v>57380.37768332236</v>
      </c>
      <c r="H485" s="175">
        <f t="shared" si="23"/>
        <v>57380.37768332236</v>
      </c>
    </row>
    <row r="486" spans="7:8" x14ac:dyDescent="0.3">
      <c r="G486" s="173">
        <f t="shared" si="22"/>
        <v>57409.908277454306</v>
      </c>
      <c r="H486" s="175">
        <f t="shared" si="23"/>
        <v>57409.908277454306</v>
      </c>
    </row>
    <row r="487" spans="7:8" x14ac:dyDescent="0.3">
      <c r="G487" s="173">
        <f t="shared" si="22"/>
        <v>57439.438871586251</v>
      </c>
      <c r="H487" s="175">
        <f t="shared" si="23"/>
        <v>57439.438871586251</v>
      </c>
    </row>
    <row r="488" spans="7:8" x14ac:dyDescent="0.3">
      <c r="G488" s="173">
        <f t="shared" si="22"/>
        <v>57468.969465718197</v>
      </c>
      <c r="H488" s="175">
        <f t="shared" si="23"/>
        <v>57468.969465718197</v>
      </c>
    </row>
    <row r="489" spans="7:8" x14ac:dyDescent="0.3">
      <c r="G489" s="173">
        <f t="shared" si="22"/>
        <v>57498.500059850143</v>
      </c>
      <c r="H489" s="175">
        <f t="shared" si="23"/>
        <v>57498.500059850143</v>
      </c>
    </row>
    <row r="490" spans="7:8" x14ac:dyDescent="0.3">
      <c r="G490" s="173">
        <f t="shared" si="22"/>
        <v>57528.030653982089</v>
      </c>
      <c r="H490" s="175">
        <f t="shared" si="23"/>
        <v>57528.030653982089</v>
      </c>
    </row>
    <row r="491" spans="7:8" x14ac:dyDescent="0.3">
      <c r="G491" s="173">
        <f t="shared" si="22"/>
        <v>57557.561248114034</v>
      </c>
      <c r="H491" s="175">
        <f t="shared" si="23"/>
        <v>57557.561248114034</v>
      </c>
    </row>
    <row r="492" spans="7:8" x14ac:dyDescent="0.3">
      <c r="G492" s="173">
        <f t="shared" si="22"/>
        <v>57587.09184224598</v>
      </c>
      <c r="H492" s="175">
        <f t="shared" si="23"/>
        <v>57587.09184224598</v>
      </c>
    </row>
    <row r="493" spans="7:8" x14ac:dyDescent="0.3">
      <c r="G493" s="173">
        <f t="shared" si="22"/>
        <v>57616.622436377926</v>
      </c>
      <c r="H493" s="175">
        <f t="shared" si="23"/>
        <v>57616.622436377926</v>
      </c>
    </row>
    <row r="494" spans="7:8" x14ac:dyDescent="0.3">
      <c r="G494" s="173">
        <f t="shared" si="22"/>
        <v>57646.153030509871</v>
      </c>
      <c r="H494" s="175">
        <f t="shared" si="23"/>
        <v>57646.153030509871</v>
      </c>
    </row>
    <row r="495" spans="7:8" x14ac:dyDescent="0.3">
      <c r="G495" s="173">
        <f t="shared" si="22"/>
        <v>57675.683624641817</v>
      </c>
      <c r="H495" s="175">
        <f t="shared" si="23"/>
        <v>57675.683624641817</v>
      </c>
    </row>
    <row r="496" spans="7:8" x14ac:dyDescent="0.3">
      <c r="G496" s="173">
        <f t="shared" si="22"/>
        <v>57705.214218773763</v>
      </c>
      <c r="H496" s="175">
        <f t="shared" si="23"/>
        <v>57705.214218773763</v>
      </c>
    </row>
    <row r="497" spans="7:8" x14ac:dyDescent="0.3">
      <c r="G497" s="173">
        <f t="shared" si="22"/>
        <v>57734.744812905708</v>
      </c>
      <c r="H497" s="175">
        <f t="shared" si="23"/>
        <v>57734.744812905708</v>
      </c>
    </row>
    <row r="498" spans="7:8" x14ac:dyDescent="0.3">
      <c r="G498" s="173">
        <f t="shared" si="22"/>
        <v>57764.275407037654</v>
      </c>
      <c r="H498" s="175">
        <f t="shared" si="23"/>
        <v>57764.275407037654</v>
      </c>
    </row>
    <row r="499" spans="7:8" x14ac:dyDescent="0.3">
      <c r="G499" s="173">
        <f t="shared" si="22"/>
        <v>57793.8060011696</v>
      </c>
      <c r="H499" s="175">
        <f t="shared" si="23"/>
        <v>57793.8060011696</v>
      </c>
    </row>
    <row r="500" spans="7:8" x14ac:dyDescent="0.3">
      <c r="G500" s="173">
        <f t="shared" si="22"/>
        <v>57823.336595301545</v>
      </c>
      <c r="H500" s="175">
        <f t="shared" si="23"/>
        <v>57823.336595301545</v>
      </c>
    </row>
    <row r="501" spans="7:8" x14ac:dyDescent="0.3">
      <c r="G501" s="173">
        <f t="shared" si="22"/>
        <v>57852.867189433491</v>
      </c>
      <c r="H501" s="175">
        <f t="shared" si="23"/>
        <v>57852.867189433491</v>
      </c>
    </row>
    <row r="502" spans="7:8" x14ac:dyDescent="0.3">
      <c r="G502" s="173">
        <f t="shared" si="22"/>
        <v>57882.397783565437</v>
      </c>
      <c r="H502" s="175">
        <f t="shared" si="23"/>
        <v>57882.397783565437</v>
      </c>
    </row>
    <row r="503" spans="7:8" x14ac:dyDescent="0.3">
      <c r="G503" s="173">
        <f t="shared" si="22"/>
        <v>57911.928377697383</v>
      </c>
      <c r="H503" s="175">
        <f t="shared" si="23"/>
        <v>57911.928377697383</v>
      </c>
    </row>
    <row r="504" spans="7:8" x14ac:dyDescent="0.3">
      <c r="G504" s="173">
        <f t="shared" si="22"/>
        <v>57941.458971829328</v>
      </c>
      <c r="H504" s="175">
        <f t="shared" si="23"/>
        <v>57941.458971829328</v>
      </c>
    </row>
    <row r="505" spans="7:8" x14ac:dyDescent="0.3">
      <c r="G505" s="173">
        <f t="shared" si="22"/>
        <v>57970.989565961274</v>
      </c>
      <c r="H505" s="175">
        <f t="shared" si="23"/>
        <v>57970.989565961274</v>
      </c>
    </row>
    <row r="506" spans="7:8" x14ac:dyDescent="0.3">
      <c r="G506" s="173">
        <f t="shared" si="22"/>
        <v>58000.52016009322</v>
      </c>
      <c r="H506" s="175">
        <f t="shared" si="23"/>
        <v>58000.52016009322</v>
      </c>
    </row>
    <row r="507" spans="7:8" x14ac:dyDescent="0.3">
      <c r="G507" s="173">
        <f t="shared" si="22"/>
        <v>58030.050754225165</v>
      </c>
      <c r="H507" s="175">
        <f t="shared" si="23"/>
        <v>58030.050754225165</v>
      </c>
    </row>
    <row r="508" spans="7:8" x14ac:dyDescent="0.3">
      <c r="G508" s="173">
        <f t="shared" si="22"/>
        <v>58059.581348357111</v>
      </c>
      <c r="H508" s="175">
        <f t="shared" si="23"/>
        <v>58059.581348357111</v>
      </c>
    </row>
    <row r="509" spans="7:8" x14ac:dyDescent="0.3">
      <c r="G509" s="173">
        <f t="shared" si="22"/>
        <v>58089.111942489057</v>
      </c>
      <c r="H509" s="175">
        <f t="shared" si="23"/>
        <v>58089.111942489057</v>
      </c>
    </row>
    <row r="510" spans="7:8" x14ac:dyDescent="0.3">
      <c r="G510" s="173">
        <f t="shared" si="22"/>
        <v>58118.642536621002</v>
      </c>
      <c r="H510" s="175">
        <f t="shared" si="23"/>
        <v>58118.642536621002</v>
      </c>
    </row>
    <row r="511" spans="7:8" x14ac:dyDescent="0.3">
      <c r="G511" s="173">
        <f t="shared" si="22"/>
        <v>58148.173130752948</v>
      </c>
      <c r="H511" s="175">
        <f t="shared" si="23"/>
        <v>58148.173130752948</v>
      </c>
    </row>
    <row r="512" spans="7:8" x14ac:dyDescent="0.3">
      <c r="G512" s="173">
        <f t="shared" si="22"/>
        <v>58177.703724884894</v>
      </c>
      <c r="H512" s="175">
        <f t="shared" si="23"/>
        <v>58177.703724884894</v>
      </c>
    </row>
    <row r="513" spans="7:8" x14ac:dyDescent="0.3">
      <c r="G513" s="173">
        <f t="shared" si="22"/>
        <v>58207.234319016839</v>
      </c>
      <c r="H513" s="175">
        <f t="shared" si="23"/>
        <v>58207.234319016839</v>
      </c>
    </row>
    <row r="514" spans="7:8" x14ac:dyDescent="0.3">
      <c r="G514" s="173">
        <f t="shared" si="22"/>
        <v>58236.764913148785</v>
      </c>
      <c r="H514" s="175">
        <f t="shared" si="23"/>
        <v>58236.764913148785</v>
      </c>
    </row>
    <row r="515" spans="7:8" x14ac:dyDescent="0.3">
      <c r="G515" s="173">
        <f t="shared" si="22"/>
        <v>58266.295507280731</v>
      </c>
      <c r="H515" s="175">
        <f t="shared" si="23"/>
        <v>58266.295507280731</v>
      </c>
    </row>
    <row r="516" spans="7:8" x14ac:dyDescent="0.3">
      <c r="G516" s="173">
        <f t="shared" ref="G516:G579" si="24">G515+$E$1</f>
        <v>58295.826101412677</v>
      </c>
      <c r="H516" s="175">
        <f t="shared" si="23"/>
        <v>58295.826101412677</v>
      </c>
    </row>
    <row r="517" spans="7:8" x14ac:dyDescent="0.3">
      <c r="G517" s="173">
        <f t="shared" si="24"/>
        <v>58325.356695544622</v>
      </c>
      <c r="H517" s="175">
        <f t="shared" si="23"/>
        <v>58325.356695544622</v>
      </c>
    </row>
    <row r="518" spans="7:8" x14ac:dyDescent="0.3">
      <c r="G518" s="173">
        <f t="shared" si="24"/>
        <v>58354.887289676568</v>
      </c>
      <c r="H518" s="175">
        <f t="shared" si="23"/>
        <v>58354.887289676568</v>
      </c>
    </row>
    <row r="519" spans="7:8" x14ac:dyDescent="0.3">
      <c r="G519" s="173">
        <f t="shared" si="24"/>
        <v>58384.417883808514</v>
      </c>
      <c r="H519" s="175">
        <f t="shared" si="23"/>
        <v>58384.417883808514</v>
      </c>
    </row>
    <row r="520" spans="7:8" x14ac:dyDescent="0.3">
      <c r="G520" s="173">
        <f t="shared" si="24"/>
        <v>58413.948477940459</v>
      </c>
      <c r="H520" s="175">
        <f t="shared" si="23"/>
        <v>58413.948477940459</v>
      </c>
    </row>
    <row r="521" spans="7:8" x14ac:dyDescent="0.3">
      <c r="G521" s="173">
        <f t="shared" si="24"/>
        <v>58443.479072072405</v>
      </c>
      <c r="H521" s="175">
        <f t="shared" si="23"/>
        <v>58443.479072072405</v>
      </c>
    </row>
    <row r="522" spans="7:8" x14ac:dyDescent="0.3">
      <c r="G522" s="173">
        <f t="shared" si="24"/>
        <v>58473.009666204351</v>
      </c>
      <c r="H522" s="175">
        <f t="shared" si="23"/>
        <v>58473.009666204351</v>
      </c>
    </row>
    <row r="523" spans="7:8" x14ac:dyDescent="0.3">
      <c r="G523" s="173">
        <f t="shared" si="24"/>
        <v>58502.540260336296</v>
      </c>
      <c r="H523" s="175">
        <f t="shared" si="23"/>
        <v>58502.540260336296</v>
      </c>
    </row>
    <row r="524" spans="7:8" x14ac:dyDescent="0.3">
      <c r="G524" s="173">
        <f t="shared" si="24"/>
        <v>58532.070854468242</v>
      </c>
      <c r="H524" s="175">
        <f t="shared" si="23"/>
        <v>58532.070854468242</v>
      </c>
    </row>
    <row r="525" spans="7:8" x14ac:dyDescent="0.3">
      <c r="G525" s="173">
        <f t="shared" si="24"/>
        <v>58561.601448600188</v>
      </c>
      <c r="H525" s="175">
        <f t="shared" ref="H525:H588" si="25">G525</f>
        <v>58561.601448600188</v>
      </c>
    </row>
    <row r="526" spans="7:8" x14ac:dyDescent="0.3">
      <c r="G526" s="173">
        <f t="shared" si="24"/>
        <v>58591.132042732133</v>
      </c>
      <c r="H526" s="175">
        <f t="shared" si="25"/>
        <v>58591.132042732133</v>
      </c>
    </row>
    <row r="527" spans="7:8" x14ac:dyDescent="0.3">
      <c r="G527" s="173">
        <f t="shared" si="24"/>
        <v>58620.662636864079</v>
      </c>
      <c r="H527" s="175">
        <f t="shared" si="25"/>
        <v>58620.662636864079</v>
      </c>
    </row>
    <row r="528" spans="7:8" x14ac:dyDescent="0.3">
      <c r="G528" s="173">
        <f t="shared" si="24"/>
        <v>58650.193230996025</v>
      </c>
      <c r="H528" s="175">
        <f t="shared" si="25"/>
        <v>58650.193230996025</v>
      </c>
    </row>
    <row r="529" spans="7:8" x14ac:dyDescent="0.3">
      <c r="G529" s="173">
        <f t="shared" si="24"/>
        <v>58679.72382512797</v>
      </c>
      <c r="H529" s="175">
        <f t="shared" si="25"/>
        <v>58679.72382512797</v>
      </c>
    </row>
    <row r="530" spans="7:8" x14ac:dyDescent="0.3">
      <c r="G530" s="173">
        <f t="shared" si="24"/>
        <v>58709.254419259916</v>
      </c>
      <c r="H530" s="175">
        <f t="shared" si="25"/>
        <v>58709.254419259916</v>
      </c>
    </row>
    <row r="531" spans="7:8" x14ac:dyDescent="0.3">
      <c r="G531" s="173">
        <f t="shared" si="24"/>
        <v>58738.785013391862</v>
      </c>
      <c r="H531" s="175">
        <f t="shared" si="25"/>
        <v>58738.785013391862</v>
      </c>
    </row>
    <row r="532" spans="7:8" x14ac:dyDescent="0.3">
      <c r="G532" s="173">
        <f t="shared" si="24"/>
        <v>58768.315607523808</v>
      </c>
      <c r="H532" s="175">
        <f t="shared" si="25"/>
        <v>58768.315607523808</v>
      </c>
    </row>
    <row r="533" spans="7:8" x14ac:dyDescent="0.3">
      <c r="G533" s="173">
        <f t="shared" si="24"/>
        <v>58797.846201655753</v>
      </c>
      <c r="H533" s="175">
        <f t="shared" si="25"/>
        <v>58797.846201655753</v>
      </c>
    </row>
    <row r="534" spans="7:8" x14ac:dyDescent="0.3">
      <c r="G534" s="173">
        <f t="shared" si="24"/>
        <v>58827.376795787699</v>
      </c>
      <c r="H534" s="175">
        <f t="shared" si="25"/>
        <v>58827.376795787699</v>
      </c>
    </row>
    <row r="535" spans="7:8" x14ac:dyDescent="0.3">
      <c r="G535" s="173">
        <f t="shared" si="24"/>
        <v>58856.907389919645</v>
      </c>
      <c r="H535" s="175">
        <f t="shared" si="25"/>
        <v>58856.907389919645</v>
      </c>
    </row>
    <row r="536" spans="7:8" x14ac:dyDescent="0.3">
      <c r="G536" s="173">
        <f t="shared" si="24"/>
        <v>58886.43798405159</v>
      </c>
      <c r="H536" s="175">
        <f t="shared" si="25"/>
        <v>58886.43798405159</v>
      </c>
    </row>
    <row r="537" spans="7:8" x14ac:dyDescent="0.3">
      <c r="G537" s="173">
        <f t="shared" si="24"/>
        <v>58915.968578183536</v>
      </c>
      <c r="H537" s="175">
        <f t="shared" si="25"/>
        <v>58915.968578183536</v>
      </c>
    </row>
    <row r="538" spans="7:8" x14ac:dyDescent="0.3">
      <c r="G538" s="173">
        <f t="shared" si="24"/>
        <v>58945.499172315482</v>
      </c>
      <c r="H538" s="175">
        <f t="shared" si="25"/>
        <v>58945.499172315482</v>
      </c>
    </row>
    <row r="539" spans="7:8" x14ac:dyDescent="0.3">
      <c r="G539" s="173">
        <f t="shared" si="24"/>
        <v>58975.029766447427</v>
      </c>
      <c r="H539" s="175">
        <f t="shared" si="25"/>
        <v>58975.029766447427</v>
      </c>
    </row>
    <row r="540" spans="7:8" x14ac:dyDescent="0.3">
      <c r="G540" s="173">
        <f t="shared" si="24"/>
        <v>59004.560360579373</v>
      </c>
      <c r="H540" s="175">
        <f t="shared" si="25"/>
        <v>59004.560360579373</v>
      </c>
    </row>
    <row r="541" spans="7:8" x14ac:dyDescent="0.3">
      <c r="G541" s="173">
        <f t="shared" si="24"/>
        <v>59034.090954711319</v>
      </c>
      <c r="H541" s="175">
        <f t="shared" si="25"/>
        <v>59034.090954711319</v>
      </c>
    </row>
    <row r="542" spans="7:8" x14ac:dyDescent="0.3">
      <c r="G542" s="173">
        <f t="shared" si="24"/>
        <v>59063.621548843264</v>
      </c>
      <c r="H542" s="175">
        <f t="shared" si="25"/>
        <v>59063.621548843264</v>
      </c>
    </row>
    <row r="543" spans="7:8" x14ac:dyDescent="0.3">
      <c r="G543" s="173">
        <f t="shared" si="24"/>
        <v>59093.15214297521</v>
      </c>
      <c r="H543" s="175">
        <f t="shared" si="25"/>
        <v>59093.15214297521</v>
      </c>
    </row>
    <row r="544" spans="7:8" x14ac:dyDescent="0.3">
      <c r="G544" s="173">
        <f t="shared" si="24"/>
        <v>59122.682737107156</v>
      </c>
      <c r="H544" s="175">
        <f t="shared" si="25"/>
        <v>59122.682737107156</v>
      </c>
    </row>
    <row r="545" spans="7:8" x14ac:dyDescent="0.3">
      <c r="G545" s="173">
        <f t="shared" si="24"/>
        <v>59152.213331239102</v>
      </c>
      <c r="H545" s="175">
        <f t="shared" si="25"/>
        <v>59152.213331239102</v>
      </c>
    </row>
    <row r="546" spans="7:8" x14ac:dyDescent="0.3">
      <c r="G546" s="173">
        <f t="shared" si="24"/>
        <v>59181.743925371047</v>
      </c>
      <c r="H546" s="175">
        <f t="shared" si="25"/>
        <v>59181.743925371047</v>
      </c>
    </row>
    <row r="547" spans="7:8" x14ac:dyDescent="0.3">
      <c r="G547" s="173">
        <f t="shared" si="24"/>
        <v>59211.274519502993</v>
      </c>
      <c r="H547" s="175">
        <f t="shared" si="25"/>
        <v>59211.274519502993</v>
      </c>
    </row>
    <row r="548" spans="7:8" x14ac:dyDescent="0.3">
      <c r="G548" s="173">
        <f t="shared" si="24"/>
        <v>59240.805113634939</v>
      </c>
      <c r="H548" s="175">
        <f t="shared" si="25"/>
        <v>59240.805113634939</v>
      </c>
    </row>
    <row r="549" spans="7:8" x14ac:dyDescent="0.3">
      <c r="G549" s="173">
        <f t="shared" si="24"/>
        <v>59270.335707766884</v>
      </c>
      <c r="H549" s="175">
        <f t="shared" si="25"/>
        <v>59270.335707766884</v>
      </c>
    </row>
    <row r="550" spans="7:8" x14ac:dyDescent="0.3">
      <c r="G550" s="173">
        <f t="shared" si="24"/>
        <v>59299.86630189883</v>
      </c>
      <c r="H550" s="175">
        <f t="shared" si="25"/>
        <v>59299.86630189883</v>
      </c>
    </row>
    <row r="551" spans="7:8" x14ac:dyDescent="0.3">
      <c r="G551" s="173">
        <f t="shared" si="24"/>
        <v>59329.396896030776</v>
      </c>
      <c r="H551" s="175">
        <f t="shared" si="25"/>
        <v>59329.396896030776</v>
      </c>
    </row>
    <row r="552" spans="7:8" x14ac:dyDescent="0.3">
      <c r="G552" s="173">
        <f t="shared" si="24"/>
        <v>59358.927490162721</v>
      </c>
      <c r="H552" s="175">
        <f t="shared" si="25"/>
        <v>59358.927490162721</v>
      </c>
    </row>
    <row r="553" spans="7:8" x14ac:dyDescent="0.3">
      <c r="G553" s="173">
        <f t="shared" si="24"/>
        <v>59388.458084294667</v>
      </c>
      <c r="H553" s="175">
        <f t="shared" si="25"/>
        <v>59388.458084294667</v>
      </c>
    </row>
    <row r="554" spans="7:8" x14ac:dyDescent="0.3">
      <c r="G554" s="173">
        <f t="shared" si="24"/>
        <v>59417.988678426613</v>
      </c>
      <c r="H554" s="175">
        <f t="shared" si="25"/>
        <v>59417.988678426613</v>
      </c>
    </row>
    <row r="555" spans="7:8" x14ac:dyDescent="0.3">
      <c r="G555" s="173">
        <f t="shared" si="24"/>
        <v>59447.519272558558</v>
      </c>
      <c r="H555" s="175">
        <f t="shared" si="25"/>
        <v>59447.519272558558</v>
      </c>
    </row>
    <row r="556" spans="7:8" x14ac:dyDescent="0.3">
      <c r="G556" s="173">
        <f t="shared" si="24"/>
        <v>59477.049866690504</v>
      </c>
      <c r="H556" s="175">
        <f t="shared" si="25"/>
        <v>59477.049866690504</v>
      </c>
    </row>
    <row r="557" spans="7:8" x14ac:dyDescent="0.3">
      <c r="G557" s="173">
        <f t="shared" si="24"/>
        <v>59506.58046082245</v>
      </c>
      <c r="H557" s="175">
        <f t="shared" si="25"/>
        <v>59506.58046082245</v>
      </c>
    </row>
    <row r="558" spans="7:8" x14ac:dyDescent="0.3">
      <c r="G558" s="173">
        <f t="shared" si="24"/>
        <v>59536.111054954396</v>
      </c>
      <c r="H558" s="175">
        <f t="shared" si="25"/>
        <v>59536.111054954396</v>
      </c>
    </row>
    <row r="559" spans="7:8" x14ac:dyDescent="0.3">
      <c r="G559" s="173">
        <f t="shared" si="24"/>
        <v>59565.641649086341</v>
      </c>
      <c r="H559" s="175">
        <f t="shared" si="25"/>
        <v>59565.641649086341</v>
      </c>
    </row>
    <row r="560" spans="7:8" x14ac:dyDescent="0.3">
      <c r="G560" s="173">
        <f t="shared" si="24"/>
        <v>59595.172243218287</v>
      </c>
      <c r="H560" s="175">
        <f t="shared" si="25"/>
        <v>59595.172243218287</v>
      </c>
    </row>
    <row r="561" spans="7:8" x14ac:dyDescent="0.3">
      <c r="G561" s="173">
        <f t="shared" si="24"/>
        <v>59624.702837350233</v>
      </c>
      <c r="H561" s="175">
        <f t="shared" si="25"/>
        <v>59624.702837350233</v>
      </c>
    </row>
    <row r="562" spans="7:8" x14ac:dyDescent="0.3">
      <c r="G562" s="173">
        <f t="shared" si="24"/>
        <v>59654.233431482178</v>
      </c>
      <c r="H562" s="175">
        <f t="shared" si="25"/>
        <v>59654.233431482178</v>
      </c>
    </row>
    <row r="563" spans="7:8" x14ac:dyDescent="0.3">
      <c r="G563" s="173">
        <f t="shared" si="24"/>
        <v>59683.764025614124</v>
      </c>
      <c r="H563" s="175">
        <f t="shared" si="25"/>
        <v>59683.764025614124</v>
      </c>
    </row>
    <row r="564" spans="7:8" x14ac:dyDescent="0.3">
      <c r="G564" s="173">
        <f t="shared" si="24"/>
        <v>59713.29461974607</v>
      </c>
      <c r="H564" s="175">
        <f t="shared" si="25"/>
        <v>59713.29461974607</v>
      </c>
    </row>
    <row r="565" spans="7:8" x14ac:dyDescent="0.3">
      <c r="G565" s="173">
        <f t="shared" si="24"/>
        <v>59742.825213878015</v>
      </c>
      <c r="H565" s="175">
        <f t="shared" si="25"/>
        <v>59742.825213878015</v>
      </c>
    </row>
    <row r="566" spans="7:8" x14ac:dyDescent="0.3">
      <c r="G566" s="173">
        <f t="shared" si="24"/>
        <v>59772.355808009961</v>
      </c>
      <c r="H566" s="175">
        <f t="shared" si="25"/>
        <v>59772.355808009961</v>
      </c>
    </row>
    <row r="567" spans="7:8" x14ac:dyDescent="0.3">
      <c r="G567" s="173">
        <f t="shared" si="24"/>
        <v>59801.886402141907</v>
      </c>
      <c r="H567" s="175">
        <f t="shared" si="25"/>
        <v>59801.886402141907</v>
      </c>
    </row>
    <row r="568" spans="7:8" x14ac:dyDescent="0.3">
      <c r="G568" s="173">
        <f t="shared" si="24"/>
        <v>59831.416996273852</v>
      </c>
      <c r="H568" s="175">
        <f t="shared" si="25"/>
        <v>59831.416996273852</v>
      </c>
    </row>
    <row r="569" spans="7:8" x14ac:dyDescent="0.3">
      <c r="G569" s="173">
        <f t="shared" si="24"/>
        <v>59860.947590405798</v>
      </c>
      <c r="H569" s="175">
        <f t="shared" si="25"/>
        <v>59860.947590405798</v>
      </c>
    </row>
    <row r="570" spans="7:8" x14ac:dyDescent="0.3">
      <c r="G570" s="173">
        <f t="shared" si="24"/>
        <v>59890.478184537744</v>
      </c>
      <c r="H570" s="175">
        <f t="shared" si="25"/>
        <v>59890.478184537744</v>
      </c>
    </row>
    <row r="571" spans="7:8" x14ac:dyDescent="0.3">
      <c r="G571" s="173">
        <f t="shared" si="24"/>
        <v>59920.008778669689</v>
      </c>
      <c r="H571" s="175">
        <f t="shared" si="25"/>
        <v>59920.008778669689</v>
      </c>
    </row>
    <row r="572" spans="7:8" x14ac:dyDescent="0.3">
      <c r="G572" s="173">
        <f t="shared" si="24"/>
        <v>59949.539372801635</v>
      </c>
      <c r="H572" s="175">
        <f t="shared" si="25"/>
        <v>59949.539372801635</v>
      </c>
    </row>
    <row r="573" spans="7:8" x14ac:dyDescent="0.3">
      <c r="G573" s="173">
        <f t="shared" si="24"/>
        <v>59979.069966933581</v>
      </c>
      <c r="H573" s="175">
        <f t="shared" si="25"/>
        <v>59979.069966933581</v>
      </c>
    </row>
    <row r="574" spans="7:8" x14ac:dyDescent="0.3">
      <c r="G574" s="173">
        <f t="shared" si="24"/>
        <v>60008.600561065527</v>
      </c>
      <c r="H574" s="175">
        <f t="shared" si="25"/>
        <v>60008.600561065527</v>
      </c>
    </row>
    <row r="575" spans="7:8" x14ac:dyDescent="0.3">
      <c r="G575" s="173">
        <f t="shared" si="24"/>
        <v>60038.131155197472</v>
      </c>
      <c r="H575" s="175">
        <f t="shared" si="25"/>
        <v>60038.131155197472</v>
      </c>
    </row>
    <row r="576" spans="7:8" x14ac:dyDescent="0.3">
      <c r="G576" s="173">
        <f t="shared" si="24"/>
        <v>60067.661749329418</v>
      </c>
      <c r="H576" s="175">
        <f t="shared" si="25"/>
        <v>60067.661749329418</v>
      </c>
    </row>
    <row r="577" spans="7:8" x14ac:dyDescent="0.3">
      <c r="G577" s="173">
        <f t="shared" si="24"/>
        <v>60097.192343461364</v>
      </c>
      <c r="H577" s="175">
        <f t="shared" si="25"/>
        <v>60097.192343461364</v>
      </c>
    </row>
    <row r="578" spans="7:8" x14ac:dyDescent="0.3">
      <c r="G578" s="173">
        <f t="shared" si="24"/>
        <v>60126.722937593309</v>
      </c>
      <c r="H578" s="175">
        <f t="shared" si="25"/>
        <v>60126.722937593309</v>
      </c>
    </row>
    <row r="579" spans="7:8" x14ac:dyDescent="0.3">
      <c r="G579" s="173">
        <f t="shared" si="24"/>
        <v>60156.253531725255</v>
      </c>
      <c r="H579" s="175">
        <f t="shared" si="25"/>
        <v>60156.253531725255</v>
      </c>
    </row>
    <row r="580" spans="7:8" x14ac:dyDescent="0.3">
      <c r="G580" s="173">
        <f t="shared" ref="G580:G643" si="26">G579+$E$1</f>
        <v>60185.784125857201</v>
      </c>
      <c r="H580" s="175">
        <f t="shared" si="25"/>
        <v>60185.784125857201</v>
      </c>
    </row>
    <row r="581" spans="7:8" x14ac:dyDescent="0.3">
      <c r="G581" s="173">
        <f t="shared" si="26"/>
        <v>60215.314719989146</v>
      </c>
      <c r="H581" s="175">
        <f t="shared" si="25"/>
        <v>60215.314719989146</v>
      </c>
    </row>
    <row r="582" spans="7:8" x14ac:dyDescent="0.3">
      <c r="G582" s="173">
        <f t="shared" si="26"/>
        <v>60244.845314121092</v>
      </c>
      <c r="H582" s="175">
        <f t="shared" si="25"/>
        <v>60244.845314121092</v>
      </c>
    </row>
    <row r="583" spans="7:8" x14ac:dyDescent="0.3">
      <c r="G583" s="173">
        <f t="shared" si="26"/>
        <v>60274.375908253038</v>
      </c>
      <c r="H583" s="175">
        <f t="shared" si="25"/>
        <v>60274.375908253038</v>
      </c>
    </row>
    <row r="584" spans="7:8" x14ac:dyDescent="0.3">
      <c r="G584" s="173">
        <f t="shared" si="26"/>
        <v>60303.906502384983</v>
      </c>
      <c r="H584" s="175">
        <f t="shared" si="25"/>
        <v>60303.906502384983</v>
      </c>
    </row>
    <row r="585" spans="7:8" x14ac:dyDescent="0.3">
      <c r="G585" s="173">
        <f t="shared" si="26"/>
        <v>60333.437096516929</v>
      </c>
      <c r="H585" s="175">
        <f t="shared" si="25"/>
        <v>60333.437096516929</v>
      </c>
    </row>
    <row r="586" spans="7:8" x14ac:dyDescent="0.3">
      <c r="G586" s="173">
        <f t="shared" si="26"/>
        <v>60362.967690648875</v>
      </c>
      <c r="H586" s="175">
        <f t="shared" si="25"/>
        <v>60362.967690648875</v>
      </c>
    </row>
    <row r="587" spans="7:8" x14ac:dyDescent="0.3">
      <c r="G587" s="173">
        <f t="shared" si="26"/>
        <v>60392.498284780821</v>
      </c>
      <c r="H587" s="175">
        <f t="shared" si="25"/>
        <v>60392.498284780821</v>
      </c>
    </row>
    <row r="588" spans="7:8" x14ac:dyDescent="0.3">
      <c r="G588" s="173">
        <f t="shared" si="26"/>
        <v>60422.028878912766</v>
      </c>
      <c r="H588" s="175">
        <f t="shared" si="25"/>
        <v>60422.028878912766</v>
      </c>
    </row>
    <row r="589" spans="7:8" x14ac:dyDescent="0.3">
      <c r="G589" s="173">
        <f t="shared" si="26"/>
        <v>60451.559473044712</v>
      </c>
      <c r="H589" s="175">
        <f t="shared" ref="H589:H652" si="27">G589</f>
        <v>60451.559473044712</v>
      </c>
    </row>
    <row r="590" spans="7:8" x14ac:dyDescent="0.3">
      <c r="G590" s="173">
        <f t="shared" si="26"/>
        <v>60481.090067176658</v>
      </c>
      <c r="H590" s="175">
        <f t="shared" si="27"/>
        <v>60481.090067176658</v>
      </c>
    </row>
    <row r="591" spans="7:8" x14ac:dyDescent="0.3">
      <c r="G591" s="173">
        <f t="shared" si="26"/>
        <v>60510.620661308603</v>
      </c>
      <c r="H591" s="175">
        <f t="shared" si="27"/>
        <v>60510.620661308603</v>
      </c>
    </row>
    <row r="592" spans="7:8" x14ac:dyDescent="0.3">
      <c r="G592" s="173">
        <f t="shared" si="26"/>
        <v>60540.151255440549</v>
      </c>
      <c r="H592" s="175">
        <f t="shared" si="27"/>
        <v>60540.151255440549</v>
      </c>
    </row>
    <row r="593" spans="7:8" x14ac:dyDescent="0.3">
      <c r="G593" s="173">
        <f t="shared" si="26"/>
        <v>60569.681849572495</v>
      </c>
      <c r="H593" s="175">
        <f t="shared" si="27"/>
        <v>60569.681849572495</v>
      </c>
    </row>
    <row r="594" spans="7:8" x14ac:dyDescent="0.3">
      <c r="G594" s="173">
        <f t="shared" si="26"/>
        <v>60599.21244370444</v>
      </c>
      <c r="H594" s="175">
        <f t="shared" si="27"/>
        <v>60599.21244370444</v>
      </c>
    </row>
    <row r="595" spans="7:8" x14ac:dyDescent="0.3">
      <c r="G595" s="173">
        <f t="shared" si="26"/>
        <v>60628.743037836386</v>
      </c>
      <c r="H595" s="175">
        <f t="shared" si="27"/>
        <v>60628.743037836386</v>
      </c>
    </row>
    <row r="596" spans="7:8" x14ac:dyDescent="0.3">
      <c r="G596" s="173">
        <f t="shared" si="26"/>
        <v>60658.273631968332</v>
      </c>
      <c r="H596" s="175">
        <f t="shared" si="27"/>
        <v>60658.273631968332</v>
      </c>
    </row>
    <row r="597" spans="7:8" x14ac:dyDescent="0.3">
      <c r="G597" s="173">
        <f t="shared" si="26"/>
        <v>60687.804226100277</v>
      </c>
      <c r="H597" s="175">
        <f t="shared" si="27"/>
        <v>60687.804226100277</v>
      </c>
    </row>
    <row r="598" spans="7:8" x14ac:dyDescent="0.3">
      <c r="G598" s="173">
        <f t="shared" si="26"/>
        <v>60717.334820232223</v>
      </c>
      <c r="H598" s="175">
        <f t="shared" si="27"/>
        <v>60717.334820232223</v>
      </c>
    </row>
    <row r="599" spans="7:8" x14ac:dyDescent="0.3">
      <c r="G599" s="173">
        <f t="shared" si="26"/>
        <v>60746.865414364169</v>
      </c>
      <c r="H599" s="175">
        <f t="shared" si="27"/>
        <v>60746.865414364169</v>
      </c>
    </row>
    <row r="600" spans="7:8" x14ac:dyDescent="0.3">
      <c r="G600" s="173">
        <f t="shared" si="26"/>
        <v>60776.396008496115</v>
      </c>
      <c r="H600" s="175">
        <f t="shared" si="27"/>
        <v>60776.396008496115</v>
      </c>
    </row>
    <row r="601" spans="7:8" x14ac:dyDescent="0.3">
      <c r="G601" s="173">
        <f t="shared" si="26"/>
        <v>60805.92660262806</v>
      </c>
      <c r="H601" s="175">
        <f t="shared" si="27"/>
        <v>60805.92660262806</v>
      </c>
    </row>
    <row r="602" spans="7:8" x14ac:dyDescent="0.3">
      <c r="G602" s="173">
        <f t="shared" si="26"/>
        <v>60835.457196760006</v>
      </c>
      <c r="H602" s="175">
        <f t="shared" si="27"/>
        <v>60835.457196760006</v>
      </c>
    </row>
    <row r="603" spans="7:8" x14ac:dyDescent="0.3">
      <c r="G603" s="173">
        <f t="shared" si="26"/>
        <v>60864.987790891952</v>
      </c>
      <c r="H603" s="175">
        <f t="shared" si="27"/>
        <v>60864.987790891952</v>
      </c>
    </row>
    <row r="604" spans="7:8" x14ac:dyDescent="0.3">
      <c r="G604" s="173">
        <f t="shared" si="26"/>
        <v>60894.518385023897</v>
      </c>
      <c r="H604" s="175">
        <f t="shared" si="27"/>
        <v>60894.518385023897</v>
      </c>
    </row>
    <row r="605" spans="7:8" x14ac:dyDescent="0.3">
      <c r="G605" s="173">
        <f t="shared" si="26"/>
        <v>60924.048979155843</v>
      </c>
      <c r="H605" s="175">
        <f t="shared" si="27"/>
        <v>60924.048979155843</v>
      </c>
    </row>
    <row r="606" spans="7:8" x14ac:dyDescent="0.3">
      <c r="G606" s="173">
        <f t="shared" si="26"/>
        <v>60953.579573287789</v>
      </c>
      <c r="H606" s="175">
        <f t="shared" si="27"/>
        <v>60953.579573287789</v>
      </c>
    </row>
    <row r="607" spans="7:8" x14ac:dyDescent="0.3">
      <c r="G607" s="173">
        <f t="shared" si="26"/>
        <v>60983.110167419734</v>
      </c>
      <c r="H607" s="175">
        <f t="shared" si="27"/>
        <v>60983.110167419734</v>
      </c>
    </row>
    <row r="608" spans="7:8" x14ac:dyDescent="0.3">
      <c r="G608" s="173">
        <f t="shared" si="26"/>
        <v>61012.64076155168</v>
      </c>
      <c r="H608" s="175">
        <f t="shared" si="27"/>
        <v>61012.64076155168</v>
      </c>
    </row>
    <row r="609" spans="7:8" x14ac:dyDescent="0.3">
      <c r="G609" s="173">
        <f t="shared" si="26"/>
        <v>61042.171355683626</v>
      </c>
      <c r="H609" s="175">
        <f t="shared" si="27"/>
        <v>61042.171355683626</v>
      </c>
    </row>
    <row r="610" spans="7:8" x14ac:dyDescent="0.3">
      <c r="G610" s="173">
        <f t="shared" si="26"/>
        <v>61071.701949815571</v>
      </c>
      <c r="H610" s="175">
        <f t="shared" si="27"/>
        <v>61071.701949815571</v>
      </c>
    </row>
    <row r="611" spans="7:8" x14ac:dyDescent="0.3">
      <c r="G611" s="173">
        <f t="shared" si="26"/>
        <v>61101.232543947517</v>
      </c>
      <c r="H611" s="175">
        <f t="shared" si="27"/>
        <v>61101.232543947517</v>
      </c>
    </row>
    <row r="612" spans="7:8" x14ac:dyDescent="0.3">
      <c r="G612" s="173">
        <f t="shared" si="26"/>
        <v>61130.763138079463</v>
      </c>
      <c r="H612" s="175">
        <f t="shared" si="27"/>
        <v>61130.763138079463</v>
      </c>
    </row>
    <row r="613" spans="7:8" x14ac:dyDescent="0.3">
      <c r="G613" s="173">
        <f t="shared" si="26"/>
        <v>61160.293732211408</v>
      </c>
      <c r="H613" s="175">
        <f t="shared" si="27"/>
        <v>61160.293732211408</v>
      </c>
    </row>
    <row r="614" spans="7:8" x14ac:dyDescent="0.3">
      <c r="G614" s="173">
        <f t="shared" si="26"/>
        <v>61189.824326343354</v>
      </c>
      <c r="H614" s="175">
        <f t="shared" si="27"/>
        <v>61189.824326343354</v>
      </c>
    </row>
    <row r="615" spans="7:8" x14ac:dyDescent="0.3">
      <c r="G615" s="173">
        <f t="shared" si="26"/>
        <v>61219.3549204753</v>
      </c>
      <c r="H615" s="175">
        <f t="shared" si="27"/>
        <v>61219.3549204753</v>
      </c>
    </row>
    <row r="616" spans="7:8" x14ac:dyDescent="0.3">
      <c r="G616" s="173">
        <f t="shared" si="26"/>
        <v>61248.885514607246</v>
      </c>
      <c r="H616" s="175">
        <f t="shared" si="27"/>
        <v>61248.885514607246</v>
      </c>
    </row>
    <row r="617" spans="7:8" x14ac:dyDescent="0.3">
      <c r="G617" s="173">
        <f t="shared" si="26"/>
        <v>61278.416108739191</v>
      </c>
      <c r="H617" s="175">
        <f t="shared" si="27"/>
        <v>61278.416108739191</v>
      </c>
    </row>
    <row r="618" spans="7:8" x14ac:dyDescent="0.3">
      <c r="G618" s="173">
        <f t="shared" si="26"/>
        <v>61307.946702871137</v>
      </c>
      <c r="H618" s="175">
        <f t="shared" si="27"/>
        <v>61307.946702871137</v>
      </c>
    </row>
    <row r="619" spans="7:8" x14ac:dyDescent="0.3">
      <c r="G619" s="173">
        <f t="shared" si="26"/>
        <v>61337.477297003083</v>
      </c>
      <c r="H619" s="175">
        <f t="shared" si="27"/>
        <v>61337.477297003083</v>
      </c>
    </row>
    <row r="620" spans="7:8" x14ac:dyDescent="0.3">
      <c r="G620" s="173">
        <f t="shared" si="26"/>
        <v>61367.007891135028</v>
      </c>
      <c r="H620" s="175">
        <f t="shared" si="27"/>
        <v>61367.007891135028</v>
      </c>
    </row>
    <row r="621" spans="7:8" x14ac:dyDescent="0.3">
      <c r="G621" s="173">
        <f t="shared" si="26"/>
        <v>61396.538485266974</v>
      </c>
      <c r="H621" s="175">
        <f t="shared" si="27"/>
        <v>61396.538485266974</v>
      </c>
    </row>
    <row r="622" spans="7:8" x14ac:dyDescent="0.3">
      <c r="G622" s="173">
        <f t="shared" si="26"/>
        <v>61426.06907939892</v>
      </c>
      <c r="H622" s="175">
        <f t="shared" si="27"/>
        <v>61426.06907939892</v>
      </c>
    </row>
    <row r="623" spans="7:8" x14ac:dyDescent="0.3">
      <c r="G623" s="173">
        <f t="shared" si="26"/>
        <v>61455.599673530865</v>
      </c>
      <c r="H623" s="175">
        <f t="shared" si="27"/>
        <v>61455.599673530865</v>
      </c>
    </row>
    <row r="624" spans="7:8" x14ac:dyDescent="0.3">
      <c r="G624" s="173">
        <f t="shared" si="26"/>
        <v>61485.130267662811</v>
      </c>
      <c r="H624" s="175">
        <f t="shared" si="27"/>
        <v>61485.130267662811</v>
      </c>
    </row>
    <row r="625" spans="7:8" x14ac:dyDescent="0.3">
      <c r="G625" s="173">
        <f t="shared" si="26"/>
        <v>61514.660861794757</v>
      </c>
      <c r="H625" s="175">
        <f t="shared" si="27"/>
        <v>61514.660861794757</v>
      </c>
    </row>
    <row r="626" spans="7:8" x14ac:dyDescent="0.3">
      <c r="G626" s="173">
        <f t="shared" si="26"/>
        <v>61544.191455926702</v>
      </c>
      <c r="H626" s="175">
        <f t="shared" si="27"/>
        <v>61544.191455926702</v>
      </c>
    </row>
    <row r="627" spans="7:8" x14ac:dyDescent="0.3">
      <c r="G627" s="173">
        <f t="shared" si="26"/>
        <v>61573.722050058648</v>
      </c>
      <c r="H627" s="175">
        <f t="shared" si="27"/>
        <v>61573.722050058648</v>
      </c>
    </row>
    <row r="628" spans="7:8" x14ac:dyDescent="0.3">
      <c r="G628" s="173">
        <f t="shared" si="26"/>
        <v>61603.252644190594</v>
      </c>
      <c r="H628" s="175">
        <f t="shared" si="27"/>
        <v>61603.252644190594</v>
      </c>
    </row>
    <row r="629" spans="7:8" x14ac:dyDescent="0.3">
      <c r="G629" s="173">
        <f t="shared" si="26"/>
        <v>61632.78323832254</v>
      </c>
      <c r="H629" s="175">
        <f t="shared" si="27"/>
        <v>61632.78323832254</v>
      </c>
    </row>
    <row r="630" spans="7:8" x14ac:dyDescent="0.3">
      <c r="G630" s="173">
        <f t="shared" si="26"/>
        <v>61662.313832454485</v>
      </c>
      <c r="H630" s="175">
        <f t="shared" si="27"/>
        <v>61662.313832454485</v>
      </c>
    </row>
    <row r="631" spans="7:8" x14ac:dyDescent="0.3">
      <c r="G631" s="173">
        <f t="shared" si="26"/>
        <v>61691.844426586431</v>
      </c>
      <c r="H631" s="175">
        <f t="shared" si="27"/>
        <v>61691.844426586431</v>
      </c>
    </row>
    <row r="632" spans="7:8" x14ac:dyDescent="0.3">
      <c r="G632" s="173">
        <f t="shared" si="26"/>
        <v>61721.375020718377</v>
      </c>
      <c r="H632" s="175">
        <f t="shared" si="27"/>
        <v>61721.375020718377</v>
      </c>
    </row>
    <row r="633" spans="7:8" x14ac:dyDescent="0.3">
      <c r="G633" s="173">
        <f t="shared" si="26"/>
        <v>61750.905614850322</v>
      </c>
      <c r="H633" s="175">
        <f t="shared" si="27"/>
        <v>61750.905614850322</v>
      </c>
    </row>
    <row r="634" spans="7:8" x14ac:dyDescent="0.3">
      <c r="G634" s="173">
        <f t="shared" si="26"/>
        <v>61780.436208982268</v>
      </c>
      <c r="H634" s="175">
        <f t="shared" si="27"/>
        <v>61780.436208982268</v>
      </c>
    </row>
    <row r="635" spans="7:8" x14ac:dyDescent="0.3">
      <c r="G635" s="173">
        <f t="shared" si="26"/>
        <v>61809.966803114214</v>
      </c>
      <c r="H635" s="175">
        <f t="shared" si="27"/>
        <v>61809.966803114214</v>
      </c>
    </row>
    <row r="636" spans="7:8" x14ac:dyDescent="0.3">
      <c r="G636" s="173">
        <f t="shared" si="26"/>
        <v>61839.497397246159</v>
      </c>
      <c r="H636" s="175">
        <f t="shared" si="27"/>
        <v>61839.497397246159</v>
      </c>
    </row>
    <row r="637" spans="7:8" x14ac:dyDescent="0.3">
      <c r="G637" s="173">
        <f t="shared" si="26"/>
        <v>61869.027991378105</v>
      </c>
      <c r="H637" s="175">
        <f t="shared" si="27"/>
        <v>61869.027991378105</v>
      </c>
    </row>
    <row r="638" spans="7:8" x14ac:dyDescent="0.3">
      <c r="G638" s="173">
        <f t="shared" si="26"/>
        <v>61898.558585510051</v>
      </c>
      <c r="H638" s="175">
        <f t="shared" si="27"/>
        <v>61898.558585510051</v>
      </c>
    </row>
    <row r="639" spans="7:8" x14ac:dyDescent="0.3">
      <c r="G639" s="173">
        <f t="shared" si="26"/>
        <v>61928.089179641996</v>
      </c>
      <c r="H639" s="175">
        <f t="shared" si="27"/>
        <v>61928.089179641996</v>
      </c>
    </row>
    <row r="640" spans="7:8" x14ac:dyDescent="0.3">
      <c r="G640" s="173">
        <f t="shared" si="26"/>
        <v>61957.619773773942</v>
      </c>
      <c r="H640" s="175">
        <f t="shared" si="27"/>
        <v>61957.619773773942</v>
      </c>
    </row>
    <row r="641" spans="7:8" x14ac:dyDescent="0.3">
      <c r="G641" s="173">
        <f t="shared" si="26"/>
        <v>61987.150367905888</v>
      </c>
      <c r="H641" s="175">
        <f t="shared" si="27"/>
        <v>61987.150367905888</v>
      </c>
    </row>
    <row r="642" spans="7:8" x14ac:dyDescent="0.3">
      <c r="G642" s="173">
        <f t="shared" si="26"/>
        <v>62016.680962037834</v>
      </c>
      <c r="H642" s="175">
        <f t="shared" si="27"/>
        <v>62016.680962037834</v>
      </c>
    </row>
    <row r="643" spans="7:8" x14ac:dyDescent="0.3">
      <c r="G643" s="173">
        <f t="shared" si="26"/>
        <v>62046.211556169779</v>
      </c>
      <c r="H643" s="175">
        <f t="shared" si="27"/>
        <v>62046.211556169779</v>
      </c>
    </row>
    <row r="644" spans="7:8" x14ac:dyDescent="0.3">
      <c r="G644" s="173">
        <f t="shared" ref="G644:G707" si="28">G643+$E$1</f>
        <v>62075.742150301725</v>
      </c>
      <c r="H644" s="175">
        <f t="shared" si="27"/>
        <v>62075.742150301725</v>
      </c>
    </row>
    <row r="645" spans="7:8" x14ac:dyDescent="0.3">
      <c r="G645" s="173">
        <f t="shared" si="28"/>
        <v>62105.272744433671</v>
      </c>
      <c r="H645" s="175">
        <f t="shared" si="27"/>
        <v>62105.272744433671</v>
      </c>
    </row>
    <row r="646" spans="7:8" x14ac:dyDescent="0.3">
      <c r="G646" s="173">
        <f t="shared" si="28"/>
        <v>62134.803338565616</v>
      </c>
      <c r="H646" s="175">
        <f t="shared" si="27"/>
        <v>62134.803338565616</v>
      </c>
    </row>
    <row r="647" spans="7:8" x14ac:dyDescent="0.3">
      <c r="G647" s="173">
        <f t="shared" si="28"/>
        <v>62164.333932697562</v>
      </c>
      <c r="H647" s="175">
        <f t="shared" si="27"/>
        <v>62164.333932697562</v>
      </c>
    </row>
    <row r="648" spans="7:8" x14ac:dyDescent="0.3">
      <c r="G648" s="173">
        <f t="shared" si="28"/>
        <v>62193.864526829508</v>
      </c>
      <c r="H648" s="175">
        <f t="shared" si="27"/>
        <v>62193.864526829508</v>
      </c>
    </row>
    <row r="649" spans="7:8" x14ac:dyDescent="0.3">
      <c r="G649" s="173">
        <f t="shared" si="28"/>
        <v>62223.395120961453</v>
      </c>
      <c r="H649" s="175">
        <f t="shared" si="27"/>
        <v>62223.395120961453</v>
      </c>
    </row>
    <row r="650" spans="7:8" x14ac:dyDescent="0.3">
      <c r="G650" s="173">
        <f t="shared" si="28"/>
        <v>62252.925715093399</v>
      </c>
      <c r="H650" s="175">
        <f t="shared" si="27"/>
        <v>62252.925715093399</v>
      </c>
    </row>
    <row r="651" spans="7:8" x14ac:dyDescent="0.3">
      <c r="G651" s="173">
        <f t="shared" si="28"/>
        <v>62282.456309225345</v>
      </c>
      <c r="H651" s="175">
        <f t="shared" si="27"/>
        <v>62282.456309225345</v>
      </c>
    </row>
    <row r="652" spans="7:8" x14ac:dyDescent="0.3">
      <c r="G652" s="173">
        <f t="shared" si="28"/>
        <v>62311.98690335729</v>
      </c>
      <c r="H652" s="175">
        <f t="shared" si="27"/>
        <v>62311.98690335729</v>
      </c>
    </row>
    <row r="653" spans="7:8" x14ac:dyDescent="0.3">
      <c r="G653" s="173">
        <f t="shared" si="28"/>
        <v>62341.517497489236</v>
      </c>
      <c r="H653" s="175">
        <f t="shared" ref="H653:H716" si="29">G653</f>
        <v>62341.517497489236</v>
      </c>
    </row>
    <row r="654" spans="7:8" x14ac:dyDescent="0.3">
      <c r="G654" s="173">
        <f t="shared" si="28"/>
        <v>62371.048091621182</v>
      </c>
      <c r="H654" s="175">
        <f t="shared" si="29"/>
        <v>62371.048091621182</v>
      </c>
    </row>
    <row r="655" spans="7:8" x14ac:dyDescent="0.3">
      <c r="G655" s="173">
        <f t="shared" si="28"/>
        <v>62400.578685753128</v>
      </c>
      <c r="H655" s="175">
        <f t="shared" si="29"/>
        <v>62400.578685753128</v>
      </c>
    </row>
    <row r="656" spans="7:8" x14ac:dyDescent="0.3">
      <c r="G656" s="173">
        <f t="shared" si="28"/>
        <v>62430.109279885073</v>
      </c>
      <c r="H656" s="175">
        <f t="shared" si="29"/>
        <v>62430.109279885073</v>
      </c>
    </row>
    <row r="657" spans="7:8" x14ac:dyDescent="0.3">
      <c r="G657" s="173">
        <f t="shared" si="28"/>
        <v>62459.639874017019</v>
      </c>
      <c r="H657" s="175">
        <f t="shared" si="29"/>
        <v>62459.639874017019</v>
      </c>
    </row>
    <row r="658" spans="7:8" x14ac:dyDescent="0.3">
      <c r="G658" s="173">
        <f t="shared" si="28"/>
        <v>62489.170468148965</v>
      </c>
      <c r="H658" s="175">
        <f t="shared" si="29"/>
        <v>62489.170468148965</v>
      </c>
    </row>
    <row r="659" spans="7:8" x14ac:dyDescent="0.3">
      <c r="G659" s="173">
        <f t="shared" si="28"/>
        <v>62518.70106228091</v>
      </c>
      <c r="H659" s="175">
        <f t="shared" si="29"/>
        <v>62518.70106228091</v>
      </c>
    </row>
    <row r="660" spans="7:8" x14ac:dyDescent="0.3">
      <c r="G660" s="173">
        <f t="shared" si="28"/>
        <v>62548.231656412856</v>
      </c>
      <c r="H660" s="175">
        <f t="shared" si="29"/>
        <v>62548.231656412856</v>
      </c>
    </row>
    <row r="661" spans="7:8" x14ac:dyDescent="0.3">
      <c r="G661" s="173">
        <f t="shared" si="28"/>
        <v>62577.762250544802</v>
      </c>
      <c r="H661" s="175">
        <f t="shared" si="29"/>
        <v>62577.762250544802</v>
      </c>
    </row>
    <row r="662" spans="7:8" x14ac:dyDescent="0.3">
      <c r="G662" s="173">
        <f t="shared" si="28"/>
        <v>62607.292844676747</v>
      </c>
      <c r="H662" s="175">
        <f t="shared" si="29"/>
        <v>62607.292844676747</v>
      </c>
    </row>
    <row r="663" spans="7:8" x14ac:dyDescent="0.3">
      <c r="G663" s="173">
        <f t="shared" si="28"/>
        <v>62636.823438808693</v>
      </c>
      <c r="H663" s="175">
        <f t="shared" si="29"/>
        <v>62636.823438808693</v>
      </c>
    </row>
    <row r="664" spans="7:8" x14ac:dyDescent="0.3">
      <c r="G664" s="173">
        <f t="shared" si="28"/>
        <v>62666.354032940639</v>
      </c>
      <c r="H664" s="175">
        <f t="shared" si="29"/>
        <v>62666.354032940639</v>
      </c>
    </row>
    <row r="665" spans="7:8" x14ac:dyDescent="0.3">
      <c r="G665" s="173">
        <f t="shared" si="28"/>
        <v>62695.884627072584</v>
      </c>
      <c r="H665" s="175">
        <f t="shared" si="29"/>
        <v>62695.884627072584</v>
      </c>
    </row>
    <row r="666" spans="7:8" x14ac:dyDescent="0.3">
      <c r="G666" s="173">
        <f t="shared" si="28"/>
        <v>62725.41522120453</v>
      </c>
      <c r="H666" s="175">
        <f t="shared" si="29"/>
        <v>62725.41522120453</v>
      </c>
    </row>
    <row r="667" spans="7:8" x14ac:dyDescent="0.3">
      <c r="G667" s="173">
        <f t="shared" si="28"/>
        <v>62754.945815336476</v>
      </c>
      <c r="H667" s="175">
        <f t="shared" si="29"/>
        <v>62754.945815336476</v>
      </c>
    </row>
    <row r="668" spans="7:8" x14ac:dyDescent="0.3">
      <c r="G668" s="173">
        <f t="shared" si="28"/>
        <v>62784.476409468421</v>
      </c>
      <c r="H668" s="175">
        <f t="shared" si="29"/>
        <v>62784.476409468421</v>
      </c>
    </row>
    <row r="669" spans="7:8" x14ac:dyDescent="0.3">
      <c r="G669" s="173">
        <f t="shared" si="28"/>
        <v>62814.007003600367</v>
      </c>
      <c r="H669" s="175">
        <f t="shared" si="29"/>
        <v>62814.007003600367</v>
      </c>
    </row>
    <row r="670" spans="7:8" x14ac:dyDescent="0.3">
      <c r="G670" s="173">
        <f t="shared" si="28"/>
        <v>62843.537597732313</v>
      </c>
      <c r="H670" s="175">
        <f t="shared" si="29"/>
        <v>62843.537597732313</v>
      </c>
    </row>
    <row r="671" spans="7:8" x14ac:dyDescent="0.3">
      <c r="G671" s="173">
        <f t="shared" si="28"/>
        <v>62873.068191864259</v>
      </c>
      <c r="H671" s="175">
        <f t="shared" si="29"/>
        <v>62873.068191864259</v>
      </c>
    </row>
    <row r="672" spans="7:8" x14ac:dyDescent="0.3">
      <c r="G672" s="173">
        <f t="shared" si="28"/>
        <v>62902.598785996204</v>
      </c>
      <c r="H672" s="175">
        <f t="shared" si="29"/>
        <v>62902.598785996204</v>
      </c>
    </row>
    <row r="673" spans="7:8" x14ac:dyDescent="0.3">
      <c r="G673" s="173">
        <f t="shared" si="28"/>
        <v>62932.12938012815</v>
      </c>
      <c r="H673" s="175">
        <f t="shared" si="29"/>
        <v>62932.12938012815</v>
      </c>
    </row>
    <row r="674" spans="7:8" x14ac:dyDescent="0.3">
      <c r="G674" s="173">
        <f t="shared" si="28"/>
        <v>62961.659974260096</v>
      </c>
      <c r="H674" s="175">
        <f t="shared" si="29"/>
        <v>62961.659974260096</v>
      </c>
    </row>
    <row r="675" spans="7:8" x14ac:dyDescent="0.3">
      <c r="G675" s="173">
        <f t="shared" si="28"/>
        <v>62991.190568392041</v>
      </c>
      <c r="H675" s="175">
        <f t="shared" si="29"/>
        <v>62991.190568392041</v>
      </c>
    </row>
    <row r="676" spans="7:8" x14ac:dyDescent="0.3">
      <c r="G676" s="173">
        <f t="shared" si="28"/>
        <v>63020.721162523987</v>
      </c>
      <c r="H676" s="175">
        <f t="shared" si="29"/>
        <v>63020.721162523987</v>
      </c>
    </row>
    <row r="677" spans="7:8" x14ac:dyDescent="0.3">
      <c r="G677" s="173">
        <f t="shared" si="28"/>
        <v>63050.251756655933</v>
      </c>
      <c r="H677" s="175">
        <f t="shared" si="29"/>
        <v>63050.251756655933</v>
      </c>
    </row>
    <row r="678" spans="7:8" x14ac:dyDescent="0.3">
      <c r="G678" s="173">
        <f t="shared" si="28"/>
        <v>63079.782350787878</v>
      </c>
      <c r="H678" s="175">
        <f t="shared" si="29"/>
        <v>63079.782350787878</v>
      </c>
    </row>
    <row r="679" spans="7:8" x14ac:dyDescent="0.3">
      <c r="G679" s="173">
        <f t="shared" si="28"/>
        <v>63109.312944919824</v>
      </c>
      <c r="H679" s="175">
        <f t="shared" si="29"/>
        <v>63109.312944919824</v>
      </c>
    </row>
    <row r="680" spans="7:8" x14ac:dyDescent="0.3">
      <c r="G680" s="173">
        <f t="shared" si="28"/>
        <v>63138.84353905177</v>
      </c>
      <c r="H680" s="175">
        <f t="shared" si="29"/>
        <v>63138.84353905177</v>
      </c>
    </row>
    <row r="681" spans="7:8" x14ac:dyDescent="0.3">
      <c r="G681" s="173">
        <f t="shared" si="28"/>
        <v>63168.374133183715</v>
      </c>
      <c r="H681" s="175">
        <f t="shared" si="29"/>
        <v>63168.374133183715</v>
      </c>
    </row>
    <row r="682" spans="7:8" x14ac:dyDescent="0.3">
      <c r="G682" s="173">
        <f t="shared" si="28"/>
        <v>63197.904727315661</v>
      </c>
      <c r="H682" s="175">
        <f t="shared" si="29"/>
        <v>63197.904727315661</v>
      </c>
    </row>
    <row r="683" spans="7:8" x14ac:dyDescent="0.3">
      <c r="G683" s="173">
        <f t="shared" si="28"/>
        <v>63227.435321447607</v>
      </c>
      <c r="H683" s="175">
        <f t="shared" si="29"/>
        <v>63227.435321447607</v>
      </c>
    </row>
    <row r="684" spans="7:8" x14ac:dyDescent="0.3">
      <c r="G684" s="173">
        <f t="shared" si="28"/>
        <v>63256.965915579553</v>
      </c>
      <c r="H684" s="175">
        <f t="shared" si="29"/>
        <v>63256.965915579553</v>
      </c>
    </row>
    <row r="685" spans="7:8" x14ac:dyDescent="0.3">
      <c r="G685" s="173">
        <f t="shared" si="28"/>
        <v>63286.496509711498</v>
      </c>
      <c r="H685" s="175">
        <f t="shared" si="29"/>
        <v>63286.496509711498</v>
      </c>
    </row>
    <row r="686" spans="7:8" x14ac:dyDescent="0.3">
      <c r="G686" s="173">
        <f t="shared" si="28"/>
        <v>63316.027103843444</v>
      </c>
      <c r="H686" s="175">
        <f t="shared" si="29"/>
        <v>63316.027103843444</v>
      </c>
    </row>
    <row r="687" spans="7:8" x14ac:dyDescent="0.3">
      <c r="G687" s="173">
        <f t="shared" si="28"/>
        <v>63345.55769797539</v>
      </c>
      <c r="H687" s="175">
        <f t="shared" si="29"/>
        <v>63345.55769797539</v>
      </c>
    </row>
    <row r="688" spans="7:8" x14ac:dyDescent="0.3">
      <c r="G688" s="173">
        <f t="shared" si="28"/>
        <v>63375.088292107335</v>
      </c>
      <c r="H688" s="175">
        <f t="shared" si="29"/>
        <v>63375.088292107335</v>
      </c>
    </row>
    <row r="689" spans="7:8" x14ac:dyDescent="0.3">
      <c r="G689" s="173">
        <f t="shared" si="28"/>
        <v>63404.618886239281</v>
      </c>
      <c r="H689" s="175">
        <f t="shared" si="29"/>
        <v>63404.618886239281</v>
      </c>
    </row>
    <row r="690" spans="7:8" x14ac:dyDescent="0.3">
      <c r="G690" s="173">
        <f t="shared" si="28"/>
        <v>63434.149480371227</v>
      </c>
      <c r="H690" s="175">
        <f t="shared" si="29"/>
        <v>63434.149480371227</v>
      </c>
    </row>
    <row r="691" spans="7:8" x14ac:dyDescent="0.3">
      <c r="G691" s="173">
        <f t="shared" si="28"/>
        <v>63463.680074503172</v>
      </c>
      <c r="H691" s="175">
        <f t="shared" si="29"/>
        <v>63463.680074503172</v>
      </c>
    </row>
    <row r="692" spans="7:8" x14ac:dyDescent="0.3">
      <c r="G692" s="173">
        <f t="shared" si="28"/>
        <v>63493.210668635118</v>
      </c>
      <c r="H692" s="175">
        <f t="shared" si="29"/>
        <v>63493.210668635118</v>
      </c>
    </row>
    <row r="693" spans="7:8" x14ac:dyDescent="0.3">
      <c r="G693" s="173">
        <f t="shared" si="28"/>
        <v>63522.741262767064</v>
      </c>
      <c r="H693" s="175">
        <f t="shared" si="29"/>
        <v>63522.741262767064</v>
      </c>
    </row>
    <row r="694" spans="7:8" x14ac:dyDescent="0.3">
      <c r="G694" s="173">
        <f t="shared" si="28"/>
        <v>63552.271856899009</v>
      </c>
      <c r="H694" s="175">
        <f t="shared" si="29"/>
        <v>63552.271856899009</v>
      </c>
    </row>
    <row r="695" spans="7:8" x14ac:dyDescent="0.3">
      <c r="G695" s="173">
        <f t="shared" si="28"/>
        <v>63581.802451030955</v>
      </c>
      <c r="H695" s="175">
        <f t="shared" si="29"/>
        <v>63581.802451030955</v>
      </c>
    </row>
    <row r="696" spans="7:8" x14ac:dyDescent="0.3">
      <c r="G696" s="173">
        <f t="shared" si="28"/>
        <v>63611.333045162901</v>
      </c>
      <c r="H696" s="175">
        <f t="shared" si="29"/>
        <v>63611.333045162901</v>
      </c>
    </row>
    <row r="697" spans="7:8" x14ac:dyDescent="0.3">
      <c r="G697" s="173">
        <f t="shared" si="28"/>
        <v>63640.863639294847</v>
      </c>
      <c r="H697" s="175">
        <f t="shared" si="29"/>
        <v>63640.863639294847</v>
      </c>
    </row>
    <row r="698" spans="7:8" x14ac:dyDescent="0.3">
      <c r="G698" s="173">
        <f t="shared" si="28"/>
        <v>63670.394233426792</v>
      </c>
      <c r="H698" s="175">
        <f t="shared" si="29"/>
        <v>63670.394233426792</v>
      </c>
    </row>
    <row r="699" spans="7:8" x14ac:dyDescent="0.3">
      <c r="G699" s="173">
        <f t="shared" si="28"/>
        <v>63699.924827558738</v>
      </c>
      <c r="H699" s="175">
        <f t="shared" si="29"/>
        <v>63699.924827558738</v>
      </c>
    </row>
    <row r="700" spans="7:8" x14ac:dyDescent="0.3">
      <c r="G700" s="173">
        <f t="shared" si="28"/>
        <v>63729.455421690684</v>
      </c>
      <c r="H700" s="175">
        <f t="shared" si="29"/>
        <v>63729.455421690684</v>
      </c>
    </row>
    <row r="701" spans="7:8" x14ac:dyDescent="0.3">
      <c r="G701" s="173">
        <f t="shared" si="28"/>
        <v>63758.986015822629</v>
      </c>
      <c r="H701" s="175">
        <f t="shared" si="29"/>
        <v>63758.986015822629</v>
      </c>
    </row>
    <row r="702" spans="7:8" x14ac:dyDescent="0.3">
      <c r="G702" s="173">
        <f t="shared" si="28"/>
        <v>63788.516609954575</v>
      </c>
      <c r="H702" s="175">
        <f t="shared" si="29"/>
        <v>63788.516609954575</v>
      </c>
    </row>
    <row r="703" spans="7:8" x14ac:dyDescent="0.3">
      <c r="G703" s="173">
        <f t="shared" si="28"/>
        <v>63818.047204086521</v>
      </c>
      <c r="H703" s="175">
        <f t="shared" si="29"/>
        <v>63818.047204086521</v>
      </c>
    </row>
    <row r="704" spans="7:8" x14ac:dyDescent="0.3">
      <c r="G704" s="173">
        <f t="shared" si="28"/>
        <v>63847.577798218466</v>
      </c>
      <c r="H704" s="175">
        <f t="shared" si="29"/>
        <v>63847.577798218466</v>
      </c>
    </row>
    <row r="705" spans="7:8" x14ac:dyDescent="0.3">
      <c r="G705" s="173">
        <f t="shared" si="28"/>
        <v>63877.108392350412</v>
      </c>
      <c r="H705" s="175">
        <f t="shared" si="29"/>
        <v>63877.108392350412</v>
      </c>
    </row>
    <row r="706" spans="7:8" x14ac:dyDescent="0.3">
      <c r="G706" s="173">
        <f t="shared" si="28"/>
        <v>63906.638986482358</v>
      </c>
      <c r="H706" s="175">
        <f t="shared" si="29"/>
        <v>63906.638986482358</v>
      </c>
    </row>
    <row r="707" spans="7:8" x14ac:dyDescent="0.3">
      <c r="G707" s="173">
        <f t="shared" si="28"/>
        <v>63936.169580614303</v>
      </c>
      <c r="H707" s="175">
        <f t="shared" si="29"/>
        <v>63936.169580614303</v>
      </c>
    </row>
    <row r="708" spans="7:8" x14ac:dyDescent="0.3">
      <c r="G708" s="173">
        <f t="shared" ref="G708:G771" si="30">G707+$E$1</f>
        <v>63965.700174746249</v>
      </c>
      <c r="H708" s="175">
        <f t="shared" si="29"/>
        <v>63965.700174746249</v>
      </c>
    </row>
    <row r="709" spans="7:8" x14ac:dyDescent="0.3">
      <c r="G709" s="173">
        <f t="shared" si="30"/>
        <v>63995.230768878195</v>
      </c>
      <c r="H709" s="175">
        <f t="shared" si="29"/>
        <v>63995.230768878195</v>
      </c>
    </row>
    <row r="710" spans="7:8" x14ac:dyDescent="0.3">
      <c r="G710" s="173">
        <f t="shared" si="30"/>
        <v>64024.76136301014</v>
      </c>
      <c r="H710" s="175">
        <f t="shared" si="29"/>
        <v>64024.76136301014</v>
      </c>
    </row>
    <row r="711" spans="7:8" x14ac:dyDescent="0.3">
      <c r="G711" s="173">
        <f t="shared" si="30"/>
        <v>64054.291957142086</v>
      </c>
      <c r="H711" s="175">
        <f t="shared" si="29"/>
        <v>64054.291957142086</v>
      </c>
    </row>
    <row r="712" spans="7:8" x14ac:dyDescent="0.3">
      <c r="G712" s="173">
        <f t="shared" si="30"/>
        <v>64083.822551274032</v>
      </c>
      <c r="H712" s="175">
        <f t="shared" si="29"/>
        <v>64083.822551274032</v>
      </c>
    </row>
    <row r="713" spans="7:8" x14ac:dyDescent="0.3">
      <c r="G713" s="173">
        <f t="shared" si="30"/>
        <v>64113.353145405978</v>
      </c>
      <c r="H713" s="175">
        <f t="shared" si="29"/>
        <v>64113.353145405978</v>
      </c>
    </row>
    <row r="714" spans="7:8" x14ac:dyDescent="0.3">
      <c r="G714" s="173">
        <f t="shared" si="30"/>
        <v>64142.883739537923</v>
      </c>
      <c r="H714" s="175">
        <f t="shared" si="29"/>
        <v>64142.883739537923</v>
      </c>
    </row>
    <row r="715" spans="7:8" x14ac:dyDescent="0.3">
      <c r="G715" s="173">
        <f t="shared" si="30"/>
        <v>64172.414333669869</v>
      </c>
      <c r="H715" s="175">
        <f t="shared" si="29"/>
        <v>64172.414333669869</v>
      </c>
    </row>
    <row r="716" spans="7:8" x14ac:dyDescent="0.3">
      <c r="G716" s="173">
        <f t="shared" si="30"/>
        <v>64201.944927801815</v>
      </c>
      <c r="H716" s="175">
        <f t="shared" si="29"/>
        <v>64201.944927801815</v>
      </c>
    </row>
    <row r="717" spans="7:8" x14ac:dyDescent="0.3">
      <c r="G717" s="173">
        <f t="shared" si="30"/>
        <v>64231.47552193376</v>
      </c>
      <c r="H717" s="175">
        <f t="shared" ref="H717:H780" si="31">G717</f>
        <v>64231.47552193376</v>
      </c>
    </row>
    <row r="718" spans="7:8" x14ac:dyDescent="0.3">
      <c r="G718" s="173">
        <f t="shared" si="30"/>
        <v>64261.006116065706</v>
      </c>
      <c r="H718" s="175">
        <f t="shared" si="31"/>
        <v>64261.006116065706</v>
      </c>
    </row>
    <row r="719" spans="7:8" x14ac:dyDescent="0.3">
      <c r="G719" s="173">
        <f t="shared" si="30"/>
        <v>64290.536710197652</v>
      </c>
      <c r="H719" s="175">
        <f t="shared" si="31"/>
        <v>64290.536710197652</v>
      </c>
    </row>
    <row r="720" spans="7:8" x14ac:dyDescent="0.3">
      <c r="G720" s="173">
        <f t="shared" si="30"/>
        <v>64320.067304329597</v>
      </c>
      <c r="H720" s="175">
        <f t="shared" si="31"/>
        <v>64320.067304329597</v>
      </c>
    </row>
    <row r="721" spans="7:8" x14ac:dyDescent="0.3">
      <c r="G721" s="173">
        <f t="shared" si="30"/>
        <v>64349.597898461543</v>
      </c>
      <c r="H721" s="175">
        <f t="shared" si="31"/>
        <v>64349.597898461543</v>
      </c>
    </row>
    <row r="722" spans="7:8" x14ac:dyDescent="0.3">
      <c r="G722" s="173">
        <f t="shared" si="30"/>
        <v>64379.128492593489</v>
      </c>
      <c r="H722" s="175">
        <f t="shared" si="31"/>
        <v>64379.128492593489</v>
      </c>
    </row>
    <row r="723" spans="7:8" x14ac:dyDescent="0.3">
      <c r="G723" s="173">
        <f t="shared" si="30"/>
        <v>64408.659086725434</v>
      </c>
      <c r="H723" s="175">
        <f t="shared" si="31"/>
        <v>64408.659086725434</v>
      </c>
    </row>
    <row r="724" spans="7:8" x14ac:dyDescent="0.3">
      <c r="G724" s="173">
        <f t="shared" si="30"/>
        <v>64438.18968085738</v>
      </c>
      <c r="H724" s="175">
        <f t="shared" si="31"/>
        <v>64438.18968085738</v>
      </c>
    </row>
    <row r="725" spans="7:8" x14ac:dyDescent="0.3">
      <c r="G725" s="173">
        <f t="shared" si="30"/>
        <v>64467.720274989326</v>
      </c>
      <c r="H725" s="175">
        <f t="shared" si="31"/>
        <v>64467.720274989326</v>
      </c>
    </row>
    <row r="726" spans="7:8" x14ac:dyDescent="0.3">
      <c r="G726" s="173">
        <f t="shared" si="30"/>
        <v>64497.250869121272</v>
      </c>
      <c r="H726" s="175">
        <f t="shared" si="31"/>
        <v>64497.250869121272</v>
      </c>
    </row>
    <row r="727" spans="7:8" x14ac:dyDescent="0.3">
      <c r="G727" s="173">
        <f t="shared" si="30"/>
        <v>64526.781463253217</v>
      </c>
      <c r="H727" s="175">
        <f t="shared" si="31"/>
        <v>64526.781463253217</v>
      </c>
    </row>
    <row r="728" spans="7:8" x14ac:dyDescent="0.3">
      <c r="G728" s="173">
        <f t="shared" si="30"/>
        <v>64556.312057385163</v>
      </c>
      <c r="H728" s="175">
        <f t="shared" si="31"/>
        <v>64556.312057385163</v>
      </c>
    </row>
    <row r="729" spans="7:8" x14ac:dyDescent="0.3">
      <c r="G729" s="173">
        <f t="shared" si="30"/>
        <v>64585.842651517109</v>
      </c>
      <c r="H729" s="175">
        <f t="shared" si="31"/>
        <v>64585.842651517109</v>
      </c>
    </row>
    <row r="730" spans="7:8" x14ac:dyDescent="0.3">
      <c r="G730" s="173">
        <f t="shared" si="30"/>
        <v>64615.373245649054</v>
      </c>
      <c r="H730" s="175">
        <f t="shared" si="31"/>
        <v>64615.373245649054</v>
      </c>
    </row>
    <row r="731" spans="7:8" x14ac:dyDescent="0.3">
      <c r="G731" s="173">
        <f t="shared" si="30"/>
        <v>64644.903839781</v>
      </c>
      <c r="H731" s="175">
        <f t="shared" si="31"/>
        <v>64644.903839781</v>
      </c>
    </row>
    <row r="732" spans="7:8" x14ac:dyDescent="0.3">
      <c r="G732" s="173">
        <f t="shared" si="30"/>
        <v>64674.434433912946</v>
      </c>
      <c r="H732" s="175">
        <f t="shared" si="31"/>
        <v>64674.434433912946</v>
      </c>
    </row>
    <row r="733" spans="7:8" x14ac:dyDescent="0.3">
      <c r="G733" s="173">
        <f t="shared" si="30"/>
        <v>64703.965028044891</v>
      </c>
      <c r="H733" s="175">
        <f t="shared" si="31"/>
        <v>64703.965028044891</v>
      </c>
    </row>
    <row r="734" spans="7:8" x14ac:dyDescent="0.3">
      <c r="G734" s="173">
        <f t="shared" si="30"/>
        <v>64733.495622176837</v>
      </c>
      <c r="H734" s="175">
        <f t="shared" si="31"/>
        <v>64733.495622176837</v>
      </c>
    </row>
    <row r="735" spans="7:8" x14ac:dyDescent="0.3">
      <c r="G735" s="173">
        <f t="shared" si="30"/>
        <v>64763.026216308783</v>
      </c>
      <c r="H735" s="175">
        <f t="shared" si="31"/>
        <v>64763.026216308783</v>
      </c>
    </row>
    <row r="736" spans="7:8" x14ac:dyDescent="0.3">
      <c r="G736" s="173">
        <f t="shared" si="30"/>
        <v>64792.556810440728</v>
      </c>
      <c r="H736" s="175">
        <f t="shared" si="31"/>
        <v>64792.556810440728</v>
      </c>
    </row>
    <row r="737" spans="7:8" x14ac:dyDescent="0.3">
      <c r="G737" s="173">
        <f t="shared" si="30"/>
        <v>64822.087404572674</v>
      </c>
      <c r="H737" s="175">
        <f t="shared" si="31"/>
        <v>64822.087404572674</v>
      </c>
    </row>
    <row r="738" spans="7:8" x14ac:dyDescent="0.3">
      <c r="G738" s="173">
        <f t="shared" si="30"/>
        <v>64851.61799870462</v>
      </c>
      <c r="H738" s="175">
        <f t="shared" si="31"/>
        <v>64851.61799870462</v>
      </c>
    </row>
    <row r="739" spans="7:8" x14ac:dyDescent="0.3">
      <c r="G739" s="173">
        <f t="shared" si="30"/>
        <v>64881.148592836566</v>
      </c>
      <c r="H739" s="175">
        <f t="shared" si="31"/>
        <v>64881.148592836566</v>
      </c>
    </row>
    <row r="740" spans="7:8" x14ac:dyDescent="0.3">
      <c r="G740" s="173">
        <f t="shared" si="30"/>
        <v>64910.679186968511</v>
      </c>
      <c r="H740" s="175">
        <f t="shared" si="31"/>
        <v>64910.679186968511</v>
      </c>
    </row>
    <row r="741" spans="7:8" x14ac:dyDescent="0.3">
      <c r="G741" s="173">
        <f t="shared" si="30"/>
        <v>64940.209781100457</v>
      </c>
      <c r="H741" s="175">
        <f t="shared" si="31"/>
        <v>64940.209781100457</v>
      </c>
    </row>
    <row r="742" spans="7:8" x14ac:dyDescent="0.3">
      <c r="G742" s="173">
        <f t="shared" si="30"/>
        <v>64969.740375232403</v>
      </c>
      <c r="H742" s="175">
        <f t="shared" si="31"/>
        <v>64969.740375232403</v>
      </c>
    </row>
    <row r="743" spans="7:8" x14ac:dyDescent="0.3">
      <c r="G743" s="173">
        <f t="shared" si="30"/>
        <v>64999.270969364348</v>
      </c>
      <c r="H743" s="175">
        <f t="shared" si="31"/>
        <v>64999.270969364348</v>
      </c>
    </row>
    <row r="744" spans="7:8" x14ac:dyDescent="0.3">
      <c r="G744" s="173">
        <f t="shared" si="30"/>
        <v>65028.801563496294</v>
      </c>
      <c r="H744" s="175">
        <f t="shared" si="31"/>
        <v>65028.801563496294</v>
      </c>
    </row>
    <row r="745" spans="7:8" x14ac:dyDescent="0.3">
      <c r="G745" s="173">
        <f t="shared" si="30"/>
        <v>65058.33215762824</v>
      </c>
      <c r="H745" s="175">
        <f t="shared" si="31"/>
        <v>65058.33215762824</v>
      </c>
    </row>
    <row r="746" spans="7:8" x14ac:dyDescent="0.3">
      <c r="G746" s="173">
        <f t="shared" si="30"/>
        <v>65087.862751760185</v>
      </c>
      <c r="H746" s="175">
        <f t="shared" si="31"/>
        <v>65087.862751760185</v>
      </c>
    </row>
    <row r="747" spans="7:8" x14ac:dyDescent="0.3">
      <c r="G747" s="173">
        <f t="shared" si="30"/>
        <v>65117.393345892131</v>
      </c>
      <c r="H747" s="175">
        <f t="shared" si="31"/>
        <v>65117.393345892131</v>
      </c>
    </row>
    <row r="748" spans="7:8" x14ac:dyDescent="0.3">
      <c r="G748" s="173">
        <f t="shared" si="30"/>
        <v>65146.923940024077</v>
      </c>
      <c r="H748" s="175">
        <f t="shared" si="31"/>
        <v>65146.923940024077</v>
      </c>
    </row>
    <row r="749" spans="7:8" x14ac:dyDescent="0.3">
      <c r="G749" s="173">
        <f t="shared" si="30"/>
        <v>65176.454534156022</v>
      </c>
      <c r="H749" s="175">
        <f t="shared" si="31"/>
        <v>65176.454534156022</v>
      </c>
    </row>
    <row r="750" spans="7:8" x14ac:dyDescent="0.3">
      <c r="G750" s="173">
        <f t="shared" si="30"/>
        <v>65205.985128287968</v>
      </c>
      <c r="H750" s="175">
        <f t="shared" si="31"/>
        <v>65205.985128287968</v>
      </c>
    </row>
    <row r="751" spans="7:8" x14ac:dyDescent="0.3">
      <c r="G751" s="173">
        <f t="shared" si="30"/>
        <v>65235.515722419914</v>
      </c>
      <c r="H751" s="175">
        <f t="shared" si="31"/>
        <v>65235.515722419914</v>
      </c>
    </row>
    <row r="752" spans="7:8" x14ac:dyDescent="0.3">
      <c r="G752" s="173">
        <f t="shared" si="30"/>
        <v>65265.046316551859</v>
      </c>
      <c r="H752" s="175">
        <f t="shared" si="31"/>
        <v>65265.046316551859</v>
      </c>
    </row>
    <row r="753" spans="7:8" x14ac:dyDescent="0.3">
      <c r="G753" s="173">
        <f t="shared" si="30"/>
        <v>65294.576910683805</v>
      </c>
      <c r="H753" s="175">
        <f t="shared" si="31"/>
        <v>65294.576910683805</v>
      </c>
    </row>
    <row r="754" spans="7:8" x14ac:dyDescent="0.3">
      <c r="G754" s="173">
        <f t="shared" si="30"/>
        <v>65324.107504815751</v>
      </c>
      <c r="H754" s="175">
        <f t="shared" si="31"/>
        <v>65324.107504815751</v>
      </c>
    </row>
    <row r="755" spans="7:8" x14ac:dyDescent="0.3">
      <c r="G755" s="173">
        <f t="shared" si="30"/>
        <v>65353.638098947697</v>
      </c>
      <c r="H755" s="175">
        <f t="shared" si="31"/>
        <v>65353.638098947697</v>
      </c>
    </row>
    <row r="756" spans="7:8" x14ac:dyDescent="0.3">
      <c r="G756" s="173">
        <f t="shared" si="30"/>
        <v>65383.168693079642</v>
      </c>
      <c r="H756" s="175">
        <f t="shared" si="31"/>
        <v>65383.168693079642</v>
      </c>
    </row>
    <row r="757" spans="7:8" x14ac:dyDescent="0.3">
      <c r="G757" s="173">
        <f t="shared" si="30"/>
        <v>65412.699287211588</v>
      </c>
      <c r="H757" s="175">
        <f t="shared" si="31"/>
        <v>65412.699287211588</v>
      </c>
    </row>
    <row r="758" spans="7:8" x14ac:dyDescent="0.3">
      <c r="G758" s="173">
        <f t="shared" si="30"/>
        <v>65442.229881343534</v>
      </c>
      <c r="H758" s="175">
        <f t="shared" si="31"/>
        <v>65442.229881343534</v>
      </c>
    </row>
    <row r="759" spans="7:8" x14ac:dyDescent="0.3">
      <c r="G759" s="173">
        <f t="shared" si="30"/>
        <v>65471.760475475479</v>
      </c>
      <c r="H759" s="175">
        <f t="shared" si="31"/>
        <v>65471.760475475479</v>
      </c>
    </row>
    <row r="760" spans="7:8" x14ac:dyDescent="0.3">
      <c r="G760" s="173">
        <f t="shared" si="30"/>
        <v>65501.291069607425</v>
      </c>
      <c r="H760" s="175">
        <f t="shared" si="31"/>
        <v>65501.291069607425</v>
      </c>
    </row>
    <row r="761" spans="7:8" x14ac:dyDescent="0.3">
      <c r="G761" s="173">
        <f t="shared" si="30"/>
        <v>65530.821663739371</v>
      </c>
      <c r="H761" s="175">
        <f t="shared" si="31"/>
        <v>65530.821663739371</v>
      </c>
    </row>
    <row r="762" spans="7:8" x14ac:dyDescent="0.3">
      <c r="G762" s="173">
        <f t="shared" si="30"/>
        <v>65560.352257871316</v>
      </c>
      <c r="H762" s="175">
        <f t="shared" si="31"/>
        <v>65560.352257871316</v>
      </c>
    </row>
    <row r="763" spans="7:8" x14ac:dyDescent="0.3">
      <c r="G763" s="173">
        <f t="shared" si="30"/>
        <v>65589.882852003255</v>
      </c>
      <c r="H763" s="175">
        <f t="shared" si="31"/>
        <v>65589.882852003255</v>
      </c>
    </row>
    <row r="764" spans="7:8" x14ac:dyDescent="0.3">
      <c r="G764" s="173">
        <f t="shared" si="30"/>
        <v>65619.413446135193</v>
      </c>
      <c r="H764" s="175">
        <f t="shared" si="31"/>
        <v>65619.413446135193</v>
      </c>
    </row>
    <row r="765" spans="7:8" x14ac:dyDescent="0.3">
      <c r="G765" s="173">
        <f t="shared" si="30"/>
        <v>65648.944040267132</v>
      </c>
      <c r="H765" s="175">
        <f t="shared" si="31"/>
        <v>65648.944040267132</v>
      </c>
    </row>
    <row r="766" spans="7:8" x14ac:dyDescent="0.3">
      <c r="G766" s="173">
        <f t="shared" si="30"/>
        <v>65678.47463439907</v>
      </c>
      <c r="H766" s="175">
        <f t="shared" si="31"/>
        <v>65678.47463439907</v>
      </c>
    </row>
    <row r="767" spans="7:8" x14ac:dyDescent="0.3">
      <c r="G767" s="173">
        <f t="shared" si="30"/>
        <v>65708.005228531008</v>
      </c>
      <c r="H767" s="175">
        <f t="shared" si="31"/>
        <v>65708.005228531008</v>
      </c>
    </row>
    <row r="768" spans="7:8" x14ac:dyDescent="0.3">
      <c r="G768" s="173">
        <f t="shared" si="30"/>
        <v>65737.535822662947</v>
      </c>
      <c r="H768" s="175">
        <f t="shared" si="31"/>
        <v>65737.535822662947</v>
      </c>
    </row>
    <row r="769" spans="7:8" x14ac:dyDescent="0.3">
      <c r="G769" s="173">
        <f t="shared" si="30"/>
        <v>65767.066416794885</v>
      </c>
      <c r="H769" s="175">
        <f t="shared" si="31"/>
        <v>65767.066416794885</v>
      </c>
    </row>
    <row r="770" spans="7:8" x14ac:dyDescent="0.3">
      <c r="G770" s="173">
        <f t="shared" si="30"/>
        <v>65796.597010926824</v>
      </c>
      <c r="H770" s="175">
        <f t="shared" si="31"/>
        <v>65796.597010926824</v>
      </c>
    </row>
    <row r="771" spans="7:8" x14ac:dyDescent="0.3">
      <c r="G771" s="173">
        <f t="shared" si="30"/>
        <v>65826.127605058762</v>
      </c>
      <c r="H771" s="175">
        <f t="shared" si="31"/>
        <v>65826.127605058762</v>
      </c>
    </row>
    <row r="772" spans="7:8" x14ac:dyDescent="0.3">
      <c r="G772" s="173">
        <f t="shared" ref="G772:G835" si="32">G771+$E$1</f>
        <v>65855.658199190701</v>
      </c>
      <c r="H772" s="175">
        <f t="shared" si="31"/>
        <v>65855.658199190701</v>
      </c>
    </row>
    <row r="773" spans="7:8" x14ac:dyDescent="0.3">
      <c r="G773" s="173">
        <f t="shared" si="32"/>
        <v>65885.188793322639</v>
      </c>
      <c r="H773" s="175">
        <f t="shared" si="31"/>
        <v>65885.188793322639</v>
      </c>
    </row>
    <row r="774" spans="7:8" x14ac:dyDescent="0.3">
      <c r="G774" s="173">
        <f t="shared" si="32"/>
        <v>65914.719387454577</v>
      </c>
      <c r="H774" s="175">
        <f t="shared" si="31"/>
        <v>65914.719387454577</v>
      </c>
    </row>
    <row r="775" spans="7:8" x14ac:dyDescent="0.3">
      <c r="G775" s="173">
        <f t="shared" si="32"/>
        <v>65944.249981586516</v>
      </c>
      <c r="H775" s="175">
        <f t="shared" si="31"/>
        <v>65944.249981586516</v>
      </c>
    </row>
    <row r="776" spans="7:8" x14ac:dyDescent="0.3">
      <c r="G776" s="173">
        <f t="shared" si="32"/>
        <v>65973.780575718454</v>
      </c>
      <c r="H776" s="175">
        <f t="shared" si="31"/>
        <v>65973.780575718454</v>
      </c>
    </row>
    <row r="777" spans="7:8" x14ac:dyDescent="0.3">
      <c r="G777" s="173">
        <f t="shared" si="32"/>
        <v>66003.311169850393</v>
      </c>
      <c r="H777" s="175">
        <f t="shared" si="31"/>
        <v>66003.311169850393</v>
      </c>
    </row>
    <row r="778" spans="7:8" x14ac:dyDescent="0.3">
      <c r="G778" s="173">
        <f t="shared" si="32"/>
        <v>66032.841763982331</v>
      </c>
      <c r="H778" s="175">
        <f t="shared" si="31"/>
        <v>66032.841763982331</v>
      </c>
    </row>
    <row r="779" spans="7:8" x14ac:dyDescent="0.3">
      <c r="G779" s="173">
        <f t="shared" si="32"/>
        <v>66062.372358114269</v>
      </c>
      <c r="H779" s="175">
        <f t="shared" si="31"/>
        <v>66062.372358114269</v>
      </c>
    </row>
    <row r="780" spans="7:8" x14ac:dyDescent="0.3">
      <c r="G780" s="173">
        <f t="shared" si="32"/>
        <v>66091.902952246208</v>
      </c>
      <c r="H780" s="175">
        <f t="shared" si="31"/>
        <v>66091.902952246208</v>
      </c>
    </row>
    <row r="781" spans="7:8" x14ac:dyDescent="0.3">
      <c r="G781" s="173">
        <f t="shared" si="32"/>
        <v>66121.433546378146</v>
      </c>
      <c r="H781" s="175">
        <f t="shared" ref="H781:H844" si="33">G781</f>
        <v>66121.433546378146</v>
      </c>
    </row>
    <row r="782" spans="7:8" x14ac:dyDescent="0.3">
      <c r="G782" s="173">
        <f t="shared" si="32"/>
        <v>66150.964140510085</v>
      </c>
      <c r="H782" s="175">
        <f t="shared" si="33"/>
        <v>66150.964140510085</v>
      </c>
    </row>
    <row r="783" spans="7:8" x14ac:dyDescent="0.3">
      <c r="G783" s="173">
        <f t="shared" si="32"/>
        <v>66180.494734642023</v>
      </c>
      <c r="H783" s="175">
        <f t="shared" si="33"/>
        <v>66180.494734642023</v>
      </c>
    </row>
    <row r="784" spans="7:8" x14ac:dyDescent="0.3">
      <c r="G784" s="173">
        <f t="shared" si="32"/>
        <v>66210.025328773962</v>
      </c>
      <c r="H784" s="175">
        <f t="shared" si="33"/>
        <v>66210.025328773962</v>
      </c>
    </row>
    <row r="785" spans="7:8" x14ac:dyDescent="0.3">
      <c r="G785" s="173">
        <f t="shared" si="32"/>
        <v>66239.5559229059</v>
      </c>
      <c r="H785" s="175">
        <f t="shared" si="33"/>
        <v>66239.5559229059</v>
      </c>
    </row>
    <row r="786" spans="7:8" x14ac:dyDescent="0.3">
      <c r="G786" s="173">
        <f t="shared" si="32"/>
        <v>66269.086517037838</v>
      </c>
      <c r="H786" s="175">
        <f t="shared" si="33"/>
        <v>66269.086517037838</v>
      </c>
    </row>
    <row r="787" spans="7:8" x14ac:dyDescent="0.3">
      <c r="G787" s="173">
        <f t="shared" si="32"/>
        <v>66298.617111169777</v>
      </c>
      <c r="H787" s="175">
        <f t="shared" si="33"/>
        <v>66298.617111169777</v>
      </c>
    </row>
    <row r="788" spans="7:8" x14ac:dyDescent="0.3">
      <c r="G788" s="173">
        <f t="shared" si="32"/>
        <v>66328.147705301715</v>
      </c>
      <c r="H788" s="175">
        <f t="shared" si="33"/>
        <v>66328.147705301715</v>
      </c>
    </row>
    <row r="789" spans="7:8" x14ac:dyDescent="0.3">
      <c r="G789" s="173">
        <f t="shared" si="32"/>
        <v>66357.678299433654</v>
      </c>
      <c r="H789" s="175">
        <f t="shared" si="33"/>
        <v>66357.678299433654</v>
      </c>
    </row>
    <row r="790" spans="7:8" x14ac:dyDescent="0.3">
      <c r="G790" s="173">
        <f t="shared" si="32"/>
        <v>66387.208893565592</v>
      </c>
      <c r="H790" s="175">
        <f t="shared" si="33"/>
        <v>66387.208893565592</v>
      </c>
    </row>
    <row r="791" spans="7:8" x14ac:dyDescent="0.3">
      <c r="G791" s="173">
        <f t="shared" si="32"/>
        <v>66416.73948769753</v>
      </c>
      <c r="H791" s="175">
        <f t="shared" si="33"/>
        <v>66416.73948769753</v>
      </c>
    </row>
    <row r="792" spans="7:8" x14ac:dyDescent="0.3">
      <c r="G792" s="173">
        <f t="shared" si="32"/>
        <v>66446.270081829469</v>
      </c>
      <c r="H792" s="175">
        <f t="shared" si="33"/>
        <v>66446.270081829469</v>
      </c>
    </row>
    <row r="793" spans="7:8" x14ac:dyDescent="0.3">
      <c r="G793" s="173">
        <f t="shared" si="32"/>
        <v>66475.800675961407</v>
      </c>
      <c r="H793" s="175">
        <f t="shared" si="33"/>
        <v>66475.800675961407</v>
      </c>
    </row>
    <row r="794" spans="7:8" x14ac:dyDescent="0.3">
      <c r="G794" s="173">
        <f t="shared" si="32"/>
        <v>66505.331270093346</v>
      </c>
      <c r="H794" s="175">
        <f t="shared" si="33"/>
        <v>66505.331270093346</v>
      </c>
    </row>
    <row r="795" spans="7:8" x14ac:dyDescent="0.3">
      <c r="G795" s="173">
        <f t="shared" si="32"/>
        <v>66534.861864225284</v>
      </c>
      <c r="H795" s="175">
        <f t="shared" si="33"/>
        <v>66534.861864225284</v>
      </c>
    </row>
    <row r="796" spans="7:8" x14ac:dyDescent="0.3">
      <c r="G796" s="173">
        <f t="shared" si="32"/>
        <v>66564.392458357222</v>
      </c>
      <c r="H796" s="175">
        <f t="shared" si="33"/>
        <v>66564.392458357222</v>
      </c>
    </row>
    <row r="797" spans="7:8" x14ac:dyDescent="0.3">
      <c r="G797" s="173">
        <f t="shared" si="32"/>
        <v>66593.923052489161</v>
      </c>
      <c r="H797" s="175">
        <f t="shared" si="33"/>
        <v>66593.923052489161</v>
      </c>
    </row>
    <row r="798" spans="7:8" x14ac:dyDescent="0.3">
      <c r="G798" s="173">
        <f t="shared" si="32"/>
        <v>66623.453646621099</v>
      </c>
      <c r="H798" s="175">
        <f t="shared" si="33"/>
        <v>66623.453646621099</v>
      </c>
    </row>
    <row r="799" spans="7:8" x14ac:dyDescent="0.3">
      <c r="G799" s="173">
        <f t="shared" si="32"/>
        <v>66652.984240753038</v>
      </c>
      <c r="H799" s="175">
        <f t="shared" si="33"/>
        <v>66652.984240753038</v>
      </c>
    </row>
    <row r="800" spans="7:8" x14ac:dyDescent="0.3">
      <c r="G800" s="173">
        <f t="shared" si="32"/>
        <v>66682.514834884976</v>
      </c>
      <c r="H800" s="175">
        <f t="shared" si="33"/>
        <v>66682.514834884976</v>
      </c>
    </row>
    <row r="801" spans="7:8" x14ac:dyDescent="0.3">
      <c r="G801" s="173">
        <f t="shared" si="32"/>
        <v>66712.045429016915</v>
      </c>
      <c r="H801" s="175">
        <f t="shared" si="33"/>
        <v>66712.045429016915</v>
      </c>
    </row>
    <row r="802" spans="7:8" x14ac:dyDescent="0.3">
      <c r="G802" s="173">
        <f t="shared" si="32"/>
        <v>66741.576023148853</v>
      </c>
      <c r="H802" s="175">
        <f t="shared" si="33"/>
        <v>66741.576023148853</v>
      </c>
    </row>
    <row r="803" spans="7:8" x14ac:dyDescent="0.3">
      <c r="G803" s="173">
        <f t="shared" si="32"/>
        <v>66771.106617280791</v>
      </c>
      <c r="H803" s="175">
        <f t="shared" si="33"/>
        <v>66771.106617280791</v>
      </c>
    </row>
    <row r="804" spans="7:8" x14ac:dyDescent="0.3">
      <c r="G804" s="173">
        <f t="shared" si="32"/>
        <v>66800.63721141273</v>
      </c>
      <c r="H804" s="175">
        <f t="shared" si="33"/>
        <v>66800.63721141273</v>
      </c>
    </row>
    <row r="805" spans="7:8" x14ac:dyDescent="0.3">
      <c r="G805" s="173">
        <f t="shared" si="32"/>
        <v>66830.167805544668</v>
      </c>
      <c r="H805" s="175">
        <f t="shared" si="33"/>
        <v>66830.167805544668</v>
      </c>
    </row>
    <row r="806" spans="7:8" x14ac:dyDescent="0.3">
      <c r="G806" s="173">
        <f t="shared" si="32"/>
        <v>66859.698399676607</v>
      </c>
      <c r="H806" s="175">
        <f t="shared" si="33"/>
        <v>66859.698399676607</v>
      </c>
    </row>
    <row r="807" spans="7:8" x14ac:dyDescent="0.3">
      <c r="G807" s="173">
        <f t="shared" si="32"/>
        <v>66889.228993808545</v>
      </c>
      <c r="H807" s="175">
        <f t="shared" si="33"/>
        <v>66889.228993808545</v>
      </c>
    </row>
    <row r="808" spans="7:8" x14ac:dyDescent="0.3">
      <c r="G808" s="173">
        <f t="shared" si="32"/>
        <v>66918.759587940483</v>
      </c>
      <c r="H808" s="175">
        <f t="shared" si="33"/>
        <v>66918.759587940483</v>
      </c>
    </row>
    <row r="809" spans="7:8" x14ac:dyDescent="0.3">
      <c r="G809" s="173">
        <f t="shared" si="32"/>
        <v>66948.290182072422</v>
      </c>
      <c r="H809" s="175">
        <f t="shared" si="33"/>
        <v>66948.290182072422</v>
      </c>
    </row>
    <row r="810" spans="7:8" x14ac:dyDescent="0.3">
      <c r="G810" s="173">
        <f t="shared" si="32"/>
        <v>66977.82077620436</v>
      </c>
      <c r="H810" s="175">
        <f t="shared" si="33"/>
        <v>66977.82077620436</v>
      </c>
    </row>
    <row r="811" spans="7:8" x14ac:dyDescent="0.3">
      <c r="G811" s="173">
        <f t="shared" si="32"/>
        <v>67007.351370336299</v>
      </c>
      <c r="H811" s="175">
        <f t="shared" si="33"/>
        <v>67007.351370336299</v>
      </c>
    </row>
    <row r="812" spans="7:8" x14ac:dyDescent="0.3">
      <c r="G812" s="173">
        <f t="shared" si="32"/>
        <v>67036.881964468237</v>
      </c>
      <c r="H812" s="175">
        <f t="shared" si="33"/>
        <v>67036.881964468237</v>
      </c>
    </row>
    <row r="813" spans="7:8" x14ac:dyDescent="0.3">
      <c r="G813" s="173">
        <f t="shared" si="32"/>
        <v>67066.412558600176</v>
      </c>
      <c r="H813" s="175">
        <f t="shared" si="33"/>
        <v>67066.412558600176</v>
      </c>
    </row>
    <row r="814" spans="7:8" x14ac:dyDescent="0.3">
      <c r="G814" s="173">
        <f t="shared" si="32"/>
        <v>67095.943152732114</v>
      </c>
      <c r="H814" s="175">
        <f t="shared" si="33"/>
        <v>67095.943152732114</v>
      </c>
    </row>
    <row r="815" spans="7:8" x14ac:dyDescent="0.3">
      <c r="G815" s="173">
        <f t="shared" si="32"/>
        <v>67125.473746864052</v>
      </c>
      <c r="H815" s="175">
        <f t="shared" si="33"/>
        <v>67125.473746864052</v>
      </c>
    </row>
    <row r="816" spans="7:8" x14ac:dyDescent="0.3">
      <c r="G816" s="173">
        <f t="shared" si="32"/>
        <v>67155.004340995991</v>
      </c>
      <c r="H816" s="175">
        <f t="shared" si="33"/>
        <v>67155.004340995991</v>
      </c>
    </row>
    <row r="817" spans="7:8" x14ac:dyDescent="0.3">
      <c r="G817" s="173">
        <f t="shared" si="32"/>
        <v>67184.534935127929</v>
      </c>
      <c r="H817" s="175">
        <f t="shared" si="33"/>
        <v>67184.534935127929</v>
      </c>
    </row>
    <row r="818" spans="7:8" x14ac:dyDescent="0.3">
      <c r="G818" s="173">
        <f t="shared" si="32"/>
        <v>67214.065529259868</v>
      </c>
      <c r="H818" s="175">
        <f t="shared" si="33"/>
        <v>67214.065529259868</v>
      </c>
    </row>
    <row r="819" spans="7:8" x14ac:dyDescent="0.3">
      <c r="G819" s="173">
        <f t="shared" si="32"/>
        <v>67243.596123391806</v>
      </c>
      <c r="H819" s="175">
        <f t="shared" si="33"/>
        <v>67243.596123391806</v>
      </c>
    </row>
    <row r="820" spans="7:8" x14ac:dyDescent="0.3">
      <c r="G820" s="173">
        <f t="shared" si="32"/>
        <v>67273.126717523744</v>
      </c>
      <c r="H820" s="175">
        <f t="shared" si="33"/>
        <v>67273.126717523744</v>
      </c>
    </row>
    <row r="821" spans="7:8" x14ac:dyDescent="0.3">
      <c r="G821" s="173">
        <f t="shared" si="32"/>
        <v>67302.657311655683</v>
      </c>
      <c r="H821" s="175">
        <f t="shared" si="33"/>
        <v>67302.657311655683</v>
      </c>
    </row>
    <row r="822" spans="7:8" x14ac:dyDescent="0.3">
      <c r="G822" s="173">
        <f t="shared" si="32"/>
        <v>67332.187905787621</v>
      </c>
      <c r="H822" s="175">
        <f t="shared" si="33"/>
        <v>67332.187905787621</v>
      </c>
    </row>
    <row r="823" spans="7:8" x14ac:dyDescent="0.3">
      <c r="G823" s="173">
        <f t="shared" si="32"/>
        <v>67361.71849991956</v>
      </c>
      <c r="H823" s="175">
        <f t="shared" si="33"/>
        <v>67361.71849991956</v>
      </c>
    </row>
    <row r="824" spans="7:8" x14ac:dyDescent="0.3">
      <c r="G824" s="173">
        <f t="shared" si="32"/>
        <v>67391.249094051498</v>
      </c>
      <c r="H824" s="175">
        <f t="shared" si="33"/>
        <v>67391.249094051498</v>
      </c>
    </row>
    <row r="825" spans="7:8" x14ac:dyDescent="0.3">
      <c r="G825" s="173">
        <f t="shared" si="32"/>
        <v>67420.779688183437</v>
      </c>
      <c r="H825" s="175">
        <f t="shared" si="33"/>
        <v>67420.779688183437</v>
      </c>
    </row>
    <row r="826" spans="7:8" x14ac:dyDescent="0.3">
      <c r="G826" s="173">
        <f t="shared" si="32"/>
        <v>67450.310282315375</v>
      </c>
      <c r="H826" s="175">
        <f t="shared" si="33"/>
        <v>67450.310282315375</v>
      </c>
    </row>
    <row r="827" spans="7:8" x14ac:dyDescent="0.3">
      <c r="G827" s="173">
        <f t="shared" si="32"/>
        <v>67479.840876447313</v>
      </c>
      <c r="H827" s="175">
        <f t="shared" si="33"/>
        <v>67479.840876447313</v>
      </c>
    </row>
    <row r="828" spans="7:8" x14ac:dyDescent="0.3">
      <c r="G828" s="173">
        <f t="shared" si="32"/>
        <v>67509.371470579252</v>
      </c>
      <c r="H828" s="175">
        <f t="shared" si="33"/>
        <v>67509.371470579252</v>
      </c>
    </row>
    <row r="829" spans="7:8" x14ac:dyDescent="0.3">
      <c r="G829" s="173">
        <f t="shared" si="32"/>
        <v>67538.90206471119</v>
      </c>
      <c r="H829" s="175">
        <f t="shared" si="33"/>
        <v>67538.90206471119</v>
      </c>
    </row>
    <row r="830" spans="7:8" x14ac:dyDescent="0.3">
      <c r="G830" s="173">
        <f t="shared" si="32"/>
        <v>67568.432658843129</v>
      </c>
      <c r="H830" s="175">
        <f t="shared" si="33"/>
        <v>67568.432658843129</v>
      </c>
    </row>
    <row r="831" spans="7:8" x14ac:dyDescent="0.3">
      <c r="G831" s="173">
        <f t="shared" si="32"/>
        <v>67597.963252975067</v>
      </c>
      <c r="H831" s="175">
        <f t="shared" si="33"/>
        <v>67597.963252975067</v>
      </c>
    </row>
    <row r="832" spans="7:8" x14ac:dyDescent="0.3">
      <c r="G832" s="173">
        <f t="shared" si="32"/>
        <v>67627.493847107005</v>
      </c>
      <c r="H832" s="175">
        <f t="shared" si="33"/>
        <v>67627.493847107005</v>
      </c>
    </row>
    <row r="833" spans="7:8" x14ac:dyDescent="0.3">
      <c r="G833" s="173">
        <f t="shared" si="32"/>
        <v>67657.024441238944</v>
      </c>
      <c r="H833" s="175">
        <f t="shared" si="33"/>
        <v>67657.024441238944</v>
      </c>
    </row>
    <row r="834" spans="7:8" x14ac:dyDescent="0.3">
      <c r="G834" s="173">
        <f t="shared" si="32"/>
        <v>67686.555035370882</v>
      </c>
      <c r="H834" s="175">
        <f t="shared" si="33"/>
        <v>67686.555035370882</v>
      </c>
    </row>
    <row r="835" spans="7:8" x14ac:dyDescent="0.3">
      <c r="G835" s="173">
        <f t="shared" si="32"/>
        <v>67716.085629502821</v>
      </c>
      <c r="H835" s="175">
        <f t="shared" si="33"/>
        <v>67716.085629502821</v>
      </c>
    </row>
    <row r="836" spans="7:8" x14ac:dyDescent="0.3">
      <c r="G836" s="173">
        <f t="shared" ref="G836:G899" si="34">G835+$E$1</f>
        <v>67745.616223634759</v>
      </c>
      <c r="H836" s="175">
        <f t="shared" si="33"/>
        <v>67745.616223634759</v>
      </c>
    </row>
    <row r="837" spans="7:8" x14ac:dyDescent="0.3">
      <c r="G837" s="173">
        <f t="shared" si="34"/>
        <v>67775.146817766697</v>
      </c>
      <c r="H837" s="175">
        <f t="shared" si="33"/>
        <v>67775.146817766697</v>
      </c>
    </row>
    <row r="838" spans="7:8" x14ac:dyDescent="0.3">
      <c r="G838" s="173">
        <f t="shared" si="34"/>
        <v>67804.677411898636</v>
      </c>
      <c r="H838" s="175">
        <f t="shared" si="33"/>
        <v>67804.677411898636</v>
      </c>
    </row>
    <row r="839" spans="7:8" x14ac:dyDescent="0.3">
      <c r="G839" s="173">
        <f t="shared" si="34"/>
        <v>67834.208006030574</v>
      </c>
      <c r="H839" s="175">
        <f t="shared" si="33"/>
        <v>67834.208006030574</v>
      </c>
    </row>
    <row r="840" spans="7:8" x14ac:dyDescent="0.3">
      <c r="G840" s="173">
        <f t="shared" si="34"/>
        <v>67863.738600162513</v>
      </c>
      <c r="H840" s="175">
        <f t="shared" si="33"/>
        <v>67863.738600162513</v>
      </c>
    </row>
    <row r="841" spans="7:8" x14ac:dyDescent="0.3">
      <c r="G841" s="173">
        <f t="shared" si="34"/>
        <v>67893.269194294451</v>
      </c>
      <c r="H841" s="175">
        <f t="shared" si="33"/>
        <v>67893.269194294451</v>
      </c>
    </row>
    <row r="842" spans="7:8" x14ac:dyDescent="0.3">
      <c r="G842" s="173">
        <f t="shared" si="34"/>
        <v>67922.79978842639</v>
      </c>
      <c r="H842" s="175">
        <f t="shared" si="33"/>
        <v>67922.79978842639</v>
      </c>
    </row>
    <row r="843" spans="7:8" x14ac:dyDescent="0.3">
      <c r="G843" s="173">
        <f t="shared" si="34"/>
        <v>67952.330382558328</v>
      </c>
      <c r="H843" s="175">
        <f t="shared" si="33"/>
        <v>67952.330382558328</v>
      </c>
    </row>
    <row r="844" spans="7:8" x14ac:dyDescent="0.3">
      <c r="G844" s="173">
        <f t="shared" si="34"/>
        <v>67981.860976690266</v>
      </c>
      <c r="H844" s="175">
        <f t="shared" si="33"/>
        <v>67981.860976690266</v>
      </c>
    </row>
    <row r="845" spans="7:8" x14ac:dyDescent="0.3">
      <c r="G845" s="173">
        <f t="shared" si="34"/>
        <v>68011.391570822205</v>
      </c>
      <c r="H845" s="175">
        <f t="shared" ref="H845:H908" si="35">G845</f>
        <v>68011.391570822205</v>
      </c>
    </row>
    <row r="846" spans="7:8" x14ac:dyDescent="0.3">
      <c r="G846" s="173">
        <f t="shared" si="34"/>
        <v>68040.922164954143</v>
      </c>
      <c r="H846" s="175">
        <f t="shared" si="35"/>
        <v>68040.922164954143</v>
      </c>
    </row>
    <row r="847" spans="7:8" x14ac:dyDescent="0.3">
      <c r="G847" s="173">
        <f t="shared" si="34"/>
        <v>68070.452759086082</v>
      </c>
      <c r="H847" s="175">
        <f t="shared" si="35"/>
        <v>68070.452759086082</v>
      </c>
    </row>
    <row r="848" spans="7:8" x14ac:dyDescent="0.3">
      <c r="G848" s="173">
        <f t="shared" si="34"/>
        <v>68099.98335321802</v>
      </c>
      <c r="H848" s="175">
        <f t="shared" si="35"/>
        <v>68099.98335321802</v>
      </c>
    </row>
    <row r="849" spans="7:8" x14ac:dyDescent="0.3">
      <c r="G849" s="173">
        <f t="shared" si="34"/>
        <v>68129.513947349958</v>
      </c>
      <c r="H849" s="175">
        <f t="shared" si="35"/>
        <v>68129.513947349958</v>
      </c>
    </row>
    <row r="850" spans="7:8" x14ac:dyDescent="0.3">
      <c r="G850" s="173">
        <f t="shared" si="34"/>
        <v>68159.044541481897</v>
      </c>
      <c r="H850" s="175">
        <f t="shared" si="35"/>
        <v>68159.044541481897</v>
      </c>
    </row>
    <row r="851" spans="7:8" x14ac:dyDescent="0.3">
      <c r="G851" s="173">
        <f t="shared" si="34"/>
        <v>68188.575135613835</v>
      </c>
      <c r="H851" s="175">
        <f t="shared" si="35"/>
        <v>68188.575135613835</v>
      </c>
    </row>
    <row r="852" spans="7:8" x14ac:dyDescent="0.3">
      <c r="G852" s="173">
        <f t="shared" si="34"/>
        <v>68218.105729745774</v>
      </c>
      <c r="H852" s="175">
        <f t="shared" si="35"/>
        <v>68218.105729745774</v>
      </c>
    </row>
    <row r="853" spans="7:8" x14ac:dyDescent="0.3">
      <c r="G853" s="173">
        <f t="shared" si="34"/>
        <v>68247.636323877712</v>
      </c>
      <c r="H853" s="175">
        <f t="shared" si="35"/>
        <v>68247.636323877712</v>
      </c>
    </row>
    <row r="854" spans="7:8" x14ac:dyDescent="0.3">
      <c r="G854" s="173">
        <f t="shared" si="34"/>
        <v>68277.166918009651</v>
      </c>
      <c r="H854" s="175">
        <f t="shared" si="35"/>
        <v>68277.166918009651</v>
      </c>
    </row>
    <row r="855" spans="7:8" x14ac:dyDescent="0.3">
      <c r="G855" s="173">
        <f t="shared" si="34"/>
        <v>68306.697512141589</v>
      </c>
      <c r="H855" s="175">
        <f t="shared" si="35"/>
        <v>68306.697512141589</v>
      </c>
    </row>
    <row r="856" spans="7:8" x14ac:dyDescent="0.3">
      <c r="G856" s="173">
        <f t="shared" si="34"/>
        <v>68336.228106273527</v>
      </c>
      <c r="H856" s="175">
        <f t="shared" si="35"/>
        <v>68336.228106273527</v>
      </c>
    </row>
    <row r="857" spans="7:8" x14ac:dyDescent="0.3">
      <c r="G857" s="173">
        <f t="shared" si="34"/>
        <v>68365.758700405466</v>
      </c>
      <c r="H857" s="175">
        <f t="shared" si="35"/>
        <v>68365.758700405466</v>
      </c>
    </row>
    <row r="858" spans="7:8" x14ac:dyDescent="0.3">
      <c r="G858" s="173">
        <f t="shared" si="34"/>
        <v>68395.289294537404</v>
      </c>
      <c r="H858" s="175">
        <f t="shared" si="35"/>
        <v>68395.289294537404</v>
      </c>
    </row>
    <row r="859" spans="7:8" x14ac:dyDescent="0.3">
      <c r="G859" s="173">
        <f t="shared" si="34"/>
        <v>68424.819888669343</v>
      </c>
      <c r="H859" s="175">
        <f t="shared" si="35"/>
        <v>68424.819888669343</v>
      </c>
    </row>
    <row r="860" spans="7:8" x14ac:dyDescent="0.3">
      <c r="G860" s="173">
        <f t="shared" si="34"/>
        <v>68454.350482801281</v>
      </c>
      <c r="H860" s="175">
        <f t="shared" si="35"/>
        <v>68454.350482801281</v>
      </c>
    </row>
    <row r="861" spans="7:8" x14ac:dyDescent="0.3">
      <c r="G861" s="173">
        <f t="shared" si="34"/>
        <v>68483.881076933219</v>
      </c>
      <c r="H861" s="175">
        <f t="shared" si="35"/>
        <v>68483.881076933219</v>
      </c>
    </row>
    <row r="862" spans="7:8" x14ac:dyDescent="0.3">
      <c r="G862" s="173">
        <f t="shared" si="34"/>
        <v>68513.411671065158</v>
      </c>
      <c r="H862" s="175">
        <f t="shared" si="35"/>
        <v>68513.411671065158</v>
      </c>
    </row>
    <row r="863" spans="7:8" x14ac:dyDescent="0.3">
      <c r="G863" s="173">
        <f t="shared" si="34"/>
        <v>68542.942265197096</v>
      </c>
      <c r="H863" s="175">
        <f t="shared" si="35"/>
        <v>68542.942265197096</v>
      </c>
    </row>
    <row r="864" spans="7:8" x14ac:dyDescent="0.3">
      <c r="G864" s="173">
        <f t="shared" si="34"/>
        <v>68572.472859329035</v>
      </c>
      <c r="H864" s="175">
        <f t="shared" si="35"/>
        <v>68572.472859329035</v>
      </c>
    </row>
    <row r="865" spans="7:8" x14ac:dyDescent="0.3">
      <c r="G865" s="173">
        <f t="shared" si="34"/>
        <v>68602.003453460973</v>
      </c>
      <c r="H865" s="175">
        <f t="shared" si="35"/>
        <v>68602.003453460973</v>
      </c>
    </row>
    <row r="866" spans="7:8" x14ac:dyDescent="0.3">
      <c r="G866" s="173">
        <f t="shared" si="34"/>
        <v>68631.534047592912</v>
      </c>
      <c r="H866" s="175">
        <f t="shared" si="35"/>
        <v>68631.534047592912</v>
      </c>
    </row>
    <row r="867" spans="7:8" x14ac:dyDescent="0.3">
      <c r="G867" s="173">
        <f t="shared" si="34"/>
        <v>68661.06464172485</v>
      </c>
      <c r="H867" s="175">
        <f t="shared" si="35"/>
        <v>68661.06464172485</v>
      </c>
    </row>
    <row r="868" spans="7:8" x14ac:dyDescent="0.3">
      <c r="G868" s="173">
        <f t="shared" si="34"/>
        <v>68690.595235856788</v>
      </c>
      <c r="H868" s="175">
        <f t="shared" si="35"/>
        <v>68690.595235856788</v>
      </c>
    </row>
    <row r="869" spans="7:8" x14ac:dyDescent="0.3">
      <c r="G869" s="173">
        <f t="shared" si="34"/>
        <v>68720.125829988727</v>
      </c>
      <c r="H869" s="175">
        <f t="shared" si="35"/>
        <v>68720.125829988727</v>
      </c>
    </row>
    <row r="870" spans="7:8" x14ac:dyDescent="0.3">
      <c r="G870" s="173">
        <f t="shared" si="34"/>
        <v>68749.656424120665</v>
      </c>
      <c r="H870" s="175">
        <f t="shared" si="35"/>
        <v>68749.656424120665</v>
      </c>
    </row>
    <row r="871" spans="7:8" x14ac:dyDescent="0.3">
      <c r="G871" s="173">
        <f t="shared" si="34"/>
        <v>68779.187018252604</v>
      </c>
      <c r="H871" s="175">
        <f t="shared" si="35"/>
        <v>68779.187018252604</v>
      </c>
    </row>
    <row r="872" spans="7:8" x14ac:dyDescent="0.3">
      <c r="G872" s="173">
        <f t="shared" si="34"/>
        <v>68808.717612384542</v>
      </c>
      <c r="H872" s="175">
        <f t="shared" si="35"/>
        <v>68808.717612384542</v>
      </c>
    </row>
    <row r="873" spans="7:8" x14ac:dyDescent="0.3">
      <c r="G873" s="173">
        <f t="shared" si="34"/>
        <v>68838.24820651648</v>
      </c>
      <c r="H873" s="175">
        <f t="shared" si="35"/>
        <v>68838.24820651648</v>
      </c>
    </row>
    <row r="874" spans="7:8" x14ac:dyDescent="0.3">
      <c r="G874" s="173">
        <f t="shared" si="34"/>
        <v>68867.778800648419</v>
      </c>
      <c r="H874" s="175">
        <f t="shared" si="35"/>
        <v>68867.778800648419</v>
      </c>
    </row>
    <row r="875" spans="7:8" x14ac:dyDescent="0.3">
      <c r="G875" s="173">
        <f t="shared" si="34"/>
        <v>68897.309394780357</v>
      </c>
      <c r="H875" s="175">
        <f t="shared" si="35"/>
        <v>68897.309394780357</v>
      </c>
    </row>
    <row r="876" spans="7:8" x14ac:dyDescent="0.3">
      <c r="G876" s="173">
        <f t="shared" si="34"/>
        <v>68926.839988912296</v>
      </c>
      <c r="H876" s="175">
        <f t="shared" si="35"/>
        <v>68926.839988912296</v>
      </c>
    </row>
    <row r="877" spans="7:8" x14ac:dyDescent="0.3">
      <c r="G877" s="173">
        <f t="shared" si="34"/>
        <v>68956.370583044234</v>
      </c>
      <c r="H877" s="175">
        <f t="shared" si="35"/>
        <v>68956.370583044234</v>
      </c>
    </row>
    <row r="878" spans="7:8" x14ac:dyDescent="0.3">
      <c r="G878" s="173">
        <f t="shared" si="34"/>
        <v>68985.901177176172</v>
      </c>
      <c r="H878" s="175">
        <f t="shared" si="35"/>
        <v>68985.901177176172</v>
      </c>
    </row>
    <row r="879" spans="7:8" x14ac:dyDescent="0.3">
      <c r="G879" s="173">
        <f t="shared" si="34"/>
        <v>69015.431771308111</v>
      </c>
      <c r="H879" s="175">
        <f t="shared" si="35"/>
        <v>69015.431771308111</v>
      </c>
    </row>
    <row r="880" spans="7:8" x14ac:dyDescent="0.3">
      <c r="G880" s="173">
        <f t="shared" si="34"/>
        <v>69044.962365440049</v>
      </c>
      <c r="H880" s="175">
        <f t="shared" si="35"/>
        <v>69044.962365440049</v>
      </c>
    </row>
    <row r="881" spans="7:8" x14ac:dyDescent="0.3">
      <c r="G881" s="173">
        <f t="shared" si="34"/>
        <v>69074.492959571988</v>
      </c>
      <c r="H881" s="175">
        <f t="shared" si="35"/>
        <v>69074.492959571988</v>
      </c>
    </row>
    <row r="882" spans="7:8" x14ac:dyDescent="0.3">
      <c r="G882" s="173">
        <f t="shared" si="34"/>
        <v>69104.023553703926</v>
      </c>
      <c r="H882" s="175">
        <f t="shared" si="35"/>
        <v>69104.023553703926</v>
      </c>
    </row>
    <row r="883" spans="7:8" x14ac:dyDescent="0.3">
      <c r="G883" s="173">
        <f t="shared" si="34"/>
        <v>69133.554147835865</v>
      </c>
      <c r="H883" s="175">
        <f t="shared" si="35"/>
        <v>69133.554147835865</v>
      </c>
    </row>
    <row r="884" spans="7:8" x14ac:dyDescent="0.3">
      <c r="G884" s="173">
        <f t="shared" si="34"/>
        <v>69163.084741967803</v>
      </c>
      <c r="H884" s="175">
        <f t="shared" si="35"/>
        <v>69163.084741967803</v>
      </c>
    </row>
    <row r="885" spans="7:8" x14ac:dyDescent="0.3">
      <c r="G885" s="173">
        <f t="shared" si="34"/>
        <v>69192.615336099741</v>
      </c>
      <c r="H885" s="175">
        <f t="shared" si="35"/>
        <v>69192.615336099741</v>
      </c>
    </row>
    <row r="886" spans="7:8" x14ac:dyDescent="0.3">
      <c r="G886" s="173">
        <f t="shared" si="34"/>
        <v>69222.14593023168</v>
      </c>
      <c r="H886" s="175">
        <f t="shared" si="35"/>
        <v>69222.14593023168</v>
      </c>
    </row>
    <row r="887" spans="7:8" x14ac:dyDescent="0.3">
      <c r="G887" s="173">
        <f t="shared" si="34"/>
        <v>69251.676524363618</v>
      </c>
      <c r="H887" s="175">
        <f t="shared" si="35"/>
        <v>69251.676524363618</v>
      </c>
    </row>
    <row r="888" spans="7:8" x14ac:dyDescent="0.3">
      <c r="G888" s="173">
        <f t="shared" si="34"/>
        <v>69281.207118495557</v>
      </c>
      <c r="H888" s="175">
        <f t="shared" si="35"/>
        <v>69281.207118495557</v>
      </c>
    </row>
    <row r="889" spans="7:8" x14ac:dyDescent="0.3">
      <c r="G889" s="173">
        <f t="shared" si="34"/>
        <v>69310.737712627495</v>
      </c>
      <c r="H889" s="175">
        <f t="shared" si="35"/>
        <v>69310.737712627495</v>
      </c>
    </row>
    <row r="890" spans="7:8" x14ac:dyDescent="0.3">
      <c r="G890" s="173">
        <f t="shared" si="34"/>
        <v>69340.268306759433</v>
      </c>
      <c r="H890" s="175">
        <f t="shared" si="35"/>
        <v>69340.268306759433</v>
      </c>
    </row>
    <row r="891" spans="7:8" x14ac:dyDescent="0.3">
      <c r="G891" s="173">
        <f t="shared" si="34"/>
        <v>69369.798900891372</v>
      </c>
      <c r="H891" s="175">
        <f t="shared" si="35"/>
        <v>69369.798900891372</v>
      </c>
    </row>
    <row r="892" spans="7:8" x14ac:dyDescent="0.3">
      <c r="G892" s="173">
        <f t="shared" si="34"/>
        <v>69399.32949502331</v>
      </c>
      <c r="H892" s="175">
        <f t="shared" si="35"/>
        <v>69399.32949502331</v>
      </c>
    </row>
    <row r="893" spans="7:8" x14ac:dyDescent="0.3">
      <c r="G893" s="173">
        <f t="shared" si="34"/>
        <v>69428.860089155249</v>
      </c>
      <c r="H893" s="175">
        <f t="shared" si="35"/>
        <v>69428.860089155249</v>
      </c>
    </row>
    <row r="894" spans="7:8" x14ac:dyDescent="0.3">
      <c r="G894" s="173">
        <f t="shared" si="34"/>
        <v>69458.390683287187</v>
      </c>
      <c r="H894" s="175">
        <f t="shared" si="35"/>
        <v>69458.390683287187</v>
      </c>
    </row>
    <row r="895" spans="7:8" x14ac:dyDescent="0.3">
      <c r="G895" s="173">
        <f t="shared" si="34"/>
        <v>69487.921277419126</v>
      </c>
      <c r="H895" s="175">
        <f t="shared" si="35"/>
        <v>69487.921277419126</v>
      </c>
    </row>
    <row r="896" spans="7:8" x14ac:dyDescent="0.3">
      <c r="G896" s="173">
        <f t="shared" si="34"/>
        <v>69517.451871551064</v>
      </c>
      <c r="H896" s="175">
        <f t="shared" si="35"/>
        <v>69517.451871551064</v>
      </c>
    </row>
    <row r="897" spans="7:8" x14ac:dyDescent="0.3">
      <c r="G897" s="173">
        <f t="shared" si="34"/>
        <v>69546.982465683002</v>
      </c>
      <c r="H897" s="175">
        <f t="shared" si="35"/>
        <v>69546.982465683002</v>
      </c>
    </row>
    <row r="898" spans="7:8" x14ac:dyDescent="0.3">
      <c r="G898" s="173">
        <f t="shared" si="34"/>
        <v>69576.513059814941</v>
      </c>
      <c r="H898" s="175">
        <f t="shared" si="35"/>
        <v>69576.513059814941</v>
      </c>
    </row>
    <row r="899" spans="7:8" x14ac:dyDescent="0.3">
      <c r="G899" s="173">
        <f t="shared" si="34"/>
        <v>69606.043653946879</v>
      </c>
      <c r="H899" s="175">
        <f t="shared" si="35"/>
        <v>69606.043653946879</v>
      </c>
    </row>
    <row r="900" spans="7:8" x14ac:dyDescent="0.3">
      <c r="G900" s="173">
        <f t="shared" ref="G900:G963" si="36">G899+$E$1</f>
        <v>69635.574248078818</v>
      </c>
      <c r="H900" s="175">
        <f t="shared" si="35"/>
        <v>69635.574248078818</v>
      </c>
    </row>
    <row r="901" spans="7:8" x14ac:dyDescent="0.3">
      <c r="G901" s="173">
        <f t="shared" si="36"/>
        <v>69665.104842210756</v>
      </c>
      <c r="H901" s="175">
        <f t="shared" si="35"/>
        <v>69665.104842210756</v>
      </c>
    </row>
    <row r="902" spans="7:8" x14ac:dyDescent="0.3">
      <c r="G902" s="173">
        <f t="shared" si="36"/>
        <v>69694.635436342694</v>
      </c>
      <c r="H902" s="175">
        <f t="shared" si="35"/>
        <v>69694.635436342694</v>
      </c>
    </row>
    <row r="903" spans="7:8" x14ac:dyDescent="0.3">
      <c r="G903" s="173">
        <f t="shared" si="36"/>
        <v>69724.166030474633</v>
      </c>
      <c r="H903" s="175">
        <f t="shared" si="35"/>
        <v>69724.166030474633</v>
      </c>
    </row>
    <row r="904" spans="7:8" x14ac:dyDescent="0.3">
      <c r="G904" s="173">
        <f t="shared" si="36"/>
        <v>69753.696624606571</v>
      </c>
      <c r="H904" s="175">
        <f t="shared" si="35"/>
        <v>69753.696624606571</v>
      </c>
    </row>
    <row r="905" spans="7:8" x14ac:dyDescent="0.3">
      <c r="G905" s="173">
        <f t="shared" si="36"/>
        <v>69783.22721873851</v>
      </c>
      <c r="H905" s="175">
        <f t="shared" si="35"/>
        <v>69783.22721873851</v>
      </c>
    </row>
    <row r="906" spans="7:8" x14ac:dyDescent="0.3">
      <c r="G906" s="173">
        <f t="shared" si="36"/>
        <v>69812.757812870448</v>
      </c>
      <c r="H906" s="175">
        <f t="shared" si="35"/>
        <v>69812.757812870448</v>
      </c>
    </row>
    <row r="907" spans="7:8" x14ac:dyDescent="0.3">
      <c r="G907" s="173">
        <f t="shared" si="36"/>
        <v>69842.288407002387</v>
      </c>
      <c r="H907" s="175">
        <f t="shared" si="35"/>
        <v>69842.288407002387</v>
      </c>
    </row>
    <row r="908" spans="7:8" x14ac:dyDescent="0.3">
      <c r="G908" s="173">
        <f t="shared" si="36"/>
        <v>69871.819001134325</v>
      </c>
      <c r="H908" s="175">
        <f t="shared" si="35"/>
        <v>69871.819001134325</v>
      </c>
    </row>
    <row r="909" spans="7:8" x14ac:dyDescent="0.3">
      <c r="G909" s="173">
        <f t="shared" si="36"/>
        <v>69901.349595266263</v>
      </c>
      <c r="H909" s="175">
        <f t="shared" ref="H909:H972" si="37">G909</f>
        <v>69901.349595266263</v>
      </c>
    </row>
    <row r="910" spans="7:8" x14ac:dyDescent="0.3">
      <c r="G910" s="173">
        <f t="shared" si="36"/>
        <v>69930.880189398202</v>
      </c>
      <c r="H910" s="175">
        <f t="shared" si="37"/>
        <v>69930.880189398202</v>
      </c>
    </row>
    <row r="911" spans="7:8" x14ac:dyDescent="0.3">
      <c r="G911" s="173">
        <f t="shared" si="36"/>
        <v>69960.41078353014</v>
      </c>
      <c r="H911" s="175">
        <f t="shared" si="37"/>
        <v>69960.41078353014</v>
      </c>
    </row>
    <row r="912" spans="7:8" x14ac:dyDescent="0.3">
      <c r="G912" s="173">
        <f t="shared" si="36"/>
        <v>69989.941377662079</v>
      </c>
      <c r="H912" s="175">
        <f t="shared" si="37"/>
        <v>69989.941377662079</v>
      </c>
    </row>
    <row r="913" spans="7:8" x14ac:dyDescent="0.3">
      <c r="G913" s="173">
        <f t="shared" si="36"/>
        <v>70019.471971794017</v>
      </c>
      <c r="H913" s="175">
        <f t="shared" si="37"/>
        <v>70019.471971794017</v>
      </c>
    </row>
    <row r="914" spans="7:8" x14ac:dyDescent="0.3">
      <c r="G914" s="173">
        <f t="shared" si="36"/>
        <v>70049.002565925955</v>
      </c>
      <c r="H914" s="175">
        <f t="shared" si="37"/>
        <v>70049.002565925955</v>
      </c>
    </row>
    <row r="915" spans="7:8" x14ac:dyDescent="0.3">
      <c r="G915" s="173">
        <f t="shared" si="36"/>
        <v>70078.533160057894</v>
      </c>
      <c r="H915" s="175">
        <f t="shared" si="37"/>
        <v>70078.533160057894</v>
      </c>
    </row>
    <row r="916" spans="7:8" x14ac:dyDescent="0.3">
      <c r="G916" s="173">
        <f t="shared" si="36"/>
        <v>70108.063754189832</v>
      </c>
      <c r="H916" s="175">
        <f t="shared" si="37"/>
        <v>70108.063754189832</v>
      </c>
    </row>
    <row r="917" spans="7:8" x14ac:dyDescent="0.3">
      <c r="G917" s="173">
        <f t="shared" si="36"/>
        <v>70137.594348321771</v>
      </c>
      <c r="H917" s="175">
        <f t="shared" si="37"/>
        <v>70137.594348321771</v>
      </c>
    </row>
    <row r="918" spans="7:8" x14ac:dyDescent="0.3">
      <c r="G918" s="173">
        <f t="shared" si="36"/>
        <v>70167.124942453709</v>
      </c>
      <c r="H918" s="175">
        <f t="shared" si="37"/>
        <v>70167.124942453709</v>
      </c>
    </row>
    <row r="919" spans="7:8" x14ac:dyDescent="0.3">
      <c r="G919" s="173">
        <f t="shared" si="36"/>
        <v>70196.655536585647</v>
      </c>
      <c r="H919" s="175">
        <f t="shared" si="37"/>
        <v>70196.655536585647</v>
      </c>
    </row>
    <row r="920" spans="7:8" x14ac:dyDescent="0.3">
      <c r="G920" s="173">
        <f t="shared" si="36"/>
        <v>70226.186130717586</v>
      </c>
      <c r="H920" s="175">
        <f t="shared" si="37"/>
        <v>70226.186130717586</v>
      </c>
    </row>
    <row r="921" spans="7:8" x14ac:dyDescent="0.3">
      <c r="G921" s="173">
        <f t="shared" si="36"/>
        <v>70255.716724849524</v>
      </c>
      <c r="H921" s="175">
        <f t="shared" si="37"/>
        <v>70255.716724849524</v>
      </c>
    </row>
    <row r="922" spans="7:8" x14ac:dyDescent="0.3">
      <c r="G922" s="173">
        <f t="shared" si="36"/>
        <v>70285.247318981463</v>
      </c>
      <c r="H922" s="175">
        <f t="shared" si="37"/>
        <v>70285.247318981463</v>
      </c>
    </row>
    <row r="923" spans="7:8" x14ac:dyDescent="0.3">
      <c r="G923" s="173">
        <f t="shared" si="36"/>
        <v>70314.777913113401</v>
      </c>
      <c r="H923" s="175">
        <f t="shared" si="37"/>
        <v>70314.777913113401</v>
      </c>
    </row>
    <row r="924" spans="7:8" x14ac:dyDescent="0.3">
      <c r="G924" s="173">
        <f t="shared" si="36"/>
        <v>70344.30850724534</v>
      </c>
      <c r="H924" s="175">
        <f t="shared" si="37"/>
        <v>70344.30850724534</v>
      </c>
    </row>
    <row r="925" spans="7:8" x14ac:dyDescent="0.3">
      <c r="G925" s="173">
        <f t="shared" si="36"/>
        <v>70373.839101377278</v>
      </c>
      <c r="H925" s="175">
        <f t="shared" si="37"/>
        <v>70373.839101377278</v>
      </c>
    </row>
    <row r="926" spans="7:8" x14ac:dyDescent="0.3">
      <c r="G926" s="173">
        <f t="shared" si="36"/>
        <v>70403.369695509216</v>
      </c>
      <c r="H926" s="175">
        <f t="shared" si="37"/>
        <v>70403.369695509216</v>
      </c>
    </row>
    <row r="927" spans="7:8" x14ac:dyDescent="0.3">
      <c r="G927" s="173">
        <f t="shared" si="36"/>
        <v>70432.900289641155</v>
      </c>
      <c r="H927" s="175">
        <f t="shared" si="37"/>
        <v>70432.900289641155</v>
      </c>
    </row>
    <row r="928" spans="7:8" x14ac:dyDescent="0.3">
      <c r="G928" s="173">
        <f t="shared" si="36"/>
        <v>70462.430883773093</v>
      </c>
      <c r="H928" s="175">
        <f t="shared" si="37"/>
        <v>70462.430883773093</v>
      </c>
    </row>
    <row r="929" spans="7:8" x14ac:dyDescent="0.3">
      <c r="G929" s="173">
        <f t="shared" si="36"/>
        <v>70491.961477905032</v>
      </c>
      <c r="H929" s="175">
        <f t="shared" si="37"/>
        <v>70491.961477905032</v>
      </c>
    </row>
    <row r="930" spans="7:8" x14ac:dyDescent="0.3">
      <c r="G930" s="173">
        <f t="shared" si="36"/>
        <v>70521.49207203697</v>
      </c>
      <c r="H930" s="175">
        <f t="shared" si="37"/>
        <v>70521.49207203697</v>
      </c>
    </row>
    <row r="931" spans="7:8" x14ac:dyDescent="0.3">
      <c r="G931" s="173">
        <f t="shared" si="36"/>
        <v>70551.022666168908</v>
      </c>
      <c r="H931" s="175">
        <f t="shared" si="37"/>
        <v>70551.022666168908</v>
      </c>
    </row>
    <row r="932" spans="7:8" x14ac:dyDescent="0.3">
      <c r="G932" s="173">
        <f t="shared" si="36"/>
        <v>70580.553260300847</v>
      </c>
      <c r="H932" s="175">
        <f t="shared" si="37"/>
        <v>70580.553260300847</v>
      </c>
    </row>
    <row r="933" spans="7:8" x14ac:dyDescent="0.3">
      <c r="G933" s="173">
        <f t="shared" si="36"/>
        <v>70610.083854432785</v>
      </c>
      <c r="H933" s="175">
        <f t="shared" si="37"/>
        <v>70610.083854432785</v>
      </c>
    </row>
    <row r="934" spans="7:8" x14ac:dyDescent="0.3">
      <c r="G934" s="173">
        <f t="shared" si="36"/>
        <v>70639.614448564724</v>
      </c>
      <c r="H934" s="175">
        <f t="shared" si="37"/>
        <v>70639.614448564724</v>
      </c>
    </row>
    <row r="935" spans="7:8" x14ac:dyDescent="0.3">
      <c r="G935" s="173">
        <f t="shared" si="36"/>
        <v>70669.145042696662</v>
      </c>
      <c r="H935" s="175">
        <f t="shared" si="37"/>
        <v>70669.145042696662</v>
      </c>
    </row>
    <row r="936" spans="7:8" x14ac:dyDescent="0.3">
      <c r="G936" s="173">
        <f t="shared" si="36"/>
        <v>70698.675636828601</v>
      </c>
      <c r="H936" s="175">
        <f t="shared" si="37"/>
        <v>70698.675636828601</v>
      </c>
    </row>
    <row r="937" spans="7:8" x14ac:dyDescent="0.3">
      <c r="G937" s="173">
        <f t="shared" si="36"/>
        <v>70728.206230960539</v>
      </c>
      <c r="H937" s="175">
        <f t="shared" si="37"/>
        <v>70728.206230960539</v>
      </c>
    </row>
    <row r="938" spans="7:8" x14ac:dyDescent="0.3">
      <c r="G938" s="173">
        <f t="shared" si="36"/>
        <v>70757.736825092477</v>
      </c>
      <c r="H938" s="175">
        <f t="shared" si="37"/>
        <v>70757.736825092477</v>
      </c>
    </row>
    <row r="939" spans="7:8" x14ac:dyDescent="0.3">
      <c r="G939" s="173">
        <f t="shared" si="36"/>
        <v>70787.267419224416</v>
      </c>
      <c r="H939" s="175">
        <f t="shared" si="37"/>
        <v>70787.267419224416</v>
      </c>
    </row>
    <row r="940" spans="7:8" x14ac:dyDescent="0.3">
      <c r="G940" s="173">
        <f t="shared" si="36"/>
        <v>70816.798013356354</v>
      </c>
      <c r="H940" s="175">
        <f t="shared" si="37"/>
        <v>70816.798013356354</v>
      </c>
    </row>
    <row r="941" spans="7:8" x14ac:dyDescent="0.3">
      <c r="G941" s="173">
        <f t="shared" si="36"/>
        <v>70846.328607488293</v>
      </c>
      <c r="H941" s="175">
        <f t="shared" si="37"/>
        <v>70846.328607488293</v>
      </c>
    </row>
    <row r="942" spans="7:8" x14ac:dyDescent="0.3">
      <c r="G942" s="173">
        <f t="shared" si="36"/>
        <v>70875.859201620231</v>
      </c>
      <c r="H942" s="175">
        <f t="shared" si="37"/>
        <v>70875.859201620231</v>
      </c>
    </row>
    <row r="943" spans="7:8" x14ac:dyDescent="0.3">
      <c r="G943" s="173">
        <f t="shared" si="36"/>
        <v>70905.389795752169</v>
      </c>
      <c r="H943" s="175">
        <f t="shared" si="37"/>
        <v>70905.389795752169</v>
      </c>
    </row>
    <row r="944" spans="7:8" x14ac:dyDescent="0.3">
      <c r="G944" s="173">
        <f t="shared" si="36"/>
        <v>70934.920389884108</v>
      </c>
      <c r="H944" s="175">
        <f t="shared" si="37"/>
        <v>70934.920389884108</v>
      </c>
    </row>
    <row r="945" spans="7:8" x14ac:dyDescent="0.3">
      <c r="G945" s="173">
        <f t="shared" si="36"/>
        <v>70964.450984016046</v>
      </c>
      <c r="H945" s="175">
        <f t="shared" si="37"/>
        <v>70964.450984016046</v>
      </c>
    </row>
    <row r="946" spans="7:8" x14ac:dyDescent="0.3">
      <c r="G946" s="173">
        <f t="shared" si="36"/>
        <v>70993.981578147985</v>
      </c>
      <c r="H946" s="175">
        <f t="shared" si="37"/>
        <v>70993.981578147985</v>
      </c>
    </row>
    <row r="947" spans="7:8" x14ac:dyDescent="0.3">
      <c r="G947" s="173">
        <f t="shared" si="36"/>
        <v>71023.512172279923</v>
      </c>
      <c r="H947" s="175">
        <f t="shared" si="37"/>
        <v>71023.512172279923</v>
      </c>
    </row>
    <row r="948" spans="7:8" x14ac:dyDescent="0.3">
      <c r="G948" s="173">
        <f t="shared" si="36"/>
        <v>71053.042766411862</v>
      </c>
      <c r="H948" s="175">
        <f t="shared" si="37"/>
        <v>71053.042766411862</v>
      </c>
    </row>
    <row r="949" spans="7:8" x14ac:dyDescent="0.3">
      <c r="G949" s="173">
        <f t="shared" si="36"/>
        <v>71082.5733605438</v>
      </c>
      <c r="H949" s="175">
        <f t="shared" si="37"/>
        <v>71082.5733605438</v>
      </c>
    </row>
    <row r="950" spans="7:8" x14ac:dyDescent="0.3">
      <c r="G950" s="173">
        <f t="shared" si="36"/>
        <v>71112.103954675738</v>
      </c>
      <c r="H950" s="175">
        <f t="shared" si="37"/>
        <v>71112.103954675738</v>
      </c>
    </row>
    <row r="951" spans="7:8" x14ac:dyDescent="0.3">
      <c r="G951" s="173">
        <f t="shared" si="36"/>
        <v>71141.634548807677</v>
      </c>
      <c r="H951" s="175">
        <f t="shared" si="37"/>
        <v>71141.634548807677</v>
      </c>
    </row>
    <row r="952" spans="7:8" x14ac:dyDescent="0.3">
      <c r="G952" s="173">
        <f t="shared" si="36"/>
        <v>71171.165142939615</v>
      </c>
      <c r="H952" s="175">
        <f t="shared" si="37"/>
        <v>71171.165142939615</v>
      </c>
    </row>
    <row r="953" spans="7:8" x14ac:dyDescent="0.3">
      <c r="G953" s="173">
        <f t="shared" si="36"/>
        <v>71200.695737071554</v>
      </c>
      <c r="H953" s="175">
        <f t="shared" si="37"/>
        <v>71200.695737071554</v>
      </c>
    </row>
    <row r="954" spans="7:8" x14ac:dyDescent="0.3">
      <c r="G954" s="173">
        <f t="shared" si="36"/>
        <v>71230.226331203492</v>
      </c>
      <c r="H954" s="175">
        <f t="shared" si="37"/>
        <v>71230.226331203492</v>
      </c>
    </row>
    <row r="955" spans="7:8" x14ac:dyDescent="0.3">
      <c r="G955" s="173">
        <f t="shared" si="36"/>
        <v>71259.75692533543</v>
      </c>
      <c r="H955" s="175">
        <f t="shared" si="37"/>
        <v>71259.75692533543</v>
      </c>
    </row>
    <row r="956" spans="7:8" x14ac:dyDescent="0.3">
      <c r="G956" s="173">
        <f t="shared" si="36"/>
        <v>71289.287519467369</v>
      </c>
      <c r="H956" s="175">
        <f t="shared" si="37"/>
        <v>71289.287519467369</v>
      </c>
    </row>
    <row r="957" spans="7:8" x14ac:dyDescent="0.3">
      <c r="G957" s="173">
        <f t="shared" si="36"/>
        <v>71318.818113599307</v>
      </c>
      <c r="H957" s="175">
        <f t="shared" si="37"/>
        <v>71318.818113599307</v>
      </c>
    </row>
    <row r="958" spans="7:8" x14ac:dyDescent="0.3">
      <c r="G958" s="173">
        <f t="shared" si="36"/>
        <v>71348.348707731246</v>
      </c>
      <c r="H958" s="175">
        <f t="shared" si="37"/>
        <v>71348.348707731246</v>
      </c>
    </row>
    <row r="959" spans="7:8" x14ac:dyDescent="0.3">
      <c r="G959" s="173">
        <f t="shared" si="36"/>
        <v>71377.879301863184</v>
      </c>
      <c r="H959" s="175">
        <f t="shared" si="37"/>
        <v>71377.879301863184</v>
      </c>
    </row>
    <row r="960" spans="7:8" x14ac:dyDescent="0.3">
      <c r="G960" s="173">
        <f t="shared" si="36"/>
        <v>71407.409895995122</v>
      </c>
      <c r="H960" s="175">
        <f t="shared" si="37"/>
        <v>71407.409895995122</v>
      </c>
    </row>
    <row r="961" spans="7:8" x14ac:dyDescent="0.3">
      <c r="G961" s="173">
        <f t="shared" si="36"/>
        <v>71436.940490127061</v>
      </c>
      <c r="H961" s="175">
        <f t="shared" si="37"/>
        <v>71436.940490127061</v>
      </c>
    </row>
    <row r="962" spans="7:8" x14ac:dyDescent="0.3">
      <c r="G962" s="173">
        <f t="shared" si="36"/>
        <v>71466.471084258999</v>
      </c>
      <c r="H962" s="175">
        <f t="shared" si="37"/>
        <v>71466.471084258999</v>
      </c>
    </row>
    <row r="963" spans="7:8" x14ac:dyDescent="0.3">
      <c r="G963" s="173">
        <f t="shared" si="36"/>
        <v>71496.001678390938</v>
      </c>
      <c r="H963" s="175">
        <f t="shared" si="37"/>
        <v>71496.001678390938</v>
      </c>
    </row>
    <row r="964" spans="7:8" x14ac:dyDescent="0.3">
      <c r="G964" s="173">
        <f t="shared" ref="G964:G1027" si="38">G963+$E$1</f>
        <v>71525.532272522876</v>
      </c>
      <c r="H964" s="175">
        <f t="shared" si="37"/>
        <v>71525.532272522876</v>
      </c>
    </row>
    <row r="965" spans="7:8" x14ac:dyDescent="0.3">
      <c r="G965" s="173">
        <f t="shared" si="38"/>
        <v>71555.062866654815</v>
      </c>
      <c r="H965" s="175">
        <f t="shared" si="37"/>
        <v>71555.062866654815</v>
      </c>
    </row>
    <row r="966" spans="7:8" x14ac:dyDescent="0.3">
      <c r="G966" s="173">
        <f t="shared" si="38"/>
        <v>71584.593460786753</v>
      </c>
      <c r="H966" s="175">
        <f t="shared" si="37"/>
        <v>71584.593460786753</v>
      </c>
    </row>
    <row r="967" spans="7:8" x14ac:dyDescent="0.3">
      <c r="G967" s="173">
        <f t="shared" si="38"/>
        <v>71614.124054918691</v>
      </c>
      <c r="H967" s="175">
        <f t="shared" si="37"/>
        <v>71614.124054918691</v>
      </c>
    </row>
    <row r="968" spans="7:8" x14ac:dyDescent="0.3">
      <c r="G968" s="173">
        <f t="shared" si="38"/>
        <v>71643.65464905063</v>
      </c>
      <c r="H968" s="175">
        <f t="shared" si="37"/>
        <v>71643.65464905063</v>
      </c>
    </row>
    <row r="969" spans="7:8" x14ac:dyDescent="0.3">
      <c r="G969" s="173">
        <f t="shared" si="38"/>
        <v>71673.185243182568</v>
      </c>
      <c r="H969" s="175">
        <f t="shared" si="37"/>
        <v>71673.185243182568</v>
      </c>
    </row>
    <row r="970" spans="7:8" x14ac:dyDescent="0.3">
      <c r="G970" s="173">
        <f t="shared" si="38"/>
        <v>71702.715837314507</v>
      </c>
      <c r="H970" s="175">
        <f t="shared" si="37"/>
        <v>71702.715837314507</v>
      </c>
    </row>
    <row r="971" spans="7:8" x14ac:dyDescent="0.3">
      <c r="G971" s="173">
        <f t="shared" si="38"/>
        <v>71732.246431446445</v>
      </c>
      <c r="H971" s="175">
        <f t="shared" si="37"/>
        <v>71732.246431446445</v>
      </c>
    </row>
    <row r="972" spans="7:8" x14ac:dyDescent="0.3">
      <c r="G972" s="173">
        <f t="shared" si="38"/>
        <v>71761.777025578383</v>
      </c>
      <c r="H972" s="175">
        <f t="shared" si="37"/>
        <v>71761.777025578383</v>
      </c>
    </row>
    <row r="973" spans="7:8" x14ac:dyDescent="0.3">
      <c r="G973" s="173">
        <f t="shared" si="38"/>
        <v>71791.307619710322</v>
      </c>
      <c r="H973" s="175">
        <f t="shared" ref="H973:H1036" si="39">G973</f>
        <v>71791.307619710322</v>
      </c>
    </row>
    <row r="974" spans="7:8" x14ac:dyDescent="0.3">
      <c r="G974" s="173">
        <f t="shared" si="38"/>
        <v>71820.83821384226</v>
      </c>
      <c r="H974" s="175">
        <f t="shared" si="39"/>
        <v>71820.83821384226</v>
      </c>
    </row>
    <row r="975" spans="7:8" x14ac:dyDescent="0.3">
      <c r="G975" s="173">
        <f t="shared" si="38"/>
        <v>71850.368807974199</v>
      </c>
      <c r="H975" s="175">
        <f t="shared" si="39"/>
        <v>71850.368807974199</v>
      </c>
    </row>
    <row r="976" spans="7:8" x14ac:dyDescent="0.3">
      <c r="G976" s="173">
        <f t="shared" si="38"/>
        <v>71879.899402106137</v>
      </c>
      <c r="H976" s="175">
        <f t="shared" si="39"/>
        <v>71879.899402106137</v>
      </c>
    </row>
    <row r="977" spans="7:8" x14ac:dyDescent="0.3">
      <c r="G977" s="173">
        <f t="shared" si="38"/>
        <v>71909.429996238076</v>
      </c>
      <c r="H977" s="175">
        <f t="shared" si="39"/>
        <v>71909.429996238076</v>
      </c>
    </row>
    <row r="978" spans="7:8" x14ac:dyDescent="0.3">
      <c r="G978" s="173">
        <f t="shared" si="38"/>
        <v>71938.960590370014</v>
      </c>
      <c r="H978" s="175">
        <f t="shared" si="39"/>
        <v>71938.960590370014</v>
      </c>
    </row>
    <row r="979" spans="7:8" x14ac:dyDescent="0.3">
      <c r="G979" s="173">
        <f t="shared" si="38"/>
        <v>71968.491184501952</v>
      </c>
      <c r="H979" s="175">
        <f t="shared" si="39"/>
        <v>71968.491184501952</v>
      </c>
    </row>
    <row r="980" spans="7:8" x14ac:dyDescent="0.3">
      <c r="G980" s="173">
        <f t="shared" si="38"/>
        <v>71998.021778633891</v>
      </c>
      <c r="H980" s="175">
        <f t="shared" si="39"/>
        <v>71998.021778633891</v>
      </c>
    </row>
    <row r="981" spans="7:8" x14ac:dyDescent="0.3">
      <c r="G981" s="173">
        <f t="shared" si="38"/>
        <v>72027.552372765829</v>
      </c>
      <c r="H981" s="175">
        <f t="shared" si="39"/>
        <v>72027.552372765829</v>
      </c>
    </row>
    <row r="982" spans="7:8" x14ac:dyDescent="0.3">
      <c r="G982" s="173">
        <f t="shared" si="38"/>
        <v>72057.082966897768</v>
      </c>
      <c r="H982" s="175">
        <f t="shared" si="39"/>
        <v>72057.082966897768</v>
      </c>
    </row>
    <row r="983" spans="7:8" x14ac:dyDescent="0.3">
      <c r="G983" s="173">
        <f t="shared" si="38"/>
        <v>72086.613561029706</v>
      </c>
      <c r="H983" s="175">
        <f t="shared" si="39"/>
        <v>72086.613561029706</v>
      </c>
    </row>
    <row r="984" spans="7:8" x14ac:dyDescent="0.3">
      <c r="G984" s="173">
        <f t="shared" si="38"/>
        <v>72116.144155161644</v>
      </c>
      <c r="H984" s="175">
        <f t="shared" si="39"/>
        <v>72116.144155161644</v>
      </c>
    </row>
    <row r="985" spans="7:8" x14ac:dyDescent="0.3">
      <c r="G985" s="173">
        <f t="shared" si="38"/>
        <v>72145.674749293583</v>
      </c>
      <c r="H985" s="175">
        <f t="shared" si="39"/>
        <v>72145.674749293583</v>
      </c>
    </row>
    <row r="986" spans="7:8" x14ac:dyDescent="0.3">
      <c r="G986" s="173">
        <f t="shared" si="38"/>
        <v>72175.205343425521</v>
      </c>
      <c r="H986" s="175">
        <f t="shared" si="39"/>
        <v>72175.205343425521</v>
      </c>
    </row>
    <row r="987" spans="7:8" x14ac:dyDescent="0.3">
      <c r="G987" s="173">
        <f t="shared" si="38"/>
        <v>72204.73593755746</v>
      </c>
      <c r="H987" s="175">
        <f t="shared" si="39"/>
        <v>72204.73593755746</v>
      </c>
    </row>
    <row r="988" spans="7:8" x14ac:dyDescent="0.3">
      <c r="G988" s="173">
        <f t="shared" si="38"/>
        <v>72234.266531689398</v>
      </c>
      <c r="H988" s="175">
        <f t="shared" si="39"/>
        <v>72234.266531689398</v>
      </c>
    </row>
    <row r="989" spans="7:8" x14ac:dyDescent="0.3">
      <c r="G989" s="173">
        <f t="shared" si="38"/>
        <v>72263.797125821337</v>
      </c>
      <c r="H989" s="175">
        <f t="shared" si="39"/>
        <v>72263.797125821337</v>
      </c>
    </row>
    <row r="990" spans="7:8" x14ac:dyDescent="0.3">
      <c r="G990" s="173">
        <f t="shared" si="38"/>
        <v>72293.327719953275</v>
      </c>
      <c r="H990" s="175">
        <f t="shared" si="39"/>
        <v>72293.327719953275</v>
      </c>
    </row>
    <row r="991" spans="7:8" x14ac:dyDescent="0.3">
      <c r="G991" s="173">
        <f t="shared" si="38"/>
        <v>72322.858314085213</v>
      </c>
      <c r="H991" s="175">
        <f t="shared" si="39"/>
        <v>72322.858314085213</v>
      </c>
    </row>
    <row r="992" spans="7:8" x14ac:dyDescent="0.3">
      <c r="G992" s="173">
        <f t="shared" si="38"/>
        <v>72352.388908217152</v>
      </c>
      <c r="H992" s="175">
        <f t="shared" si="39"/>
        <v>72352.388908217152</v>
      </c>
    </row>
    <row r="993" spans="7:8" x14ac:dyDescent="0.3">
      <c r="G993" s="173">
        <f t="shared" si="38"/>
        <v>72381.91950234909</v>
      </c>
      <c r="H993" s="175">
        <f t="shared" si="39"/>
        <v>72381.91950234909</v>
      </c>
    </row>
    <row r="994" spans="7:8" x14ac:dyDescent="0.3">
      <c r="G994" s="173">
        <f t="shared" si="38"/>
        <v>72411.450096481029</v>
      </c>
      <c r="H994" s="175">
        <f t="shared" si="39"/>
        <v>72411.450096481029</v>
      </c>
    </row>
    <row r="995" spans="7:8" x14ac:dyDescent="0.3">
      <c r="G995" s="173">
        <f t="shared" si="38"/>
        <v>72440.980690612967</v>
      </c>
      <c r="H995" s="175">
        <f t="shared" si="39"/>
        <v>72440.980690612967</v>
      </c>
    </row>
    <row r="996" spans="7:8" x14ac:dyDescent="0.3">
      <c r="G996" s="173">
        <f t="shared" si="38"/>
        <v>72470.511284744905</v>
      </c>
      <c r="H996" s="175">
        <f t="shared" si="39"/>
        <v>72470.511284744905</v>
      </c>
    </row>
    <row r="997" spans="7:8" x14ac:dyDescent="0.3">
      <c r="G997" s="173">
        <f t="shared" si="38"/>
        <v>72500.041878876844</v>
      </c>
      <c r="H997" s="175">
        <f t="shared" si="39"/>
        <v>72500.041878876844</v>
      </c>
    </row>
    <row r="998" spans="7:8" x14ac:dyDescent="0.3">
      <c r="G998" s="173">
        <f t="shared" si="38"/>
        <v>72529.572473008782</v>
      </c>
      <c r="H998" s="175">
        <f t="shared" si="39"/>
        <v>72529.572473008782</v>
      </c>
    </row>
    <row r="999" spans="7:8" x14ac:dyDescent="0.3">
      <c r="G999" s="173">
        <f t="shared" si="38"/>
        <v>72559.103067140721</v>
      </c>
      <c r="H999" s="175">
        <f t="shared" si="39"/>
        <v>72559.103067140721</v>
      </c>
    </row>
    <row r="1000" spans="7:8" x14ac:dyDescent="0.3">
      <c r="G1000" s="173">
        <f t="shared" si="38"/>
        <v>72588.633661272659</v>
      </c>
      <c r="H1000" s="175">
        <f t="shared" si="39"/>
        <v>72588.633661272659</v>
      </c>
    </row>
    <row r="1001" spans="7:8" x14ac:dyDescent="0.3">
      <c r="G1001" s="173">
        <f t="shared" si="38"/>
        <v>72618.164255404597</v>
      </c>
      <c r="H1001" s="175">
        <f t="shared" si="39"/>
        <v>72618.164255404597</v>
      </c>
    </row>
    <row r="1002" spans="7:8" x14ac:dyDescent="0.3">
      <c r="G1002" s="173">
        <f t="shared" si="38"/>
        <v>72647.694849536536</v>
      </c>
      <c r="H1002" s="175">
        <f t="shared" si="39"/>
        <v>72647.694849536536</v>
      </c>
    </row>
    <row r="1003" spans="7:8" x14ac:dyDescent="0.3">
      <c r="G1003" s="173">
        <f t="shared" si="38"/>
        <v>72677.225443668474</v>
      </c>
      <c r="H1003" s="175">
        <f t="shared" si="39"/>
        <v>72677.225443668474</v>
      </c>
    </row>
    <row r="1004" spans="7:8" x14ac:dyDescent="0.3">
      <c r="G1004" s="173">
        <f t="shared" si="38"/>
        <v>72706.756037800413</v>
      </c>
      <c r="H1004" s="175">
        <f t="shared" si="39"/>
        <v>72706.756037800413</v>
      </c>
    </row>
    <row r="1005" spans="7:8" x14ac:dyDescent="0.3">
      <c r="G1005" s="173">
        <f t="shared" si="38"/>
        <v>72736.286631932351</v>
      </c>
      <c r="H1005" s="175">
        <f t="shared" si="39"/>
        <v>72736.286631932351</v>
      </c>
    </row>
    <row r="1006" spans="7:8" x14ac:dyDescent="0.3">
      <c r="G1006" s="173">
        <f t="shared" si="38"/>
        <v>72765.81722606429</v>
      </c>
      <c r="H1006" s="175">
        <f t="shared" si="39"/>
        <v>72765.81722606429</v>
      </c>
    </row>
    <row r="1007" spans="7:8" x14ac:dyDescent="0.3">
      <c r="G1007" s="173">
        <f t="shared" si="38"/>
        <v>72795.347820196228</v>
      </c>
      <c r="H1007" s="175">
        <f t="shared" si="39"/>
        <v>72795.347820196228</v>
      </c>
    </row>
    <row r="1008" spans="7:8" x14ac:dyDescent="0.3">
      <c r="G1008" s="173">
        <f t="shared" si="38"/>
        <v>72824.878414328166</v>
      </c>
      <c r="H1008" s="175">
        <f t="shared" si="39"/>
        <v>72824.878414328166</v>
      </c>
    </row>
    <row r="1009" spans="7:8" x14ac:dyDescent="0.3">
      <c r="G1009" s="173">
        <f t="shared" si="38"/>
        <v>72854.409008460105</v>
      </c>
      <c r="H1009" s="175">
        <f t="shared" si="39"/>
        <v>72854.409008460105</v>
      </c>
    </row>
    <row r="1010" spans="7:8" x14ac:dyDescent="0.3">
      <c r="G1010" s="173">
        <f t="shared" si="38"/>
        <v>72883.939602592043</v>
      </c>
      <c r="H1010" s="175">
        <f t="shared" si="39"/>
        <v>72883.939602592043</v>
      </c>
    </row>
    <row r="1011" spans="7:8" x14ac:dyDescent="0.3">
      <c r="G1011" s="173">
        <f t="shared" si="38"/>
        <v>72913.470196723982</v>
      </c>
      <c r="H1011" s="175">
        <f t="shared" si="39"/>
        <v>72913.470196723982</v>
      </c>
    </row>
    <row r="1012" spans="7:8" x14ac:dyDescent="0.3">
      <c r="G1012" s="173">
        <f t="shared" si="38"/>
        <v>72943.00079085592</v>
      </c>
      <c r="H1012" s="175">
        <f t="shared" si="39"/>
        <v>72943.00079085592</v>
      </c>
    </row>
    <row r="1013" spans="7:8" x14ac:dyDescent="0.3">
      <c r="G1013" s="173">
        <f t="shared" si="38"/>
        <v>72972.531384987858</v>
      </c>
      <c r="H1013" s="175">
        <f t="shared" si="39"/>
        <v>72972.531384987858</v>
      </c>
    </row>
    <row r="1014" spans="7:8" x14ac:dyDescent="0.3">
      <c r="G1014" s="173">
        <f t="shared" si="38"/>
        <v>73002.061979119797</v>
      </c>
      <c r="H1014" s="175">
        <f t="shared" si="39"/>
        <v>73002.061979119797</v>
      </c>
    </row>
    <row r="1015" spans="7:8" x14ac:dyDescent="0.3">
      <c r="G1015" s="173">
        <f t="shared" si="38"/>
        <v>73031.592573251735</v>
      </c>
      <c r="H1015" s="175">
        <f t="shared" si="39"/>
        <v>73031.592573251735</v>
      </c>
    </row>
    <row r="1016" spans="7:8" x14ac:dyDescent="0.3">
      <c r="G1016" s="173">
        <f t="shared" si="38"/>
        <v>73061.123167383674</v>
      </c>
      <c r="H1016" s="175">
        <f t="shared" si="39"/>
        <v>73061.123167383674</v>
      </c>
    </row>
    <row r="1017" spans="7:8" x14ac:dyDescent="0.3">
      <c r="G1017" s="173">
        <f t="shared" si="38"/>
        <v>73090.653761515612</v>
      </c>
      <c r="H1017" s="175">
        <f t="shared" si="39"/>
        <v>73090.653761515612</v>
      </c>
    </row>
    <row r="1018" spans="7:8" x14ac:dyDescent="0.3">
      <c r="G1018" s="173">
        <f t="shared" si="38"/>
        <v>73120.184355647551</v>
      </c>
      <c r="H1018" s="175">
        <f t="shared" si="39"/>
        <v>73120.184355647551</v>
      </c>
    </row>
    <row r="1019" spans="7:8" x14ac:dyDescent="0.3">
      <c r="G1019" s="173">
        <f t="shared" si="38"/>
        <v>73149.714949779489</v>
      </c>
      <c r="H1019" s="175">
        <f t="shared" si="39"/>
        <v>73149.714949779489</v>
      </c>
    </row>
    <row r="1020" spans="7:8" x14ac:dyDescent="0.3">
      <c r="G1020" s="173">
        <f t="shared" si="38"/>
        <v>73179.245543911427</v>
      </c>
      <c r="H1020" s="175">
        <f t="shared" si="39"/>
        <v>73179.245543911427</v>
      </c>
    </row>
    <row r="1021" spans="7:8" x14ac:dyDescent="0.3">
      <c r="G1021" s="173">
        <f t="shared" si="38"/>
        <v>73208.776138043366</v>
      </c>
      <c r="H1021" s="175">
        <f t="shared" si="39"/>
        <v>73208.776138043366</v>
      </c>
    </row>
    <row r="1022" spans="7:8" x14ac:dyDescent="0.3">
      <c r="G1022" s="173">
        <f t="shared" si="38"/>
        <v>73238.306732175304</v>
      </c>
      <c r="H1022" s="175">
        <f t="shared" si="39"/>
        <v>73238.306732175304</v>
      </c>
    </row>
    <row r="1023" spans="7:8" x14ac:dyDescent="0.3">
      <c r="G1023" s="173">
        <f t="shared" si="38"/>
        <v>73267.837326307243</v>
      </c>
      <c r="H1023" s="175">
        <f t="shared" si="39"/>
        <v>73267.837326307243</v>
      </c>
    </row>
    <row r="1024" spans="7:8" x14ac:dyDescent="0.3">
      <c r="G1024" s="173">
        <f t="shared" si="38"/>
        <v>73297.367920439181</v>
      </c>
      <c r="H1024" s="175">
        <f t="shared" si="39"/>
        <v>73297.367920439181</v>
      </c>
    </row>
    <row r="1025" spans="7:8" x14ac:dyDescent="0.3">
      <c r="G1025" s="173">
        <f t="shared" si="38"/>
        <v>73326.898514571119</v>
      </c>
      <c r="H1025" s="175">
        <f t="shared" si="39"/>
        <v>73326.898514571119</v>
      </c>
    </row>
    <row r="1026" spans="7:8" x14ac:dyDescent="0.3">
      <c r="G1026" s="173">
        <f t="shared" si="38"/>
        <v>73356.429108703058</v>
      </c>
      <c r="H1026" s="175">
        <f t="shared" si="39"/>
        <v>73356.429108703058</v>
      </c>
    </row>
    <row r="1027" spans="7:8" x14ac:dyDescent="0.3">
      <c r="G1027" s="173">
        <f t="shared" si="38"/>
        <v>73385.959702834996</v>
      </c>
      <c r="H1027" s="175">
        <f t="shared" si="39"/>
        <v>73385.959702834996</v>
      </c>
    </row>
    <row r="1028" spans="7:8" x14ac:dyDescent="0.3">
      <c r="G1028" s="173">
        <f t="shared" ref="G1028:G1091" si="40">G1027+$E$1</f>
        <v>73415.490296966935</v>
      </c>
      <c r="H1028" s="175">
        <f t="shared" si="39"/>
        <v>73415.490296966935</v>
      </c>
    </row>
    <row r="1029" spans="7:8" x14ac:dyDescent="0.3">
      <c r="G1029" s="173">
        <f t="shared" si="40"/>
        <v>73445.020891098873</v>
      </c>
      <c r="H1029" s="175">
        <f t="shared" si="39"/>
        <v>73445.020891098873</v>
      </c>
    </row>
    <row r="1030" spans="7:8" x14ac:dyDescent="0.3">
      <c r="G1030" s="173">
        <f t="shared" si="40"/>
        <v>73474.551485230812</v>
      </c>
      <c r="H1030" s="175">
        <f t="shared" si="39"/>
        <v>73474.551485230812</v>
      </c>
    </row>
    <row r="1031" spans="7:8" x14ac:dyDescent="0.3">
      <c r="G1031" s="173">
        <f t="shared" si="40"/>
        <v>73504.08207936275</v>
      </c>
      <c r="H1031" s="175">
        <f t="shared" si="39"/>
        <v>73504.08207936275</v>
      </c>
    </row>
    <row r="1032" spans="7:8" x14ac:dyDescent="0.3">
      <c r="G1032" s="173">
        <f t="shared" si="40"/>
        <v>73533.612673494688</v>
      </c>
      <c r="H1032" s="175">
        <f t="shared" si="39"/>
        <v>73533.612673494688</v>
      </c>
    </row>
    <row r="1033" spans="7:8" x14ac:dyDescent="0.3">
      <c r="G1033" s="173">
        <f t="shared" si="40"/>
        <v>73563.143267626627</v>
      </c>
      <c r="H1033" s="175">
        <f t="shared" si="39"/>
        <v>73563.143267626627</v>
      </c>
    </row>
    <row r="1034" spans="7:8" x14ac:dyDescent="0.3">
      <c r="G1034" s="173">
        <f t="shared" si="40"/>
        <v>73592.673861758565</v>
      </c>
      <c r="H1034" s="175">
        <f t="shared" si="39"/>
        <v>73592.673861758565</v>
      </c>
    </row>
    <row r="1035" spans="7:8" x14ac:dyDescent="0.3">
      <c r="G1035" s="173">
        <f t="shared" si="40"/>
        <v>73622.204455890504</v>
      </c>
      <c r="H1035" s="175">
        <f t="shared" si="39"/>
        <v>73622.204455890504</v>
      </c>
    </row>
    <row r="1036" spans="7:8" x14ac:dyDescent="0.3">
      <c r="G1036" s="173">
        <f t="shared" si="40"/>
        <v>73651.735050022442</v>
      </c>
      <c r="H1036" s="175">
        <f t="shared" si="39"/>
        <v>73651.735050022442</v>
      </c>
    </row>
    <row r="1037" spans="7:8" x14ac:dyDescent="0.3">
      <c r="G1037" s="173">
        <f t="shared" si="40"/>
        <v>73681.26564415438</v>
      </c>
      <c r="H1037" s="175">
        <f t="shared" ref="H1037:H1100" si="41">G1037</f>
        <v>73681.26564415438</v>
      </c>
    </row>
    <row r="1038" spans="7:8" x14ac:dyDescent="0.3">
      <c r="G1038" s="173">
        <f t="shared" si="40"/>
        <v>73710.796238286319</v>
      </c>
      <c r="H1038" s="175">
        <f t="shared" si="41"/>
        <v>73710.796238286319</v>
      </c>
    </row>
    <row r="1039" spans="7:8" x14ac:dyDescent="0.3">
      <c r="G1039" s="173">
        <f t="shared" si="40"/>
        <v>73740.326832418257</v>
      </c>
      <c r="H1039" s="175">
        <f t="shared" si="41"/>
        <v>73740.326832418257</v>
      </c>
    </row>
    <row r="1040" spans="7:8" x14ac:dyDescent="0.3">
      <c r="G1040" s="173">
        <f t="shared" si="40"/>
        <v>73769.857426550196</v>
      </c>
      <c r="H1040" s="175">
        <f t="shared" si="41"/>
        <v>73769.857426550196</v>
      </c>
    </row>
    <row r="1041" spans="7:8" x14ac:dyDescent="0.3">
      <c r="G1041" s="173">
        <f t="shared" si="40"/>
        <v>73799.388020682134</v>
      </c>
      <c r="H1041" s="175">
        <f t="shared" si="41"/>
        <v>73799.388020682134</v>
      </c>
    </row>
    <row r="1042" spans="7:8" x14ac:dyDescent="0.3">
      <c r="G1042" s="173">
        <f t="shared" si="40"/>
        <v>73828.918614814072</v>
      </c>
      <c r="H1042" s="175">
        <f t="shared" si="41"/>
        <v>73828.918614814072</v>
      </c>
    </row>
    <row r="1043" spans="7:8" x14ac:dyDescent="0.3">
      <c r="G1043" s="173">
        <f t="shared" si="40"/>
        <v>73858.449208946011</v>
      </c>
      <c r="H1043" s="175">
        <f t="shared" si="41"/>
        <v>73858.449208946011</v>
      </c>
    </row>
    <row r="1044" spans="7:8" x14ac:dyDescent="0.3">
      <c r="G1044" s="173">
        <f t="shared" si="40"/>
        <v>73887.979803077949</v>
      </c>
      <c r="H1044" s="175">
        <f t="shared" si="41"/>
        <v>73887.979803077949</v>
      </c>
    </row>
    <row r="1045" spans="7:8" x14ac:dyDescent="0.3">
      <c r="G1045" s="173">
        <f t="shared" si="40"/>
        <v>73917.510397209888</v>
      </c>
      <c r="H1045" s="175">
        <f t="shared" si="41"/>
        <v>73917.510397209888</v>
      </c>
    </row>
    <row r="1046" spans="7:8" x14ac:dyDescent="0.3">
      <c r="G1046" s="173">
        <f t="shared" si="40"/>
        <v>73947.040991341826</v>
      </c>
      <c r="H1046" s="175">
        <f t="shared" si="41"/>
        <v>73947.040991341826</v>
      </c>
    </row>
    <row r="1047" spans="7:8" x14ac:dyDescent="0.3">
      <c r="G1047" s="173">
        <f t="shared" si="40"/>
        <v>73976.571585473765</v>
      </c>
      <c r="H1047" s="175">
        <f t="shared" si="41"/>
        <v>73976.571585473765</v>
      </c>
    </row>
    <row r="1048" spans="7:8" x14ac:dyDescent="0.3">
      <c r="G1048" s="173">
        <f t="shared" si="40"/>
        <v>74006.102179605703</v>
      </c>
      <c r="H1048" s="175">
        <f t="shared" si="41"/>
        <v>74006.102179605703</v>
      </c>
    </row>
    <row r="1049" spans="7:8" x14ac:dyDescent="0.3">
      <c r="G1049" s="173">
        <f t="shared" si="40"/>
        <v>74035.632773737641</v>
      </c>
      <c r="H1049" s="175">
        <f t="shared" si="41"/>
        <v>74035.632773737641</v>
      </c>
    </row>
    <row r="1050" spans="7:8" x14ac:dyDescent="0.3">
      <c r="G1050" s="173">
        <f t="shared" si="40"/>
        <v>74065.16336786958</v>
      </c>
      <c r="H1050" s="175">
        <f t="shared" si="41"/>
        <v>74065.16336786958</v>
      </c>
    </row>
    <row r="1051" spans="7:8" x14ac:dyDescent="0.3">
      <c r="G1051" s="173">
        <f t="shared" si="40"/>
        <v>74094.693962001518</v>
      </c>
      <c r="H1051" s="175">
        <f t="shared" si="41"/>
        <v>74094.693962001518</v>
      </c>
    </row>
    <row r="1052" spans="7:8" x14ac:dyDescent="0.3">
      <c r="G1052" s="173">
        <f t="shared" si="40"/>
        <v>74124.224556133457</v>
      </c>
      <c r="H1052" s="175">
        <f t="shared" si="41"/>
        <v>74124.224556133457</v>
      </c>
    </row>
    <row r="1053" spans="7:8" x14ac:dyDescent="0.3">
      <c r="G1053" s="173">
        <f t="shared" si="40"/>
        <v>74153.755150265395</v>
      </c>
      <c r="H1053" s="175">
        <f t="shared" si="41"/>
        <v>74153.755150265395</v>
      </c>
    </row>
    <row r="1054" spans="7:8" x14ac:dyDescent="0.3">
      <c r="G1054" s="173">
        <f t="shared" si="40"/>
        <v>74183.285744397333</v>
      </c>
      <c r="H1054" s="175">
        <f t="shared" si="41"/>
        <v>74183.285744397333</v>
      </c>
    </row>
    <row r="1055" spans="7:8" x14ac:dyDescent="0.3">
      <c r="G1055" s="173">
        <f t="shared" si="40"/>
        <v>74212.816338529272</v>
      </c>
      <c r="H1055" s="175">
        <f t="shared" si="41"/>
        <v>74212.816338529272</v>
      </c>
    </row>
    <row r="1056" spans="7:8" x14ac:dyDescent="0.3">
      <c r="G1056" s="173">
        <f t="shared" si="40"/>
        <v>74242.34693266121</v>
      </c>
      <c r="H1056" s="175">
        <f t="shared" si="41"/>
        <v>74242.34693266121</v>
      </c>
    </row>
    <row r="1057" spans="7:8" x14ac:dyDescent="0.3">
      <c r="G1057" s="173">
        <f t="shared" si="40"/>
        <v>74271.877526793149</v>
      </c>
      <c r="H1057" s="175">
        <f t="shared" si="41"/>
        <v>74271.877526793149</v>
      </c>
    </row>
    <row r="1058" spans="7:8" x14ac:dyDescent="0.3">
      <c r="G1058" s="173">
        <f t="shared" si="40"/>
        <v>74301.408120925087</v>
      </c>
      <c r="H1058" s="175">
        <f t="shared" si="41"/>
        <v>74301.408120925087</v>
      </c>
    </row>
    <row r="1059" spans="7:8" x14ac:dyDescent="0.3">
      <c r="G1059" s="173">
        <f t="shared" si="40"/>
        <v>74330.938715057026</v>
      </c>
      <c r="H1059" s="175">
        <f t="shared" si="41"/>
        <v>74330.938715057026</v>
      </c>
    </row>
    <row r="1060" spans="7:8" x14ac:dyDescent="0.3">
      <c r="G1060" s="173">
        <f t="shared" si="40"/>
        <v>74360.469309188964</v>
      </c>
      <c r="H1060" s="175">
        <f t="shared" si="41"/>
        <v>74360.469309188964</v>
      </c>
    </row>
    <row r="1061" spans="7:8" x14ac:dyDescent="0.3">
      <c r="G1061" s="173">
        <f t="shared" si="40"/>
        <v>74389.999903320902</v>
      </c>
      <c r="H1061" s="175">
        <f t="shared" si="41"/>
        <v>74389.999903320902</v>
      </c>
    </row>
    <row r="1062" spans="7:8" x14ac:dyDescent="0.3">
      <c r="G1062" s="173">
        <f t="shared" si="40"/>
        <v>74419.530497452841</v>
      </c>
      <c r="H1062" s="175">
        <f t="shared" si="41"/>
        <v>74419.530497452841</v>
      </c>
    </row>
    <row r="1063" spans="7:8" x14ac:dyDescent="0.3">
      <c r="G1063" s="173">
        <f t="shared" si="40"/>
        <v>74449.061091584779</v>
      </c>
      <c r="H1063" s="175">
        <f t="shared" si="41"/>
        <v>74449.061091584779</v>
      </c>
    </row>
    <row r="1064" spans="7:8" x14ac:dyDescent="0.3">
      <c r="G1064" s="173">
        <f t="shared" si="40"/>
        <v>74478.591685716718</v>
      </c>
      <c r="H1064" s="175">
        <f t="shared" si="41"/>
        <v>74478.591685716718</v>
      </c>
    </row>
    <row r="1065" spans="7:8" x14ac:dyDescent="0.3">
      <c r="G1065" s="173">
        <f t="shared" si="40"/>
        <v>74508.122279848656</v>
      </c>
      <c r="H1065" s="175">
        <f t="shared" si="41"/>
        <v>74508.122279848656</v>
      </c>
    </row>
    <row r="1066" spans="7:8" x14ac:dyDescent="0.3">
      <c r="G1066" s="173">
        <f t="shared" si="40"/>
        <v>74537.652873980594</v>
      </c>
      <c r="H1066" s="175">
        <f t="shared" si="41"/>
        <v>74537.652873980594</v>
      </c>
    </row>
    <row r="1067" spans="7:8" x14ac:dyDescent="0.3">
      <c r="G1067" s="173">
        <f t="shared" si="40"/>
        <v>74567.183468112533</v>
      </c>
      <c r="H1067" s="175">
        <f t="shared" si="41"/>
        <v>74567.183468112533</v>
      </c>
    </row>
    <row r="1068" spans="7:8" x14ac:dyDescent="0.3">
      <c r="G1068" s="173">
        <f t="shared" si="40"/>
        <v>74596.714062244471</v>
      </c>
      <c r="H1068" s="175">
        <f t="shared" si="41"/>
        <v>74596.714062244471</v>
      </c>
    </row>
    <row r="1069" spans="7:8" x14ac:dyDescent="0.3">
      <c r="G1069" s="173">
        <f t="shared" si="40"/>
        <v>74626.24465637641</v>
      </c>
      <c r="H1069" s="175">
        <f t="shared" si="41"/>
        <v>74626.24465637641</v>
      </c>
    </row>
    <row r="1070" spans="7:8" x14ac:dyDescent="0.3">
      <c r="G1070" s="173">
        <f t="shared" si="40"/>
        <v>74655.775250508348</v>
      </c>
      <c r="H1070" s="175">
        <f t="shared" si="41"/>
        <v>74655.775250508348</v>
      </c>
    </row>
    <row r="1071" spans="7:8" x14ac:dyDescent="0.3">
      <c r="G1071" s="173">
        <f t="shared" si="40"/>
        <v>74685.305844640287</v>
      </c>
      <c r="H1071" s="175">
        <f t="shared" si="41"/>
        <v>74685.305844640287</v>
      </c>
    </row>
    <row r="1072" spans="7:8" x14ac:dyDescent="0.3">
      <c r="G1072" s="173">
        <f t="shared" si="40"/>
        <v>74714.836438772225</v>
      </c>
      <c r="H1072" s="175">
        <f t="shared" si="41"/>
        <v>74714.836438772225</v>
      </c>
    </row>
    <row r="1073" spans="7:8" x14ac:dyDescent="0.3">
      <c r="G1073" s="173">
        <f t="shared" si="40"/>
        <v>74744.367032904163</v>
      </c>
      <c r="H1073" s="175">
        <f t="shared" si="41"/>
        <v>74744.367032904163</v>
      </c>
    </row>
    <row r="1074" spans="7:8" x14ac:dyDescent="0.3">
      <c r="G1074" s="173">
        <f t="shared" si="40"/>
        <v>74773.897627036102</v>
      </c>
      <c r="H1074" s="175">
        <f t="shared" si="41"/>
        <v>74773.897627036102</v>
      </c>
    </row>
    <row r="1075" spans="7:8" x14ac:dyDescent="0.3">
      <c r="G1075" s="173">
        <f t="shared" si="40"/>
        <v>74803.42822116804</v>
      </c>
      <c r="H1075" s="175">
        <f t="shared" si="41"/>
        <v>74803.42822116804</v>
      </c>
    </row>
    <row r="1076" spans="7:8" x14ac:dyDescent="0.3">
      <c r="G1076" s="173">
        <f t="shared" si="40"/>
        <v>74832.958815299979</v>
      </c>
      <c r="H1076" s="175">
        <f t="shared" si="41"/>
        <v>74832.958815299979</v>
      </c>
    </row>
    <row r="1077" spans="7:8" x14ac:dyDescent="0.3">
      <c r="G1077" s="173">
        <f t="shared" si="40"/>
        <v>74862.489409431917</v>
      </c>
      <c r="H1077" s="175">
        <f t="shared" si="41"/>
        <v>74862.489409431917</v>
      </c>
    </row>
    <row r="1078" spans="7:8" x14ac:dyDescent="0.3">
      <c r="G1078" s="173">
        <f t="shared" si="40"/>
        <v>74892.020003563855</v>
      </c>
      <c r="H1078" s="175">
        <f t="shared" si="41"/>
        <v>74892.020003563855</v>
      </c>
    </row>
    <row r="1079" spans="7:8" x14ac:dyDescent="0.3">
      <c r="G1079" s="173">
        <f t="shared" si="40"/>
        <v>74921.550597695794</v>
      </c>
      <c r="H1079" s="175">
        <f t="shared" si="41"/>
        <v>74921.550597695794</v>
      </c>
    </row>
    <row r="1080" spans="7:8" x14ac:dyDescent="0.3">
      <c r="G1080" s="173">
        <f t="shared" si="40"/>
        <v>74951.081191827732</v>
      </c>
      <c r="H1080" s="175">
        <f t="shared" si="41"/>
        <v>74951.081191827732</v>
      </c>
    </row>
    <row r="1081" spans="7:8" x14ac:dyDescent="0.3">
      <c r="G1081" s="173">
        <f t="shared" si="40"/>
        <v>74980.611785959671</v>
      </c>
      <c r="H1081" s="175">
        <f t="shared" si="41"/>
        <v>74980.611785959671</v>
      </c>
    </row>
    <row r="1082" spans="7:8" x14ac:dyDescent="0.3">
      <c r="G1082" s="173">
        <f t="shared" si="40"/>
        <v>75010.142380091609</v>
      </c>
      <c r="H1082" s="175">
        <f t="shared" si="41"/>
        <v>75010.142380091609</v>
      </c>
    </row>
    <row r="1083" spans="7:8" x14ac:dyDescent="0.3">
      <c r="G1083" s="173">
        <f t="shared" si="40"/>
        <v>75039.672974223547</v>
      </c>
      <c r="H1083" s="175">
        <f t="shared" si="41"/>
        <v>75039.672974223547</v>
      </c>
    </row>
    <row r="1084" spans="7:8" x14ac:dyDescent="0.3">
      <c r="G1084" s="173">
        <f t="shared" si="40"/>
        <v>75069.203568355486</v>
      </c>
      <c r="H1084" s="175">
        <f t="shared" si="41"/>
        <v>75069.203568355486</v>
      </c>
    </row>
    <row r="1085" spans="7:8" x14ac:dyDescent="0.3">
      <c r="G1085" s="173">
        <f t="shared" si="40"/>
        <v>75098.734162487424</v>
      </c>
      <c r="H1085" s="175">
        <f t="shared" si="41"/>
        <v>75098.734162487424</v>
      </c>
    </row>
    <row r="1086" spans="7:8" x14ac:dyDescent="0.3">
      <c r="G1086" s="173">
        <f t="shared" si="40"/>
        <v>75128.264756619363</v>
      </c>
      <c r="H1086" s="175">
        <f t="shared" si="41"/>
        <v>75128.264756619363</v>
      </c>
    </row>
    <row r="1087" spans="7:8" x14ac:dyDescent="0.3">
      <c r="G1087" s="173">
        <f t="shared" si="40"/>
        <v>75157.795350751301</v>
      </c>
      <c r="H1087" s="175">
        <f t="shared" si="41"/>
        <v>75157.795350751301</v>
      </c>
    </row>
    <row r="1088" spans="7:8" x14ac:dyDescent="0.3">
      <c r="G1088" s="173">
        <f t="shared" si="40"/>
        <v>75187.32594488324</v>
      </c>
      <c r="H1088" s="175">
        <f t="shared" si="41"/>
        <v>75187.32594488324</v>
      </c>
    </row>
    <row r="1089" spans="7:8" x14ac:dyDescent="0.3">
      <c r="G1089" s="173">
        <f t="shared" si="40"/>
        <v>75216.856539015178</v>
      </c>
      <c r="H1089" s="175">
        <f t="shared" si="41"/>
        <v>75216.856539015178</v>
      </c>
    </row>
    <row r="1090" spans="7:8" x14ac:dyDescent="0.3">
      <c r="G1090" s="173">
        <f t="shared" si="40"/>
        <v>75246.387133147116</v>
      </c>
      <c r="H1090" s="175">
        <f t="shared" si="41"/>
        <v>75246.387133147116</v>
      </c>
    </row>
    <row r="1091" spans="7:8" x14ac:dyDescent="0.3">
      <c r="G1091" s="173">
        <f t="shared" si="40"/>
        <v>75275.917727279055</v>
      </c>
      <c r="H1091" s="175">
        <f t="shared" si="41"/>
        <v>75275.917727279055</v>
      </c>
    </row>
    <row r="1092" spans="7:8" x14ac:dyDescent="0.3">
      <c r="G1092" s="173">
        <f t="shared" ref="G1092:G1155" si="42">G1091+$E$1</f>
        <v>75305.448321410993</v>
      </c>
      <c r="H1092" s="175">
        <f t="shared" si="41"/>
        <v>75305.448321410993</v>
      </c>
    </row>
    <row r="1093" spans="7:8" x14ac:dyDescent="0.3">
      <c r="G1093" s="173">
        <f t="shared" si="42"/>
        <v>75334.978915542932</v>
      </c>
      <c r="H1093" s="175">
        <f t="shared" si="41"/>
        <v>75334.978915542932</v>
      </c>
    </row>
    <row r="1094" spans="7:8" x14ac:dyDescent="0.3">
      <c r="G1094" s="173">
        <f t="shared" si="42"/>
        <v>75364.50950967487</v>
      </c>
      <c r="H1094" s="175">
        <f t="shared" si="41"/>
        <v>75364.50950967487</v>
      </c>
    </row>
    <row r="1095" spans="7:8" x14ac:dyDescent="0.3">
      <c r="G1095" s="173">
        <f t="shared" si="42"/>
        <v>75394.040103806808</v>
      </c>
      <c r="H1095" s="175">
        <f t="shared" si="41"/>
        <v>75394.040103806808</v>
      </c>
    </row>
    <row r="1096" spans="7:8" x14ac:dyDescent="0.3">
      <c r="G1096" s="173">
        <f t="shared" si="42"/>
        <v>75423.570697938747</v>
      </c>
      <c r="H1096" s="175">
        <f t="shared" si="41"/>
        <v>75423.570697938747</v>
      </c>
    </row>
    <row r="1097" spans="7:8" x14ac:dyDescent="0.3">
      <c r="G1097" s="173">
        <f t="shared" si="42"/>
        <v>75453.101292070685</v>
      </c>
      <c r="H1097" s="175">
        <f t="shared" si="41"/>
        <v>75453.101292070685</v>
      </c>
    </row>
    <row r="1098" spans="7:8" x14ac:dyDescent="0.3">
      <c r="G1098" s="173">
        <f t="shared" si="42"/>
        <v>75482.631886202624</v>
      </c>
      <c r="H1098" s="175">
        <f t="shared" si="41"/>
        <v>75482.631886202624</v>
      </c>
    </row>
    <row r="1099" spans="7:8" x14ac:dyDescent="0.3">
      <c r="G1099" s="173">
        <f t="shared" si="42"/>
        <v>75512.162480334562</v>
      </c>
      <c r="H1099" s="175">
        <f t="shared" si="41"/>
        <v>75512.162480334562</v>
      </c>
    </row>
    <row r="1100" spans="7:8" x14ac:dyDescent="0.3">
      <c r="G1100" s="173">
        <f t="shared" si="42"/>
        <v>75541.693074466501</v>
      </c>
      <c r="H1100" s="175">
        <f t="shared" si="41"/>
        <v>75541.693074466501</v>
      </c>
    </row>
    <row r="1101" spans="7:8" x14ac:dyDescent="0.3">
      <c r="G1101" s="173">
        <f t="shared" si="42"/>
        <v>75571.223668598439</v>
      </c>
      <c r="H1101" s="175">
        <f t="shared" ref="H1101:H1164" si="43">G1101</f>
        <v>75571.223668598439</v>
      </c>
    </row>
    <row r="1102" spans="7:8" x14ac:dyDescent="0.3">
      <c r="G1102" s="173">
        <f t="shared" si="42"/>
        <v>75600.754262730377</v>
      </c>
      <c r="H1102" s="175">
        <f t="shared" si="43"/>
        <v>75600.754262730377</v>
      </c>
    </row>
    <row r="1103" spans="7:8" x14ac:dyDescent="0.3">
      <c r="G1103" s="173">
        <f t="shared" si="42"/>
        <v>75630.284856862316</v>
      </c>
      <c r="H1103" s="175">
        <f t="shared" si="43"/>
        <v>75630.284856862316</v>
      </c>
    </row>
    <row r="1104" spans="7:8" x14ac:dyDescent="0.3">
      <c r="G1104" s="173">
        <f t="shared" si="42"/>
        <v>75659.815450994254</v>
      </c>
      <c r="H1104" s="175">
        <f t="shared" si="43"/>
        <v>75659.815450994254</v>
      </c>
    </row>
    <row r="1105" spans="7:8" x14ac:dyDescent="0.3">
      <c r="G1105" s="173">
        <f t="shared" si="42"/>
        <v>75689.346045126193</v>
      </c>
      <c r="H1105" s="175">
        <f t="shared" si="43"/>
        <v>75689.346045126193</v>
      </c>
    </row>
    <row r="1106" spans="7:8" x14ac:dyDescent="0.3">
      <c r="G1106" s="173">
        <f t="shared" si="42"/>
        <v>75718.876639258131</v>
      </c>
      <c r="H1106" s="175">
        <f t="shared" si="43"/>
        <v>75718.876639258131</v>
      </c>
    </row>
    <row r="1107" spans="7:8" x14ac:dyDescent="0.3">
      <c r="G1107" s="173">
        <f t="shared" si="42"/>
        <v>75748.407233390069</v>
      </c>
      <c r="H1107" s="175">
        <f t="shared" si="43"/>
        <v>75748.407233390069</v>
      </c>
    </row>
    <row r="1108" spans="7:8" x14ac:dyDescent="0.3">
      <c r="G1108" s="173">
        <f t="shared" si="42"/>
        <v>75777.937827522008</v>
      </c>
      <c r="H1108" s="175">
        <f t="shared" si="43"/>
        <v>75777.937827522008</v>
      </c>
    </row>
    <row r="1109" spans="7:8" x14ac:dyDescent="0.3">
      <c r="G1109" s="173">
        <f t="shared" si="42"/>
        <v>75807.468421653946</v>
      </c>
      <c r="H1109" s="175">
        <f t="shared" si="43"/>
        <v>75807.468421653946</v>
      </c>
    </row>
    <row r="1110" spans="7:8" x14ac:dyDescent="0.3">
      <c r="G1110" s="173">
        <f t="shared" si="42"/>
        <v>75836.999015785885</v>
      </c>
      <c r="H1110" s="175">
        <f t="shared" si="43"/>
        <v>75836.999015785885</v>
      </c>
    </row>
    <row r="1111" spans="7:8" x14ac:dyDescent="0.3">
      <c r="G1111" s="173">
        <f t="shared" si="42"/>
        <v>75866.529609917823</v>
      </c>
      <c r="H1111" s="175">
        <f t="shared" si="43"/>
        <v>75866.529609917823</v>
      </c>
    </row>
    <row r="1112" spans="7:8" x14ac:dyDescent="0.3">
      <c r="G1112" s="173">
        <f t="shared" si="42"/>
        <v>75896.060204049762</v>
      </c>
      <c r="H1112" s="175">
        <f t="shared" si="43"/>
        <v>75896.060204049762</v>
      </c>
    </row>
    <row r="1113" spans="7:8" x14ac:dyDescent="0.3">
      <c r="G1113" s="173">
        <f t="shared" si="42"/>
        <v>75925.5907981817</v>
      </c>
      <c r="H1113" s="175">
        <f t="shared" si="43"/>
        <v>75925.5907981817</v>
      </c>
    </row>
    <row r="1114" spans="7:8" x14ac:dyDescent="0.3">
      <c r="G1114" s="173">
        <f t="shared" si="42"/>
        <v>75955.121392313638</v>
      </c>
      <c r="H1114" s="175">
        <f t="shared" si="43"/>
        <v>75955.121392313638</v>
      </c>
    </row>
    <row r="1115" spans="7:8" x14ac:dyDescent="0.3">
      <c r="G1115" s="173">
        <f t="shared" si="42"/>
        <v>75984.651986445577</v>
      </c>
      <c r="H1115" s="175">
        <f t="shared" si="43"/>
        <v>75984.651986445577</v>
      </c>
    </row>
    <row r="1116" spans="7:8" x14ac:dyDescent="0.3">
      <c r="G1116" s="173">
        <f t="shared" si="42"/>
        <v>76014.182580577515</v>
      </c>
      <c r="H1116" s="175">
        <f t="shared" si="43"/>
        <v>76014.182580577515</v>
      </c>
    </row>
    <row r="1117" spans="7:8" x14ac:dyDescent="0.3">
      <c r="G1117" s="173">
        <f t="shared" si="42"/>
        <v>76043.713174709454</v>
      </c>
      <c r="H1117" s="175">
        <f t="shared" si="43"/>
        <v>76043.713174709454</v>
      </c>
    </row>
    <row r="1118" spans="7:8" x14ac:dyDescent="0.3">
      <c r="G1118" s="173">
        <f t="shared" si="42"/>
        <v>76073.243768841392</v>
      </c>
      <c r="H1118" s="175">
        <f t="shared" si="43"/>
        <v>76073.243768841392</v>
      </c>
    </row>
    <row r="1119" spans="7:8" x14ac:dyDescent="0.3">
      <c r="G1119" s="173">
        <f t="shared" si="42"/>
        <v>76102.77436297333</v>
      </c>
      <c r="H1119" s="175">
        <f t="shared" si="43"/>
        <v>76102.77436297333</v>
      </c>
    </row>
    <row r="1120" spans="7:8" x14ac:dyDescent="0.3">
      <c r="G1120" s="173">
        <f t="shared" si="42"/>
        <v>76132.304957105269</v>
      </c>
      <c r="H1120" s="175">
        <f t="shared" si="43"/>
        <v>76132.304957105269</v>
      </c>
    </row>
    <row r="1121" spans="7:8" x14ac:dyDescent="0.3">
      <c r="G1121" s="173">
        <f t="shared" si="42"/>
        <v>76161.835551237207</v>
      </c>
      <c r="H1121" s="175">
        <f t="shared" si="43"/>
        <v>76161.835551237207</v>
      </c>
    </row>
    <row r="1122" spans="7:8" x14ac:dyDescent="0.3">
      <c r="G1122" s="173">
        <f t="shared" si="42"/>
        <v>76191.366145369146</v>
      </c>
      <c r="H1122" s="175">
        <f t="shared" si="43"/>
        <v>76191.366145369146</v>
      </c>
    </row>
    <row r="1123" spans="7:8" x14ac:dyDescent="0.3">
      <c r="G1123" s="173">
        <f t="shared" si="42"/>
        <v>76220.896739501084</v>
      </c>
      <c r="H1123" s="175">
        <f t="shared" si="43"/>
        <v>76220.896739501084</v>
      </c>
    </row>
    <row r="1124" spans="7:8" x14ac:dyDescent="0.3">
      <c r="G1124" s="173">
        <f t="shared" si="42"/>
        <v>76250.427333633022</v>
      </c>
      <c r="H1124" s="175">
        <f t="shared" si="43"/>
        <v>76250.427333633022</v>
      </c>
    </row>
    <row r="1125" spans="7:8" x14ac:dyDescent="0.3">
      <c r="G1125" s="173">
        <f t="shared" si="42"/>
        <v>76279.957927764961</v>
      </c>
      <c r="H1125" s="175">
        <f t="shared" si="43"/>
        <v>76279.957927764961</v>
      </c>
    </row>
    <row r="1126" spans="7:8" x14ac:dyDescent="0.3">
      <c r="G1126" s="173">
        <f t="shared" si="42"/>
        <v>76309.488521896899</v>
      </c>
      <c r="H1126" s="175">
        <f t="shared" si="43"/>
        <v>76309.488521896899</v>
      </c>
    </row>
    <row r="1127" spans="7:8" x14ac:dyDescent="0.3">
      <c r="G1127" s="173">
        <f t="shared" si="42"/>
        <v>76339.019116028838</v>
      </c>
      <c r="H1127" s="175">
        <f t="shared" si="43"/>
        <v>76339.019116028838</v>
      </c>
    </row>
    <row r="1128" spans="7:8" x14ac:dyDescent="0.3">
      <c r="G1128" s="173">
        <f t="shared" si="42"/>
        <v>76368.549710160776</v>
      </c>
      <c r="H1128" s="175">
        <f t="shared" si="43"/>
        <v>76368.549710160776</v>
      </c>
    </row>
    <row r="1129" spans="7:8" x14ac:dyDescent="0.3">
      <c r="G1129" s="173">
        <f t="shared" si="42"/>
        <v>76398.080304292715</v>
      </c>
      <c r="H1129" s="175">
        <f t="shared" si="43"/>
        <v>76398.080304292715</v>
      </c>
    </row>
    <row r="1130" spans="7:8" x14ac:dyDescent="0.3">
      <c r="G1130" s="173">
        <f t="shared" si="42"/>
        <v>76427.610898424653</v>
      </c>
      <c r="H1130" s="175">
        <f t="shared" si="43"/>
        <v>76427.610898424653</v>
      </c>
    </row>
    <row r="1131" spans="7:8" x14ac:dyDescent="0.3">
      <c r="G1131" s="173">
        <f t="shared" si="42"/>
        <v>76457.141492556591</v>
      </c>
      <c r="H1131" s="175">
        <f t="shared" si="43"/>
        <v>76457.141492556591</v>
      </c>
    </row>
    <row r="1132" spans="7:8" x14ac:dyDescent="0.3">
      <c r="G1132" s="173">
        <f t="shared" si="42"/>
        <v>76486.67208668853</v>
      </c>
      <c r="H1132" s="175">
        <f t="shared" si="43"/>
        <v>76486.67208668853</v>
      </c>
    </row>
    <row r="1133" spans="7:8" x14ac:dyDescent="0.3">
      <c r="G1133" s="173">
        <f t="shared" si="42"/>
        <v>76516.202680820468</v>
      </c>
      <c r="H1133" s="175">
        <f t="shared" si="43"/>
        <v>76516.202680820468</v>
      </c>
    </row>
    <row r="1134" spans="7:8" x14ac:dyDescent="0.3">
      <c r="G1134" s="173">
        <f t="shared" si="42"/>
        <v>76545.733274952407</v>
      </c>
      <c r="H1134" s="175">
        <f t="shared" si="43"/>
        <v>76545.733274952407</v>
      </c>
    </row>
    <row r="1135" spans="7:8" x14ac:dyDescent="0.3">
      <c r="G1135" s="173">
        <f t="shared" si="42"/>
        <v>76575.263869084345</v>
      </c>
      <c r="H1135" s="175">
        <f t="shared" si="43"/>
        <v>76575.263869084345</v>
      </c>
    </row>
    <row r="1136" spans="7:8" x14ac:dyDescent="0.3">
      <c r="G1136" s="173">
        <f t="shared" si="42"/>
        <v>76604.794463216283</v>
      </c>
      <c r="H1136" s="175">
        <f t="shared" si="43"/>
        <v>76604.794463216283</v>
      </c>
    </row>
    <row r="1137" spans="7:8" x14ac:dyDescent="0.3">
      <c r="G1137" s="173">
        <f t="shared" si="42"/>
        <v>76634.325057348222</v>
      </c>
      <c r="H1137" s="175">
        <f t="shared" si="43"/>
        <v>76634.325057348222</v>
      </c>
    </row>
    <row r="1138" spans="7:8" x14ac:dyDescent="0.3">
      <c r="G1138" s="173">
        <f t="shared" si="42"/>
        <v>76663.85565148016</v>
      </c>
      <c r="H1138" s="175">
        <f t="shared" si="43"/>
        <v>76663.85565148016</v>
      </c>
    </row>
    <row r="1139" spans="7:8" x14ac:dyDescent="0.3">
      <c r="G1139" s="173">
        <f t="shared" si="42"/>
        <v>76693.386245612099</v>
      </c>
      <c r="H1139" s="175">
        <f t="shared" si="43"/>
        <v>76693.386245612099</v>
      </c>
    </row>
    <row r="1140" spans="7:8" x14ac:dyDescent="0.3">
      <c r="G1140" s="173">
        <f t="shared" si="42"/>
        <v>76722.916839744037</v>
      </c>
      <c r="H1140" s="175">
        <f t="shared" si="43"/>
        <v>76722.916839744037</v>
      </c>
    </row>
    <row r="1141" spans="7:8" x14ac:dyDescent="0.3">
      <c r="G1141" s="173">
        <f t="shared" si="42"/>
        <v>76752.447433875976</v>
      </c>
      <c r="H1141" s="175">
        <f t="shared" si="43"/>
        <v>76752.447433875976</v>
      </c>
    </row>
    <row r="1142" spans="7:8" x14ac:dyDescent="0.3">
      <c r="G1142" s="173">
        <f t="shared" si="42"/>
        <v>76781.978028007914</v>
      </c>
      <c r="H1142" s="175">
        <f t="shared" si="43"/>
        <v>76781.978028007914</v>
      </c>
    </row>
    <row r="1143" spans="7:8" x14ac:dyDescent="0.3">
      <c r="G1143" s="173">
        <f t="shared" si="42"/>
        <v>76811.508622139852</v>
      </c>
      <c r="H1143" s="175">
        <f t="shared" si="43"/>
        <v>76811.508622139852</v>
      </c>
    </row>
    <row r="1144" spans="7:8" x14ac:dyDescent="0.3">
      <c r="G1144" s="173">
        <f t="shared" si="42"/>
        <v>76841.039216271791</v>
      </c>
      <c r="H1144" s="175">
        <f t="shared" si="43"/>
        <v>76841.039216271791</v>
      </c>
    </row>
    <row r="1145" spans="7:8" x14ac:dyDescent="0.3">
      <c r="G1145" s="173">
        <f t="shared" si="42"/>
        <v>76870.569810403729</v>
      </c>
      <c r="H1145" s="175">
        <f t="shared" si="43"/>
        <v>76870.569810403729</v>
      </c>
    </row>
    <row r="1146" spans="7:8" x14ac:dyDescent="0.3">
      <c r="G1146" s="173">
        <f t="shared" si="42"/>
        <v>76900.100404535668</v>
      </c>
      <c r="H1146" s="175">
        <f t="shared" si="43"/>
        <v>76900.100404535668</v>
      </c>
    </row>
    <row r="1147" spans="7:8" x14ac:dyDescent="0.3">
      <c r="G1147" s="173">
        <f t="shared" si="42"/>
        <v>76929.630998667606</v>
      </c>
      <c r="H1147" s="175">
        <f t="shared" si="43"/>
        <v>76929.630998667606</v>
      </c>
    </row>
    <row r="1148" spans="7:8" x14ac:dyDescent="0.3">
      <c r="G1148" s="173">
        <f t="shared" si="42"/>
        <v>76959.161592799544</v>
      </c>
      <c r="H1148" s="175">
        <f t="shared" si="43"/>
        <v>76959.161592799544</v>
      </c>
    </row>
    <row r="1149" spans="7:8" x14ac:dyDescent="0.3">
      <c r="G1149" s="173">
        <f t="shared" si="42"/>
        <v>76988.692186931483</v>
      </c>
      <c r="H1149" s="175">
        <f t="shared" si="43"/>
        <v>76988.692186931483</v>
      </c>
    </row>
    <row r="1150" spans="7:8" x14ac:dyDescent="0.3">
      <c r="G1150" s="173">
        <f t="shared" si="42"/>
        <v>77018.222781063421</v>
      </c>
      <c r="H1150" s="175">
        <f t="shared" si="43"/>
        <v>77018.222781063421</v>
      </c>
    </row>
    <row r="1151" spans="7:8" x14ac:dyDescent="0.3">
      <c r="G1151" s="173">
        <f t="shared" si="42"/>
        <v>77047.75337519536</v>
      </c>
      <c r="H1151" s="175">
        <f t="shared" si="43"/>
        <v>77047.75337519536</v>
      </c>
    </row>
    <row r="1152" spans="7:8" x14ac:dyDescent="0.3">
      <c r="G1152" s="173">
        <f t="shared" si="42"/>
        <v>77077.283969327298</v>
      </c>
      <c r="H1152" s="175">
        <f t="shared" si="43"/>
        <v>77077.283969327298</v>
      </c>
    </row>
    <row r="1153" spans="7:8" x14ac:dyDescent="0.3">
      <c r="G1153" s="173">
        <f t="shared" si="42"/>
        <v>77106.814563459237</v>
      </c>
      <c r="H1153" s="175">
        <f t="shared" si="43"/>
        <v>77106.814563459237</v>
      </c>
    </row>
    <row r="1154" spans="7:8" x14ac:dyDescent="0.3">
      <c r="G1154" s="173">
        <f t="shared" si="42"/>
        <v>77136.345157591175</v>
      </c>
      <c r="H1154" s="175">
        <f t="shared" si="43"/>
        <v>77136.345157591175</v>
      </c>
    </row>
    <row r="1155" spans="7:8" x14ac:dyDescent="0.3">
      <c r="G1155" s="173">
        <f t="shared" si="42"/>
        <v>77165.875751723113</v>
      </c>
      <c r="H1155" s="175">
        <f t="shared" si="43"/>
        <v>77165.875751723113</v>
      </c>
    </row>
    <row r="1156" spans="7:8" x14ac:dyDescent="0.3">
      <c r="G1156" s="173">
        <f t="shared" ref="G1156:G1219" si="44">G1155+$E$1</f>
        <v>77195.406345855052</v>
      </c>
      <c r="H1156" s="175">
        <f t="shared" si="43"/>
        <v>77195.406345855052</v>
      </c>
    </row>
    <row r="1157" spans="7:8" x14ac:dyDescent="0.3">
      <c r="G1157" s="173">
        <f t="shared" si="44"/>
        <v>77224.93693998699</v>
      </c>
      <c r="H1157" s="175">
        <f t="shared" si="43"/>
        <v>77224.93693998699</v>
      </c>
    </row>
    <row r="1158" spans="7:8" x14ac:dyDescent="0.3">
      <c r="G1158" s="173">
        <f t="shared" si="44"/>
        <v>77254.467534118929</v>
      </c>
      <c r="H1158" s="175">
        <f t="shared" si="43"/>
        <v>77254.467534118929</v>
      </c>
    </row>
    <row r="1159" spans="7:8" x14ac:dyDescent="0.3">
      <c r="G1159" s="173">
        <f t="shared" si="44"/>
        <v>77283.998128250867</v>
      </c>
      <c r="H1159" s="175">
        <f t="shared" si="43"/>
        <v>77283.998128250867</v>
      </c>
    </row>
    <row r="1160" spans="7:8" x14ac:dyDescent="0.3">
      <c r="G1160" s="173">
        <f t="shared" si="44"/>
        <v>77313.528722382805</v>
      </c>
      <c r="H1160" s="175">
        <f t="shared" si="43"/>
        <v>77313.528722382805</v>
      </c>
    </row>
    <row r="1161" spans="7:8" x14ac:dyDescent="0.3">
      <c r="G1161" s="173">
        <f t="shared" si="44"/>
        <v>77343.059316514744</v>
      </c>
      <c r="H1161" s="175">
        <f t="shared" si="43"/>
        <v>77343.059316514744</v>
      </c>
    </row>
    <row r="1162" spans="7:8" x14ac:dyDescent="0.3">
      <c r="G1162" s="173">
        <f t="shared" si="44"/>
        <v>77372.589910646682</v>
      </c>
      <c r="H1162" s="175">
        <f t="shared" si="43"/>
        <v>77372.589910646682</v>
      </c>
    </row>
    <row r="1163" spans="7:8" x14ac:dyDescent="0.3">
      <c r="G1163" s="173">
        <f t="shared" si="44"/>
        <v>77402.120504778621</v>
      </c>
      <c r="H1163" s="175">
        <f t="shared" si="43"/>
        <v>77402.120504778621</v>
      </c>
    </row>
    <row r="1164" spans="7:8" x14ac:dyDescent="0.3">
      <c r="G1164" s="173">
        <f t="shared" si="44"/>
        <v>77431.651098910559</v>
      </c>
      <c r="H1164" s="175">
        <f t="shared" si="43"/>
        <v>77431.651098910559</v>
      </c>
    </row>
    <row r="1165" spans="7:8" x14ac:dyDescent="0.3">
      <c r="G1165" s="173">
        <f t="shared" si="44"/>
        <v>77461.181693042497</v>
      </c>
      <c r="H1165" s="175">
        <f t="shared" ref="H1165:H1228" si="45">G1165</f>
        <v>77461.181693042497</v>
      </c>
    </row>
    <row r="1166" spans="7:8" x14ac:dyDescent="0.3">
      <c r="G1166" s="173">
        <f t="shared" si="44"/>
        <v>77490.712287174436</v>
      </c>
      <c r="H1166" s="175">
        <f t="shared" si="45"/>
        <v>77490.712287174436</v>
      </c>
    </row>
    <row r="1167" spans="7:8" x14ac:dyDescent="0.3">
      <c r="G1167" s="173">
        <f t="shared" si="44"/>
        <v>77520.242881306374</v>
      </c>
      <c r="H1167" s="175">
        <f t="shared" si="45"/>
        <v>77520.242881306374</v>
      </c>
    </row>
    <row r="1168" spans="7:8" x14ac:dyDescent="0.3">
      <c r="G1168" s="173">
        <f t="shared" si="44"/>
        <v>77549.773475438313</v>
      </c>
      <c r="H1168" s="175">
        <f t="shared" si="45"/>
        <v>77549.773475438313</v>
      </c>
    </row>
    <row r="1169" spans="7:8" x14ac:dyDescent="0.3">
      <c r="G1169" s="173">
        <f t="shared" si="44"/>
        <v>77579.304069570251</v>
      </c>
      <c r="H1169" s="175">
        <f t="shared" si="45"/>
        <v>77579.304069570251</v>
      </c>
    </row>
    <row r="1170" spans="7:8" x14ac:dyDescent="0.3">
      <c r="G1170" s="173">
        <f t="shared" si="44"/>
        <v>77608.83466370219</v>
      </c>
      <c r="H1170" s="175">
        <f t="shared" si="45"/>
        <v>77608.83466370219</v>
      </c>
    </row>
    <row r="1171" spans="7:8" x14ac:dyDescent="0.3">
      <c r="G1171" s="173">
        <f t="shared" si="44"/>
        <v>77638.365257834128</v>
      </c>
      <c r="H1171" s="175">
        <f t="shared" si="45"/>
        <v>77638.365257834128</v>
      </c>
    </row>
    <row r="1172" spans="7:8" x14ac:dyDescent="0.3">
      <c r="G1172" s="173">
        <f t="shared" si="44"/>
        <v>77667.895851966066</v>
      </c>
      <c r="H1172" s="175">
        <f t="shared" si="45"/>
        <v>77667.895851966066</v>
      </c>
    </row>
    <row r="1173" spans="7:8" x14ac:dyDescent="0.3">
      <c r="G1173" s="173">
        <f t="shared" si="44"/>
        <v>77697.426446098005</v>
      </c>
      <c r="H1173" s="175">
        <f t="shared" si="45"/>
        <v>77697.426446098005</v>
      </c>
    </row>
    <row r="1174" spans="7:8" x14ac:dyDescent="0.3">
      <c r="G1174" s="173">
        <f t="shared" si="44"/>
        <v>77726.957040229943</v>
      </c>
      <c r="H1174" s="175">
        <f t="shared" si="45"/>
        <v>77726.957040229943</v>
      </c>
    </row>
    <row r="1175" spans="7:8" x14ac:dyDescent="0.3">
      <c r="G1175" s="173">
        <f t="shared" si="44"/>
        <v>77756.487634361882</v>
      </c>
      <c r="H1175" s="175">
        <f t="shared" si="45"/>
        <v>77756.487634361882</v>
      </c>
    </row>
    <row r="1176" spans="7:8" x14ac:dyDescent="0.3">
      <c r="G1176" s="173">
        <f t="shared" si="44"/>
        <v>77786.01822849382</v>
      </c>
      <c r="H1176" s="175">
        <f t="shared" si="45"/>
        <v>77786.01822849382</v>
      </c>
    </row>
    <row r="1177" spans="7:8" x14ac:dyDescent="0.3">
      <c r="G1177" s="173">
        <f t="shared" si="44"/>
        <v>77815.548822625758</v>
      </c>
      <c r="H1177" s="175">
        <f t="shared" si="45"/>
        <v>77815.548822625758</v>
      </c>
    </row>
    <row r="1178" spans="7:8" x14ac:dyDescent="0.3">
      <c r="G1178" s="173">
        <f t="shared" si="44"/>
        <v>77845.079416757697</v>
      </c>
      <c r="H1178" s="175">
        <f t="shared" si="45"/>
        <v>77845.079416757697</v>
      </c>
    </row>
    <row r="1179" spans="7:8" x14ac:dyDescent="0.3">
      <c r="G1179" s="173">
        <f t="shared" si="44"/>
        <v>77874.610010889635</v>
      </c>
      <c r="H1179" s="175">
        <f t="shared" si="45"/>
        <v>77874.610010889635</v>
      </c>
    </row>
    <row r="1180" spans="7:8" x14ac:dyDescent="0.3">
      <c r="G1180" s="173">
        <f t="shared" si="44"/>
        <v>77904.140605021574</v>
      </c>
      <c r="H1180" s="175">
        <f t="shared" si="45"/>
        <v>77904.140605021574</v>
      </c>
    </row>
    <row r="1181" spans="7:8" x14ac:dyDescent="0.3">
      <c r="G1181" s="173">
        <f t="shared" si="44"/>
        <v>77933.671199153512</v>
      </c>
      <c r="H1181" s="175">
        <f t="shared" si="45"/>
        <v>77933.671199153512</v>
      </c>
    </row>
    <row r="1182" spans="7:8" x14ac:dyDescent="0.3">
      <c r="G1182" s="173">
        <f t="shared" si="44"/>
        <v>77963.201793285451</v>
      </c>
      <c r="H1182" s="175">
        <f t="shared" si="45"/>
        <v>77963.201793285451</v>
      </c>
    </row>
    <row r="1183" spans="7:8" x14ac:dyDescent="0.3">
      <c r="G1183" s="173">
        <f t="shared" si="44"/>
        <v>77992.732387417389</v>
      </c>
      <c r="H1183" s="175">
        <f t="shared" si="45"/>
        <v>77992.732387417389</v>
      </c>
    </row>
    <row r="1184" spans="7:8" x14ac:dyDescent="0.3">
      <c r="G1184" s="173">
        <f t="shared" si="44"/>
        <v>78022.262981549327</v>
      </c>
      <c r="H1184" s="175">
        <f t="shared" si="45"/>
        <v>78022.262981549327</v>
      </c>
    </row>
    <row r="1185" spans="7:8" x14ac:dyDescent="0.3">
      <c r="G1185" s="173">
        <f t="shared" si="44"/>
        <v>78051.793575681266</v>
      </c>
      <c r="H1185" s="175">
        <f t="shared" si="45"/>
        <v>78051.793575681266</v>
      </c>
    </row>
    <row r="1186" spans="7:8" x14ac:dyDescent="0.3">
      <c r="G1186" s="173">
        <f t="shared" si="44"/>
        <v>78081.324169813204</v>
      </c>
      <c r="H1186" s="175">
        <f t="shared" si="45"/>
        <v>78081.324169813204</v>
      </c>
    </row>
    <row r="1187" spans="7:8" x14ac:dyDescent="0.3">
      <c r="G1187" s="173">
        <f t="shared" si="44"/>
        <v>78110.854763945143</v>
      </c>
      <c r="H1187" s="175">
        <f t="shared" si="45"/>
        <v>78110.854763945143</v>
      </c>
    </row>
    <row r="1188" spans="7:8" x14ac:dyDescent="0.3">
      <c r="G1188" s="173">
        <f t="shared" si="44"/>
        <v>78140.385358077081</v>
      </c>
      <c r="H1188" s="175">
        <f t="shared" si="45"/>
        <v>78140.385358077081</v>
      </c>
    </row>
    <row r="1189" spans="7:8" x14ac:dyDescent="0.3">
      <c r="G1189" s="173">
        <f t="shared" si="44"/>
        <v>78169.915952209019</v>
      </c>
      <c r="H1189" s="175">
        <f t="shared" si="45"/>
        <v>78169.915952209019</v>
      </c>
    </row>
    <row r="1190" spans="7:8" x14ac:dyDescent="0.3">
      <c r="G1190" s="173">
        <f t="shared" si="44"/>
        <v>78199.446546340958</v>
      </c>
      <c r="H1190" s="175">
        <f t="shared" si="45"/>
        <v>78199.446546340958</v>
      </c>
    </row>
    <row r="1191" spans="7:8" x14ac:dyDescent="0.3">
      <c r="G1191" s="173">
        <f t="shared" si="44"/>
        <v>78228.977140472896</v>
      </c>
      <c r="H1191" s="175">
        <f t="shared" si="45"/>
        <v>78228.977140472896</v>
      </c>
    </row>
    <row r="1192" spans="7:8" x14ac:dyDescent="0.3">
      <c r="G1192" s="173">
        <f t="shared" si="44"/>
        <v>78258.507734604835</v>
      </c>
      <c r="H1192" s="175">
        <f t="shared" si="45"/>
        <v>78258.507734604835</v>
      </c>
    </row>
    <row r="1193" spans="7:8" x14ac:dyDescent="0.3">
      <c r="G1193" s="173">
        <f t="shared" si="44"/>
        <v>78288.038328736773</v>
      </c>
      <c r="H1193" s="175">
        <f t="shared" si="45"/>
        <v>78288.038328736773</v>
      </c>
    </row>
    <row r="1194" spans="7:8" x14ac:dyDescent="0.3">
      <c r="G1194" s="173">
        <f t="shared" si="44"/>
        <v>78317.568922868712</v>
      </c>
      <c r="H1194" s="175">
        <f t="shared" si="45"/>
        <v>78317.568922868712</v>
      </c>
    </row>
    <row r="1195" spans="7:8" x14ac:dyDescent="0.3">
      <c r="G1195" s="173">
        <f t="shared" si="44"/>
        <v>78347.09951700065</v>
      </c>
      <c r="H1195" s="175">
        <f t="shared" si="45"/>
        <v>78347.09951700065</v>
      </c>
    </row>
    <row r="1196" spans="7:8" x14ac:dyDescent="0.3">
      <c r="G1196" s="173">
        <f t="shared" si="44"/>
        <v>78376.630111132588</v>
      </c>
      <c r="H1196" s="175">
        <f t="shared" si="45"/>
        <v>78376.630111132588</v>
      </c>
    </row>
    <row r="1197" spans="7:8" x14ac:dyDescent="0.3">
      <c r="G1197" s="173">
        <f t="shared" si="44"/>
        <v>78406.160705264527</v>
      </c>
      <c r="H1197" s="175">
        <f t="shared" si="45"/>
        <v>78406.160705264527</v>
      </c>
    </row>
    <row r="1198" spans="7:8" x14ac:dyDescent="0.3">
      <c r="G1198" s="173">
        <f t="shared" si="44"/>
        <v>78435.691299396465</v>
      </c>
      <c r="H1198" s="175">
        <f t="shared" si="45"/>
        <v>78435.691299396465</v>
      </c>
    </row>
    <row r="1199" spans="7:8" x14ac:dyDescent="0.3">
      <c r="G1199" s="173">
        <f t="shared" si="44"/>
        <v>78465.221893528404</v>
      </c>
      <c r="H1199" s="175">
        <f t="shared" si="45"/>
        <v>78465.221893528404</v>
      </c>
    </row>
    <row r="1200" spans="7:8" x14ac:dyDescent="0.3">
      <c r="G1200" s="173">
        <f t="shared" si="44"/>
        <v>78494.752487660342</v>
      </c>
      <c r="H1200" s="175">
        <f t="shared" si="45"/>
        <v>78494.752487660342</v>
      </c>
    </row>
    <row r="1201" spans="7:8" x14ac:dyDescent="0.3">
      <c r="G1201" s="173">
        <f t="shared" si="44"/>
        <v>78524.28308179228</v>
      </c>
      <c r="H1201" s="175">
        <f t="shared" si="45"/>
        <v>78524.28308179228</v>
      </c>
    </row>
    <row r="1202" spans="7:8" x14ac:dyDescent="0.3">
      <c r="G1202" s="173">
        <f t="shared" si="44"/>
        <v>78553.813675924219</v>
      </c>
      <c r="H1202" s="175">
        <f t="shared" si="45"/>
        <v>78553.813675924219</v>
      </c>
    </row>
    <row r="1203" spans="7:8" x14ac:dyDescent="0.3">
      <c r="G1203" s="173">
        <f t="shared" si="44"/>
        <v>78583.344270056157</v>
      </c>
      <c r="H1203" s="175">
        <f t="shared" si="45"/>
        <v>78583.344270056157</v>
      </c>
    </row>
    <row r="1204" spans="7:8" x14ac:dyDescent="0.3">
      <c r="G1204" s="173">
        <f t="shared" si="44"/>
        <v>78612.874864188096</v>
      </c>
      <c r="H1204" s="175">
        <f t="shared" si="45"/>
        <v>78612.874864188096</v>
      </c>
    </row>
    <row r="1205" spans="7:8" x14ac:dyDescent="0.3">
      <c r="G1205" s="173">
        <f t="shared" si="44"/>
        <v>78642.405458320034</v>
      </c>
      <c r="H1205" s="175">
        <f t="shared" si="45"/>
        <v>78642.405458320034</v>
      </c>
    </row>
    <row r="1206" spans="7:8" x14ac:dyDescent="0.3">
      <c r="G1206" s="173">
        <f t="shared" si="44"/>
        <v>78671.936052451973</v>
      </c>
      <c r="H1206" s="175">
        <f t="shared" si="45"/>
        <v>78671.936052451973</v>
      </c>
    </row>
    <row r="1207" spans="7:8" x14ac:dyDescent="0.3">
      <c r="G1207" s="173">
        <f t="shared" si="44"/>
        <v>78701.466646583911</v>
      </c>
      <c r="H1207" s="175">
        <f t="shared" si="45"/>
        <v>78701.466646583911</v>
      </c>
    </row>
    <row r="1208" spans="7:8" x14ac:dyDescent="0.3">
      <c r="G1208" s="173">
        <f t="shared" si="44"/>
        <v>78730.997240715849</v>
      </c>
      <c r="H1208" s="175">
        <f t="shared" si="45"/>
        <v>78730.997240715849</v>
      </c>
    </row>
    <row r="1209" spans="7:8" x14ac:dyDescent="0.3">
      <c r="G1209" s="173">
        <f t="shared" si="44"/>
        <v>78760.527834847788</v>
      </c>
      <c r="H1209" s="175">
        <f t="shared" si="45"/>
        <v>78760.527834847788</v>
      </c>
    </row>
    <row r="1210" spans="7:8" x14ac:dyDescent="0.3">
      <c r="G1210" s="173">
        <f t="shared" si="44"/>
        <v>78790.058428979726</v>
      </c>
      <c r="H1210" s="175">
        <f t="shared" si="45"/>
        <v>78790.058428979726</v>
      </c>
    </row>
    <row r="1211" spans="7:8" x14ac:dyDescent="0.3">
      <c r="G1211" s="173">
        <f t="shared" si="44"/>
        <v>78819.589023111665</v>
      </c>
      <c r="H1211" s="175">
        <f t="shared" si="45"/>
        <v>78819.589023111665</v>
      </c>
    </row>
    <row r="1212" spans="7:8" x14ac:dyDescent="0.3">
      <c r="G1212" s="173">
        <f t="shared" si="44"/>
        <v>78849.119617243603</v>
      </c>
      <c r="H1212" s="175">
        <f t="shared" si="45"/>
        <v>78849.119617243603</v>
      </c>
    </row>
    <row r="1213" spans="7:8" x14ac:dyDescent="0.3">
      <c r="G1213" s="173">
        <f t="shared" si="44"/>
        <v>78878.650211375541</v>
      </c>
      <c r="H1213" s="175">
        <f t="shared" si="45"/>
        <v>78878.650211375541</v>
      </c>
    </row>
    <row r="1214" spans="7:8" x14ac:dyDescent="0.3">
      <c r="G1214" s="173">
        <f t="shared" si="44"/>
        <v>78908.18080550748</v>
      </c>
      <c r="H1214" s="175">
        <f t="shared" si="45"/>
        <v>78908.18080550748</v>
      </c>
    </row>
    <row r="1215" spans="7:8" x14ac:dyDescent="0.3">
      <c r="G1215" s="173">
        <f t="shared" si="44"/>
        <v>78937.711399639418</v>
      </c>
      <c r="H1215" s="175">
        <f t="shared" si="45"/>
        <v>78937.711399639418</v>
      </c>
    </row>
    <row r="1216" spans="7:8" x14ac:dyDescent="0.3">
      <c r="G1216" s="173">
        <f t="shared" si="44"/>
        <v>78967.241993771357</v>
      </c>
      <c r="H1216" s="175">
        <f t="shared" si="45"/>
        <v>78967.241993771357</v>
      </c>
    </row>
    <row r="1217" spans="7:8" x14ac:dyDescent="0.3">
      <c r="G1217" s="173">
        <f t="shared" si="44"/>
        <v>78996.772587903295</v>
      </c>
      <c r="H1217" s="175">
        <f t="shared" si="45"/>
        <v>78996.772587903295</v>
      </c>
    </row>
    <row r="1218" spans="7:8" x14ac:dyDescent="0.3">
      <c r="G1218" s="173">
        <f t="shared" si="44"/>
        <v>79026.303182035233</v>
      </c>
      <c r="H1218" s="175">
        <f t="shared" si="45"/>
        <v>79026.303182035233</v>
      </c>
    </row>
    <row r="1219" spans="7:8" x14ac:dyDescent="0.3">
      <c r="G1219" s="173">
        <f t="shared" si="44"/>
        <v>79055.833776167172</v>
      </c>
      <c r="H1219" s="175">
        <f t="shared" si="45"/>
        <v>79055.833776167172</v>
      </c>
    </row>
    <row r="1220" spans="7:8" x14ac:dyDescent="0.3">
      <c r="G1220" s="173">
        <f t="shared" ref="G1220:G1263" si="46">G1219+$E$1</f>
        <v>79085.36437029911</v>
      </c>
      <c r="H1220" s="175">
        <f t="shared" si="45"/>
        <v>79085.36437029911</v>
      </c>
    </row>
    <row r="1221" spans="7:8" x14ac:dyDescent="0.3">
      <c r="G1221" s="173">
        <f t="shared" si="46"/>
        <v>79114.894964431049</v>
      </c>
      <c r="H1221" s="175">
        <f t="shared" si="45"/>
        <v>79114.894964431049</v>
      </c>
    </row>
    <row r="1222" spans="7:8" x14ac:dyDescent="0.3">
      <c r="G1222" s="173">
        <f t="shared" si="46"/>
        <v>79144.425558562987</v>
      </c>
      <c r="H1222" s="175">
        <f t="shared" si="45"/>
        <v>79144.425558562987</v>
      </c>
    </row>
    <row r="1223" spans="7:8" x14ac:dyDescent="0.3">
      <c r="G1223" s="173">
        <f t="shared" si="46"/>
        <v>79173.956152694926</v>
      </c>
      <c r="H1223" s="175">
        <f t="shared" si="45"/>
        <v>79173.956152694926</v>
      </c>
    </row>
    <row r="1224" spans="7:8" x14ac:dyDescent="0.3">
      <c r="G1224" s="173">
        <f t="shared" si="46"/>
        <v>79203.486746826864</v>
      </c>
      <c r="H1224" s="175">
        <f t="shared" si="45"/>
        <v>79203.486746826864</v>
      </c>
    </row>
    <row r="1225" spans="7:8" x14ac:dyDescent="0.3">
      <c r="G1225" s="173">
        <f t="shared" si="46"/>
        <v>79233.017340958802</v>
      </c>
      <c r="H1225" s="175">
        <f t="shared" si="45"/>
        <v>79233.017340958802</v>
      </c>
    </row>
    <row r="1226" spans="7:8" x14ac:dyDescent="0.3">
      <c r="G1226" s="173">
        <f t="shared" si="46"/>
        <v>79262.547935090741</v>
      </c>
      <c r="H1226" s="175">
        <f t="shared" si="45"/>
        <v>79262.547935090741</v>
      </c>
    </row>
    <row r="1227" spans="7:8" x14ac:dyDescent="0.3">
      <c r="G1227" s="173">
        <f t="shared" si="46"/>
        <v>79292.078529222679</v>
      </c>
      <c r="H1227" s="175">
        <f t="shared" si="45"/>
        <v>79292.078529222679</v>
      </c>
    </row>
    <row r="1228" spans="7:8" x14ac:dyDescent="0.3">
      <c r="G1228" s="173">
        <f t="shared" si="46"/>
        <v>79321.609123354618</v>
      </c>
      <c r="H1228" s="175">
        <f t="shared" si="45"/>
        <v>79321.609123354618</v>
      </c>
    </row>
    <row r="1229" spans="7:8" x14ac:dyDescent="0.3">
      <c r="G1229" s="173">
        <f t="shared" si="46"/>
        <v>79351.139717486556</v>
      </c>
      <c r="H1229" s="175">
        <f t="shared" ref="H1229:H1263" si="47">G1229</f>
        <v>79351.139717486556</v>
      </c>
    </row>
    <row r="1230" spans="7:8" x14ac:dyDescent="0.3">
      <c r="G1230" s="173">
        <f t="shared" si="46"/>
        <v>79380.670311618494</v>
      </c>
      <c r="H1230" s="175">
        <f t="shared" si="47"/>
        <v>79380.670311618494</v>
      </c>
    </row>
    <row r="1231" spans="7:8" x14ac:dyDescent="0.3">
      <c r="G1231" s="173">
        <f t="shared" si="46"/>
        <v>79410.200905750433</v>
      </c>
      <c r="H1231" s="175">
        <f t="shared" si="47"/>
        <v>79410.200905750433</v>
      </c>
    </row>
    <row r="1232" spans="7:8" x14ac:dyDescent="0.3">
      <c r="G1232" s="173">
        <f t="shared" si="46"/>
        <v>79439.731499882371</v>
      </c>
      <c r="H1232" s="175">
        <f t="shared" si="47"/>
        <v>79439.731499882371</v>
      </c>
    </row>
    <row r="1233" spans="7:8" x14ac:dyDescent="0.3">
      <c r="G1233" s="173">
        <f t="shared" si="46"/>
        <v>79469.26209401431</v>
      </c>
      <c r="H1233" s="175">
        <f t="shared" si="47"/>
        <v>79469.26209401431</v>
      </c>
    </row>
    <row r="1234" spans="7:8" x14ac:dyDescent="0.3">
      <c r="G1234" s="173">
        <f t="shared" si="46"/>
        <v>79498.792688146248</v>
      </c>
      <c r="H1234" s="175">
        <f t="shared" si="47"/>
        <v>79498.792688146248</v>
      </c>
    </row>
    <row r="1235" spans="7:8" x14ac:dyDescent="0.3">
      <c r="G1235" s="173">
        <f t="shared" si="46"/>
        <v>79528.323282278187</v>
      </c>
      <c r="H1235" s="175">
        <f t="shared" si="47"/>
        <v>79528.323282278187</v>
      </c>
    </row>
    <row r="1236" spans="7:8" x14ac:dyDescent="0.3">
      <c r="G1236" s="173">
        <f t="shared" si="46"/>
        <v>79557.853876410125</v>
      </c>
      <c r="H1236" s="175">
        <f t="shared" si="47"/>
        <v>79557.853876410125</v>
      </c>
    </row>
    <row r="1237" spans="7:8" x14ac:dyDescent="0.3">
      <c r="G1237" s="173">
        <f t="shared" si="46"/>
        <v>79587.384470542063</v>
      </c>
      <c r="H1237" s="175">
        <f t="shared" si="47"/>
        <v>79587.384470542063</v>
      </c>
    </row>
    <row r="1238" spans="7:8" x14ac:dyDescent="0.3">
      <c r="G1238" s="173">
        <f t="shared" si="46"/>
        <v>79616.915064674002</v>
      </c>
      <c r="H1238" s="175">
        <f t="shared" si="47"/>
        <v>79616.915064674002</v>
      </c>
    </row>
    <row r="1239" spans="7:8" x14ac:dyDescent="0.3">
      <c r="G1239" s="173">
        <f t="shared" si="46"/>
        <v>79646.44565880594</v>
      </c>
      <c r="H1239" s="175">
        <f t="shared" si="47"/>
        <v>79646.44565880594</v>
      </c>
    </row>
    <row r="1240" spans="7:8" x14ac:dyDescent="0.3">
      <c r="G1240" s="173">
        <f t="shared" si="46"/>
        <v>79675.976252937879</v>
      </c>
      <c r="H1240" s="175">
        <f t="shared" si="47"/>
        <v>79675.976252937879</v>
      </c>
    </row>
    <row r="1241" spans="7:8" x14ac:dyDescent="0.3">
      <c r="G1241" s="173">
        <f t="shared" si="46"/>
        <v>79705.506847069817</v>
      </c>
      <c r="H1241" s="175">
        <f t="shared" si="47"/>
        <v>79705.506847069817</v>
      </c>
    </row>
    <row r="1242" spans="7:8" x14ac:dyDescent="0.3">
      <c r="G1242" s="173">
        <f t="shared" si="46"/>
        <v>79735.037441201755</v>
      </c>
      <c r="H1242" s="175">
        <f t="shared" si="47"/>
        <v>79735.037441201755</v>
      </c>
    </row>
    <row r="1243" spans="7:8" x14ac:dyDescent="0.3">
      <c r="G1243" s="173">
        <f t="shared" si="46"/>
        <v>79764.568035333694</v>
      </c>
      <c r="H1243" s="175">
        <f t="shared" si="47"/>
        <v>79764.568035333694</v>
      </c>
    </row>
    <row r="1244" spans="7:8" x14ac:dyDescent="0.3">
      <c r="G1244" s="173">
        <f t="shared" si="46"/>
        <v>79794.098629465632</v>
      </c>
      <c r="H1244" s="175">
        <f t="shared" si="47"/>
        <v>79794.098629465632</v>
      </c>
    </row>
    <row r="1245" spans="7:8" x14ac:dyDescent="0.3">
      <c r="G1245" s="173">
        <f t="shared" si="46"/>
        <v>79823.629223597571</v>
      </c>
      <c r="H1245" s="175">
        <f t="shared" si="47"/>
        <v>79823.629223597571</v>
      </c>
    </row>
    <row r="1246" spans="7:8" x14ac:dyDescent="0.3">
      <c r="G1246" s="173">
        <f t="shared" si="46"/>
        <v>79853.159817729509</v>
      </c>
      <c r="H1246" s="175">
        <f t="shared" si="47"/>
        <v>79853.159817729509</v>
      </c>
    </row>
    <row r="1247" spans="7:8" x14ac:dyDescent="0.3">
      <c r="G1247" s="173">
        <f t="shared" si="46"/>
        <v>79882.690411861448</v>
      </c>
      <c r="H1247" s="175">
        <f t="shared" si="47"/>
        <v>79882.690411861448</v>
      </c>
    </row>
    <row r="1248" spans="7:8" x14ac:dyDescent="0.3">
      <c r="G1248" s="173">
        <f t="shared" si="46"/>
        <v>79912.221005993386</v>
      </c>
      <c r="H1248" s="175">
        <f t="shared" si="47"/>
        <v>79912.221005993386</v>
      </c>
    </row>
    <row r="1249" spans="7:8" x14ac:dyDescent="0.3">
      <c r="G1249" s="173">
        <f t="shared" si="46"/>
        <v>79941.751600125324</v>
      </c>
      <c r="H1249" s="175">
        <f t="shared" si="47"/>
        <v>79941.751600125324</v>
      </c>
    </row>
    <row r="1250" spans="7:8" x14ac:dyDescent="0.3">
      <c r="G1250" s="173">
        <f t="shared" si="46"/>
        <v>79971.282194257263</v>
      </c>
      <c r="H1250" s="175">
        <f t="shared" si="47"/>
        <v>79971.282194257263</v>
      </c>
    </row>
    <row r="1251" spans="7:8" x14ac:dyDescent="0.3">
      <c r="G1251" s="173">
        <f t="shared" si="46"/>
        <v>80000.812788389201</v>
      </c>
      <c r="H1251" s="175">
        <f t="shared" si="47"/>
        <v>80000.812788389201</v>
      </c>
    </row>
    <row r="1252" spans="7:8" x14ac:dyDescent="0.3">
      <c r="G1252" s="173">
        <f t="shared" si="46"/>
        <v>80030.34338252114</v>
      </c>
      <c r="H1252" s="175">
        <f t="shared" si="47"/>
        <v>80030.34338252114</v>
      </c>
    </row>
    <row r="1253" spans="7:8" x14ac:dyDescent="0.3">
      <c r="G1253" s="173">
        <f t="shared" si="46"/>
        <v>80059.873976653078</v>
      </c>
      <c r="H1253" s="175">
        <f t="shared" si="47"/>
        <v>80059.873976653078</v>
      </c>
    </row>
    <row r="1254" spans="7:8" x14ac:dyDescent="0.3">
      <c r="G1254" s="173">
        <f t="shared" si="46"/>
        <v>80089.404570785016</v>
      </c>
      <c r="H1254" s="175">
        <f t="shared" si="47"/>
        <v>80089.404570785016</v>
      </c>
    </row>
    <row r="1255" spans="7:8" x14ac:dyDescent="0.3">
      <c r="G1255" s="173">
        <f t="shared" si="46"/>
        <v>80118.935164916955</v>
      </c>
      <c r="H1255" s="175">
        <f t="shared" si="47"/>
        <v>80118.935164916955</v>
      </c>
    </row>
    <row r="1256" spans="7:8" x14ac:dyDescent="0.3">
      <c r="G1256" s="173">
        <f t="shared" si="46"/>
        <v>80148.465759048893</v>
      </c>
      <c r="H1256" s="175">
        <f t="shared" si="47"/>
        <v>80148.465759048893</v>
      </c>
    </row>
    <row r="1257" spans="7:8" x14ac:dyDescent="0.3">
      <c r="G1257" s="173">
        <f t="shared" si="46"/>
        <v>80177.996353180832</v>
      </c>
      <c r="H1257" s="175">
        <f t="shared" si="47"/>
        <v>80177.996353180832</v>
      </c>
    </row>
    <row r="1258" spans="7:8" x14ac:dyDescent="0.3">
      <c r="G1258" s="173">
        <f t="shared" si="46"/>
        <v>80207.52694731277</v>
      </c>
      <c r="H1258" s="175">
        <f t="shared" si="47"/>
        <v>80207.52694731277</v>
      </c>
    </row>
    <row r="1259" spans="7:8" x14ac:dyDescent="0.3">
      <c r="G1259" s="173">
        <f t="shared" si="46"/>
        <v>80237.057541444708</v>
      </c>
      <c r="H1259" s="175">
        <f t="shared" si="47"/>
        <v>80237.057541444708</v>
      </c>
    </row>
    <row r="1260" spans="7:8" x14ac:dyDescent="0.3">
      <c r="G1260" s="173">
        <f t="shared" si="46"/>
        <v>80266.588135576647</v>
      </c>
      <c r="H1260" s="175">
        <f t="shared" si="47"/>
        <v>80266.588135576647</v>
      </c>
    </row>
    <row r="1261" spans="7:8" x14ac:dyDescent="0.3">
      <c r="G1261" s="173">
        <f t="shared" si="46"/>
        <v>80296.118729708585</v>
      </c>
      <c r="H1261" s="175">
        <f t="shared" si="47"/>
        <v>80296.118729708585</v>
      </c>
    </row>
    <row r="1262" spans="7:8" x14ac:dyDescent="0.3">
      <c r="G1262" s="173">
        <f t="shared" si="46"/>
        <v>80325.649323840524</v>
      </c>
      <c r="H1262" s="175">
        <f t="shared" si="47"/>
        <v>80325.649323840524</v>
      </c>
    </row>
    <row r="1263" spans="7:8" x14ac:dyDescent="0.3">
      <c r="G1263" s="173">
        <f t="shared" si="46"/>
        <v>80355.179917972462</v>
      </c>
      <c r="H1263" s="175">
        <f t="shared" si="47"/>
        <v>80355.179917972462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9"/>
  <dimension ref="A1:B599"/>
  <sheetViews>
    <sheetView topLeftCell="A55" workbookViewId="0"/>
  </sheetViews>
  <sheetFormatPr baseColWidth="10" defaultRowHeight="14.4" x14ac:dyDescent="0.3"/>
  <cols>
    <col min="1" max="1" width="18.44140625" bestFit="1" customWidth="1"/>
    <col min="2" max="2" width="27.109375" bestFit="1" customWidth="1"/>
  </cols>
  <sheetData>
    <row r="1" spans="1:2" x14ac:dyDescent="0.3">
      <c r="A1" s="173">
        <v>43323.814876516211</v>
      </c>
      <c r="B1" s="175">
        <v>43323.814876516211</v>
      </c>
    </row>
    <row r="2" spans="1:2" x14ac:dyDescent="0.3">
      <c r="A2" s="173">
        <v>43353.345470648157</v>
      </c>
      <c r="B2" s="175">
        <v>43353.345470648157</v>
      </c>
    </row>
    <row r="3" spans="1:2" x14ac:dyDescent="0.3">
      <c r="A3" s="173">
        <v>43382.876064780103</v>
      </c>
      <c r="B3" s="175">
        <v>43382.876064780103</v>
      </c>
    </row>
    <row r="4" spans="1:2" x14ac:dyDescent="0.3">
      <c r="A4" s="173">
        <v>43412.406658912048</v>
      </c>
      <c r="B4" s="175">
        <v>43412.406658912048</v>
      </c>
    </row>
    <row r="5" spans="1:2" x14ac:dyDescent="0.3">
      <c r="A5" s="173">
        <v>43441.937253043994</v>
      </c>
      <c r="B5" s="175">
        <v>43441.937253043994</v>
      </c>
    </row>
    <row r="6" spans="1:2" x14ac:dyDescent="0.3">
      <c r="A6" s="173">
        <v>43471.46784717594</v>
      </c>
      <c r="B6" s="175">
        <v>43471.46784717594</v>
      </c>
    </row>
    <row r="7" spans="1:2" x14ac:dyDescent="0.3">
      <c r="A7" s="173">
        <v>43500.998441307886</v>
      </c>
      <c r="B7" s="175">
        <v>43500.998441307886</v>
      </c>
    </row>
    <row r="8" spans="1:2" x14ac:dyDescent="0.3">
      <c r="A8" s="173">
        <v>43530.529035439831</v>
      </c>
      <c r="B8" s="175">
        <v>43530.529035439831</v>
      </c>
    </row>
    <row r="9" spans="1:2" x14ac:dyDescent="0.3">
      <c r="A9" s="173">
        <v>43560.059629571777</v>
      </c>
      <c r="B9" s="175">
        <v>43560.059629571777</v>
      </c>
    </row>
    <row r="10" spans="1:2" x14ac:dyDescent="0.3">
      <c r="A10" s="173">
        <v>43589.590223703723</v>
      </c>
      <c r="B10" s="175">
        <v>43589.590223703723</v>
      </c>
    </row>
    <row r="11" spans="1:2" x14ac:dyDescent="0.3">
      <c r="A11" s="173">
        <v>43619.120817835668</v>
      </c>
      <c r="B11" s="175">
        <v>43619.120817835668</v>
      </c>
    </row>
    <row r="12" spans="1:2" x14ac:dyDescent="0.3">
      <c r="A12" s="173">
        <v>43648.651411967614</v>
      </c>
      <c r="B12" s="175">
        <v>43648.651411967614</v>
      </c>
    </row>
    <row r="13" spans="1:2" x14ac:dyDescent="0.3">
      <c r="A13" s="173">
        <v>43678.18200609956</v>
      </c>
      <c r="B13" s="175">
        <v>43678.18200609956</v>
      </c>
    </row>
    <row r="14" spans="1:2" x14ac:dyDescent="0.3">
      <c r="A14" s="173">
        <v>43707.712600231505</v>
      </c>
      <c r="B14" s="175">
        <v>43707.712600231505</v>
      </c>
    </row>
    <row r="15" spans="1:2" x14ac:dyDescent="0.3">
      <c r="A15" s="173">
        <v>43737.243194363451</v>
      </c>
      <c r="B15" s="175">
        <v>43737.243194363451</v>
      </c>
    </row>
    <row r="16" spans="1:2" x14ac:dyDescent="0.3">
      <c r="A16" s="173">
        <v>43766.773788495397</v>
      </c>
      <c r="B16" s="175">
        <v>43766.773788495397</v>
      </c>
    </row>
    <row r="17" spans="1:2" x14ac:dyDescent="0.3">
      <c r="A17" s="173">
        <v>43796.304382627342</v>
      </c>
      <c r="B17" s="175">
        <v>43796.304382627342</v>
      </c>
    </row>
    <row r="18" spans="1:2" x14ac:dyDescent="0.3">
      <c r="A18" s="173">
        <v>43825.834976759288</v>
      </c>
      <c r="B18" s="175">
        <v>43825.834976759288</v>
      </c>
    </row>
    <row r="19" spans="1:2" x14ac:dyDescent="0.3">
      <c r="A19" s="173">
        <v>43855.365570891234</v>
      </c>
      <c r="B19" s="175">
        <v>43855.365570891234</v>
      </c>
    </row>
    <row r="20" spans="1:2" x14ac:dyDescent="0.3">
      <c r="A20" s="173">
        <v>43884.896165023179</v>
      </c>
      <c r="B20" s="175">
        <v>43884.896165023179</v>
      </c>
    </row>
    <row r="21" spans="1:2" x14ac:dyDescent="0.3">
      <c r="A21" s="173">
        <v>43914.426759155125</v>
      </c>
      <c r="B21" s="175">
        <v>43914.426759155125</v>
      </c>
    </row>
    <row r="22" spans="1:2" x14ac:dyDescent="0.3">
      <c r="A22" s="173">
        <v>43943.957353287071</v>
      </c>
      <c r="B22" s="175">
        <v>43943.957353287071</v>
      </c>
    </row>
    <row r="23" spans="1:2" x14ac:dyDescent="0.3">
      <c r="A23" s="173">
        <v>43973.487947419017</v>
      </c>
      <c r="B23" s="175">
        <v>43973.487947419017</v>
      </c>
    </row>
    <row r="24" spans="1:2" x14ac:dyDescent="0.3">
      <c r="A24" s="173">
        <v>44003.018541550962</v>
      </c>
      <c r="B24" s="175">
        <v>44003.018541550962</v>
      </c>
    </row>
    <row r="25" spans="1:2" x14ac:dyDescent="0.3">
      <c r="A25" s="173">
        <v>44032.549135682908</v>
      </c>
      <c r="B25" s="175">
        <v>44032.549135682908</v>
      </c>
    </row>
    <row r="26" spans="1:2" x14ac:dyDescent="0.3">
      <c r="A26" s="173">
        <v>44062.079729814854</v>
      </c>
      <c r="B26" s="175">
        <v>44062.079729814854</v>
      </c>
    </row>
    <row r="27" spans="1:2" x14ac:dyDescent="0.3">
      <c r="A27" s="173">
        <v>44091.610323946799</v>
      </c>
      <c r="B27" s="175">
        <v>44091.610323946799</v>
      </c>
    </row>
    <row r="28" spans="1:2" x14ac:dyDescent="0.3">
      <c r="A28" s="173">
        <v>44121.140918078745</v>
      </c>
      <c r="B28" s="175">
        <v>44121.140918078745</v>
      </c>
    </row>
    <row r="29" spans="1:2" x14ac:dyDescent="0.3">
      <c r="A29" s="173">
        <v>44150.671512210691</v>
      </c>
      <c r="B29" s="175">
        <v>44150.671512210691</v>
      </c>
    </row>
    <row r="30" spans="1:2" x14ac:dyDescent="0.3">
      <c r="A30" s="173">
        <v>44180.202106342636</v>
      </c>
      <c r="B30" s="175">
        <v>44180.202106342636</v>
      </c>
    </row>
    <row r="31" spans="1:2" x14ac:dyDescent="0.3">
      <c r="A31" s="173">
        <v>44209.732700474582</v>
      </c>
      <c r="B31" s="175">
        <v>44209.732700474582</v>
      </c>
    </row>
    <row r="32" spans="1:2" x14ac:dyDescent="0.3">
      <c r="A32" s="173">
        <v>44239.263294606528</v>
      </c>
      <c r="B32" s="175">
        <v>44239.263294606528</v>
      </c>
    </row>
    <row r="33" spans="1:2" x14ac:dyDescent="0.3">
      <c r="A33" s="173">
        <v>44268.793888738473</v>
      </c>
      <c r="B33" s="175">
        <v>44268.793888738473</v>
      </c>
    </row>
    <row r="34" spans="1:2" x14ac:dyDescent="0.3">
      <c r="A34" s="173">
        <v>44298.324482870419</v>
      </c>
      <c r="B34" s="175">
        <v>44298.324482870419</v>
      </c>
    </row>
    <row r="35" spans="1:2" x14ac:dyDescent="0.3">
      <c r="A35" s="173">
        <v>44327.855077002365</v>
      </c>
      <c r="B35" s="175">
        <v>44327.855077002365</v>
      </c>
    </row>
    <row r="36" spans="1:2" x14ac:dyDescent="0.3">
      <c r="A36" s="173">
        <v>44357.385671134311</v>
      </c>
      <c r="B36" s="175">
        <v>44357.385671134311</v>
      </c>
    </row>
    <row r="37" spans="1:2" x14ac:dyDescent="0.3">
      <c r="A37" s="173">
        <v>44386.916265266256</v>
      </c>
      <c r="B37" s="175">
        <v>44386.916265266256</v>
      </c>
    </row>
    <row r="38" spans="1:2" x14ac:dyDescent="0.3">
      <c r="A38" s="173">
        <v>44416.446859398202</v>
      </c>
      <c r="B38" s="175">
        <v>44416.446859398202</v>
      </c>
    </row>
    <row r="39" spans="1:2" x14ac:dyDescent="0.3">
      <c r="A39" s="173">
        <v>44445.977453530148</v>
      </c>
      <c r="B39" s="175">
        <v>44445.977453530148</v>
      </c>
    </row>
    <row r="40" spans="1:2" x14ac:dyDescent="0.3">
      <c r="A40" s="173">
        <v>44475.508047662093</v>
      </c>
      <c r="B40" s="175">
        <v>44475.508047662093</v>
      </c>
    </row>
    <row r="41" spans="1:2" x14ac:dyDescent="0.3">
      <c r="A41" s="173">
        <v>44505.038641794039</v>
      </c>
      <c r="B41" s="175">
        <v>44505.038641794039</v>
      </c>
    </row>
    <row r="42" spans="1:2" x14ac:dyDescent="0.3">
      <c r="A42" s="173">
        <v>44534.569235925985</v>
      </c>
      <c r="B42" s="175">
        <v>44534.569235925985</v>
      </c>
    </row>
    <row r="43" spans="1:2" x14ac:dyDescent="0.3">
      <c r="A43" s="173">
        <v>44564.09983005793</v>
      </c>
      <c r="B43" s="175">
        <v>44564.09983005793</v>
      </c>
    </row>
    <row r="44" spans="1:2" x14ac:dyDescent="0.3">
      <c r="A44" s="173">
        <v>44593.630424189876</v>
      </c>
      <c r="B44" s="175">
        <v>44593.630424189876</v>
      </c>
    </row>
    <row r="45" spans="1:2" x14ac:dyDescent="0.3">
      <c r="A45" s="173">
        <v>44623.161018321822</v>
      </c>
      <c r="B45" s="175">
        <v>44623.161018321822</v>
      </c>
    </row>
    <row r="46" spans="1:2" x14ac:dyDescent="0.3">
      <c r="A46" s="173">
        <v>44652.691612453767</v>
      </c>
      <c r="B46" s="175">
        <v>44652.691612453767</v>
      </c>
    </row>
    <row r="47" spans="1:2" x14ac:dyDescent="0.3">
      <c r="A47" s="173">
        <v>44682.222206585713</v>
      </c>
      <c r="B47" s="175">
        <v>44682.222206585713</v>
      </c>
    </row>
    <row r="48" spans="1:2" x14ac:dyDescent="0.3">
      <c r="A48" s="173">
        <v>44711.752800717659</v>
      </c>
      <c r="B48" s="175">
        <v>44711.752800717659</v>
      </c>
    </row>
    <row r="49" spans="1:2" x14ac:dyDescent="0.3">
      <c r="A49" s="173">
        <v>44741.283394849605</v>
      </c>
      <c r="B49" s="175">
        <v>44741.283394849605</v>
      </c>
    </row>
    <row r="50" spans="1:2" x14ac:dyDescent="0.3">
      <c r="A50" s="173">
        <v>44770.81398898155</v>
      </c>
      <c r="B50" s="175">
        <v>44770.81398898155</v>
      </c>
    </row>
    <row r="51" spans="1:2" x14ac:dyDescent="0.3">
      <c r="A51" s="173">
        <v>44800.344583113496</v>
      </c>
      <c r="B51" s="175">
        <v>44800.344583113496</v>
      </c>
    </row>
    <row r="52" spans="1:2" x14ac:dyDescent="0.3">
      <c r="A52" s="173">
        <v>44829.875177245442</v>
      </c>
      <c r="B52" s="175">
        <v>44829.875177245442</v>
      </c>
    </row>
    <row r="53" spans="1:2" x14ac:dyDescent="0.3">
      <c r="A53" s="173">
        <v>44859.405771377387</v>
      </c>
      <c r="B53" s="175">
        <v>44859.405771377387</v>
      </c>
    </row>
    <row r="54" spans="1:2" x14ac:dyDescent="0.3">
      <c r="A54" s="173">
        <v>44888.936365509333</v>
      </c>
      <c r="B54" s="175">
        <v>44888.936365509333</v>
      </c>
    </row>
    <row r="55" spans="1:2" x14ac:dyDescent="0.3">
      <c r="A55" s="173">
        <v>44918.466959641279</v>
      </c>
      <c r="B55" s="175">
        <v>44918.466959641279</v>
      </c>
    </row>
    <row r="56" spans="1:2" x14ac:dyDescent="0.3">
      <c r="A56" s="173">
        <v>44947.997553773224</v>
      </c>
      <c r="B56" s="175">
        <v>44947.997553773224</v>
      </c>
    </row>
    <row r="57" spans="1:2" x14ac:dyDescent="0.3">
      <c r="A57" s="173">
        <v>44977.52814790517</v>
      </c>
      <c r="B57" s="175">
        <v>44977.52814790517</v>
      </c>
    </row>
    <row r="58" spans="1:2" x14ac:dyDescent="0.3">
      <c r="A58" s="173">
        <v>45007.058742037116</v>
      </c>
      <c r="B58" s="175">
        <v>45007.058742037116</v>
      </c>
    </row>
    <row r="59" spans="1:2" x14ac:dyDescent="0.3">
      <c r="A59" s="173">
        <v>45036.589336169061</v>
      </c>
      <c r="B59" s="175">
        <v>45036.589336169061</v>
      </c>
    </row>
    <row r="60" spans="1:2" x14ac:dyDescent="0.3">
      <c r="A60" s="173">
        <v>45066.119930301007</v>
      </c>
      <c r="B60" s="175">
        <v>45066.119930301007</v>
      </c>
    </row>
    <row r="61" spans="1:2" x14ac:dyDescent="0.3">
      <c r="A61" s="173">
        <v>45095.650524432953</v>
      </c>
      <c r="B61" s="175">
        <v>45095.650524432953</v>
      </c>
    </row>
    <row r="62" spans="1:2" x14ac:dyDescent="0.3">
      <c r="A62" s="173">
        <v>45125.181118564898</v>
      </c>
      <c r="B62" s="175">
        <v>45125.181118564898</v>
      </c>
    </row>
    <row r="63" spans="1:2" x14ac:dyDescent="0.3">
      <c r="A63" s="173">
        <v>45154.711712696844</v>
      </c>
      <c r="B63" s="175">
        <v>45154.711712696844</v>
      </c>
    </row>
    <row r="64" spans="1:2" x14ac:dyDescent="0.3">
      <c r="A64" s="173">
        <v>45184.24230682879</v>
      </c>
      <c r="B64" s="175">
        <v>45184.24230682879</v>
      </c>
    </row>
    <row r="65" spans="1:2" x14ac:dyDescent="0.3">
      <c r="A65" s="173">
        <v>45213.772900960736</v>
      </c>
      <c r="B65" s="175">
        <v>45213.772900960736</v>
      </c>
    </row>
    <row r="66" spans="1:2" x14ac:dyDescent="0.3">
      <c r="A66" s="173">
        <v>45243.303495092681</v>
      </c>
      <c r="B66" s="175">
        <v>45243.303495092681</v>
      </c>
    </row>
    <row r="67" spans="1:2" x14ac:dyDescent="0.3">
      <c r="A67" s="173">
        <v>45272.834089224627</v>
      </c>
      <c r="B67" s="175">
        <v>45272.834089224627</v>
      </c>
    </row>
    <row r="68" spans="1:2" x14ac:dyDescent="0.3">
      <c r="A68" s="173">
        <v>45302.364683356573</v>
      </c>
      <c r="B68" s="175">
        <v>45302.364683356573</v>
      </c>
    </row>
    <row r="69" spans="1:2" x14ac:dyDescent="0.3">
      <c r="A69" s="173">
        <v>45331.895277488518</v>
      </c>
      <c r="B69" s="175">
        <v>45331.895277488518</v>
      </c>
    </row>
    <row r="70" spans="1:2" x14ac:dyDescent="0.3">
      <c r="A70" s="173">
        <v>45361.425871620464</v>
      </c>
      <c r="B70" s="175">
        <v>45361.425871620464</v>
      </c>
    </row>
    <row r="71" spans="1:2" x14ac:dyDescent="0.3">
      <c r="A71" s="173">
        <v>45390.95646575241</v>
      </c>
      <c r="B71" s="175">
        <v>45390.95646575241</v>
      </c>
    </row>
    <row r="72" spans="1:2" x14ac:dyDescent="0.3">
      <c r="A72" s="173">
        <v>45420.487059884355</v>
      </c>
      <c r="B72" s="175">
        <v>45420.487059884355</v>
      </c>
    </row>
    <row r="73" spans="1:2" x14ac:dyDescent="0.3">
      <c r="A73" s="173">
        <v>45450.017654016301</v>
      </c>
      <c r="B73" s="175">
        <v>45450.017654016301</v>
      </c>
    </row>
    <row r="74" spans="1:2" x14ac:dyDescent="0.3">
      <c r="A74" s="173">
        <v>45479.548248148247</v>
      </c>
      <c r="B74" s="175">
        <v>45479.548248148247</v>
      </c>
    </row>
    <row r="75" spans="1:2" x14ac:dyDescent="0.3">
      <c r="A75" s="173">
        <v>45509.078842280192</v>
      </c>
      <c r="B75" s="175">
        <v>45509.078842280192</v>
      </c>
    </row>
    <row r="76" spans="1:2" x14ac:dyDescent="0.3">
      <c r="A76" s="173">
        <v>45538.609436412138</v>
      </c>
      <c r="B76" s="175">
        <v>45538.609436412138</v>
      </c>
    </row>
    <row r="77" spans="1:2" x14ac:dyDescent="0.3">
      <c r="A77" s="173">
        <v>45568.140030544084</v>
      </c>
      <c r="B77" s="175">
        <v>45568.140030544084</v>
      </c>
    </row>
    <row r="78" spans="1:2" x14ac:dyDescent="0.3">
      <c r="A78" s="173">
        <v>45597.67062467603</v>
      </c>
      <c r="B78" s="175">
        <v>45597.67062467603</v>
      </c>
    </row>
    <row r="79" spans="1:2" x14ac:dyDescent="0.3">
      <c r="A79" s="173">
        <v>45627.201218807975</v>
      </c>
      <c r="B79" s="175">
        <v>45627.201218807975</v>
      </c>
    </row>
    <row r="80" spans="1:2" x14ac:dyDescent="0.3">
      <c r="A80" s="173">
        <v>45656.731812939921</v>
      </c>
      <c r="B80" s="175">
        <v>45656.731812939921</v>
      </c>
    </row>
    <row r="81" spans="1:2" x14ac:dyDescent="0.3">
      <c r="A81" s="173">
        <v>45686.262407071867</v>
      </c>
      <c r="B81" s="175">
        <v>45686.262407071867</v>
      </c>
    </row>
    <row r="82" spans="1:2" x14ac:dyDescent="0.3">
      <c r="A82" s="173">
        <v>45715.793001203812</v>
      </c>
      <c r="B82" s="175">
        <v>45715.793001203812</v>
      </c>
    </row>
    <row r="83" spans="1:2" x14ac:dyDescent="0.3">
      <c r="A83" s="173">
        <v>45745.323595335758</v>
      </c>
      <c r="B83" s="175">
        <v>45745.323595335758</v>
      </c>
    </row>
    <row r="84" spans="1:2" x14ac:dyDescent="0.3">
      <c r="A84" s="173">
        <v>45774.854189467704</v>
      </c>
      <c r="B84" s="175">
        <v>45774.854189467704</v>
      </c>
    </row>
    <row r="85" spans="1:2" x14ac:dyDescent="0.3">
      <c r="A85" s="173">
        <v>45804.384783599649</v>
      </c>
      <c r="B85" s="175">
        <v>45804.384783599649</v>
      </c>
    </row>
    <row r="86" spans="1:2" x14ac:dyDescent="0.3">
      <c r="A86" s="173">
        <v>45833.915377731595</v>
      </c>
      <c r="B86" s="175">
        <v>45833.915377731595</v>
      </c>
    </row>
    <row r="87" spans="1:2" x14ac:dyDescent="0.3">
      <c r="A87" s="173">
        <v>45863.445971863541</v>
      </c>
      <c r="B87" s="175">
        <v>45863.445971863541</v>
      </c>
    </row>
    <row r="88" spans="1:2" x14ac:dyDescent="0.3">
      <c r="A88" s="173">
        <v>45892.976565995486</v>
      </c>
      <c r="B88" s="175">
        <v>45892.976565995486</v>
      </c>
    </row>
    <row r="89" spans="1:2" x14ac:dyDescent="0.3">
      <c r="A89" s="173">
        <v>45922.507160127432</v>
      </c>
      <c r="B89" s="175">
        <v>45922.507160127432</v>
      </c>
    </row>
    <row r="90" spans="1:2" x14ac:dyDescent="0.3">
      <c r="A90" s="173">
        <v>45952.037754259378</v>
      </c>
      <c r="B90" s="175">
        <v>45952.037754259378</v>
      </c>
    </row>
    <row r="91" spans="1:2" x14ac:dyDescent="0.3">
      <c r="A91" s="173">
        <v>45981.568348391324</v>
      </c>
      <c r="B91" s="175">
        <v>45981.568348391324</v>
      </c>
    </row>
    <row r="92" spans="1:2" x14ac:dyDescent="0.3">
      <c r="A92" s="173">
        <v>46011.098942523269</v>
      </c>
      <c r="B92" s="175">
        <v>46011.098942523269</v>
      </c>
    </row>
    <row r="93" spans="1:2" x14ac:dyDescent="0.3">
      <c r="A93" s="173">
        <v>46040.629536655215</v>
      </c>
      <c r="B93" s="175">
        <v>46040.629536655215</v>
      </c>
    </row>
    <row r="94" spans="1:2" x14ac:dyDescent="0.3">
      <c r="A94" s="173">
        <v>46070.160130787161</v>
      </c>
      <c r="B94" s="175">
        <v>46070.160130787161</v>
      </c>
    </row>
    <row r="95" spans="1:2" x14ac:dyDescent="0.3">
      <c r="A95" s="173">
        <v>46099.690724919106</v>
      </c>
      <c r="B95" s="175">
        <v>46099.690724919106</v>
      </c>
    </row>
    <row r="96" spans="1:2" x14ac:dyDescent="0.3">
      <c r="A96" s="173">
        <v>46129.221319051052</v>
      </c>
      <c r="B96" s="175">
        <v>46129.221319051052</v>
      </c>
    </row>
    <row r="97" spans="1:2" x14ac:dyDescent="0.3">
      <c r="A97" s="173">
        <v>46158.751913182998</v>
      </c>
      <c r="B97" s="175">
        <v>46158.751913182998</v>
      </c>
    </row>
    <row r="98" spans="1:2" x14ac:dyDescent="0.3">
      <c r="A98" s="173">
        <v>46188.282507314943</v>
      </c>
      <c r="B98" s="175">
        <v>46188.282507314943</v>
      </c>
    </row>
    <row r="99" spans="1:2" x14ac:dyDescent="0.3">
      <c r="A99" s="173">
        <v>46217.813101446889</v>
      </c>
      <c r="B99" s="175">
        <v>46217.813101446889</v>
      </c>
    </row>
    <row r="100" spans="1:2" x14ac:dyDescent="0.3">
      <c r="A100" s="173">
        <v>46247.343695578835</v>
      </c>
      <c r="B100" s="175">
        <v>46247.343695578835</v>
      </c>
    </row>
    <row r="101" spans="1:2" x14ac:dyDescent="0.3">
      <c r="A101" s="173">
        <v>46276.87428971078</v>
      </c>
      <c r="B101" s="175">
        <v>46276.87428971078</v>
      </c>
    </row>
    <row r="102" spans="1:2" x14ac:dyDescent="0.3">
      <c r="A102" s="173">
        <v>46306.404883842726</v>
      </c>
      <c r="B102" s="175">
        <v>46306.404883842726</v>
      </c>
    </row>
    <row r="103" spans="1:2" x14ac:dyDescent="0.3">
      <c r="A103" s="173">
        <v>46335.935477974672</v>
      </c>
      <c r="B103" s="175">
        <v>46335.935477974672</v>
      </c>
    </row>
    <row r="104" spans="1:2" x14ac:dyDescent="0.3">
      <c r="A104" s="173">
        <v>46365.466072106618</v>
      </c>
      <c r="B104" s="175">
        <v>46365.466072106618</v>
      </c>
    </row>
    <row r="105" spans="1:2" x14ac:dyDescent="0.3">
      <c r="A105" s="173">
        <v>46394.996666238563</v>
      </c>
      <c r="B105" s="175">
        <v>46394.996666238563</v>
      </c>
    </row>
    <row r="106" spans="1:2" x14ac:dyDescent="0.3">
      <c r="A106" s="173">
        <v>46424.527260370509</v>
      </c>
      <c r="B106" s="175">
        <v>46424.527260370509</v>
      </c>
    </row>
    <row r="107" spans="1:2" x14ac:dyDescent="0.3">
      <c r="A107" s="173">
        <v>46454.057854502455</v>
      </c>
      <c r="B107" s="175">
        <v>46454.057854502455</v>
      </c>
    </row>
    <row r="108" spans="1:2" x14ac:dyDescent="0.3">
      <c r="A108" s="173">
        <v>46483.5884486344</v>
      </c>
      <c r="B108" s="175">
        <v>46483.5884486344</v>
      </c>
    </row>
    <row r="109" spans="1:2" x14ac:dyDescent="0.3">
      <c r="A109" s="173">
        <v>46513.119042766346</v>
      </c>
      <c r="B109" s="175">
        <v>46513.119042766346</v>
      </c>
    </row>
    <row r="110" spans="1:2" x14ac:dyDescent="0.3">
      <c r="A110" s="173">
        <v>46542.649636898292</v>
      </c>
      <c r="B110" s="175">
        <v>46542.649636898292</v>
      </c>
    </row>
    <row r="111" spans="1:2" x14ac:dyDescent="0.3">
      <c r="A111" s="173">
        <v>46572.180231030237</v>
      </c>
      <c r="B111" s="175">
        <v>46572.180231030237</v>
      </c>
    </row>
    <row r="112" spans="1:2" x14ac:dyDescent="0.3">
      <c r="A112" s="173">
        <v>46601.710825162183</v>
      </c>
      <c r="B112" s="175">
        <v>46601.710825162183</v>
      </c>
    </row>
    <row r="113" spans="1:2" x14ac:dyDescent="0.3">
      <c r="A113" s="173">
        <v>46631.241419294129</v>
      </c>
      <c r="B113" s="175">
        <v>46631.241419294129</v>
      </c>
    </row>
    <row r="114" spans="1:2" x14ac:dyDescent="0.3">
      <c r="A114" s="173">
        <v>46660.772013426074</v>
      </c>
      <c r="B114" s="175">
        <v>46660.772013426074</v>
      </c>
    </row>
    <row r="115" spans="1:2" x14ac:dyDescent="0.3">
      <c r="A115" s="173">
        <v>46690.30260755802</v>
      </c>
      <c r="B115" s="175">
        <v>46690.30260755802</v>
      </c>
    </row>
    <row r="116" spans="1:2" x14ac:dyDescent="0.3">
      <c r="A116" s="173">
        <v>46719.833201689966</v>
      </c>
      <c r="B116" s="175">
        <v>46719.833201689966</v>
      </c>
    </row>
    <row r="117" spans="1:2" x14ac:dyDescent="0.3">
      <c r="A117" s="173">
        <v>46749.363795821911</v>
      </c>
      <c r="B117" s="175">
        <v>46749.363795821911</v>
      </c>
    </row>
    <row r="118" spans="1:2" x14ac:dyDescent="0.3">
      <c r="A118" s="173">
        <v>46778.894389953857</v>
      </c>
      <c r="B118" s="175">
        <v>46778.894389953857</v>
      </c>
    </row>
    <row r="119" spans="1:2" x14ac:dyDescent="0.3">
      <c r="A119" s="173">
        <v>46808.424984085803</v>
      </c>
      <c r="B119" s="175">
        <v>46808.424984085803</v>
      </c>
    </row>
    <row r="120" spans="1:2" x14ac:dyDescent="0.3">
      <c r="A120" s="173">
        <v>46837.955578217749</v>
      </c>
      <c r="B120" s="175">
        <v>46837.955578217749</v>
      </c>
    </row>
    <row r="121" spans="1:2" x14ac:dyDescent="0.3">
      <c r="A121" s="173">
        <v>46867.486172349694</v>
      </c>
      <c r="B121" s="175">
        <v>46867.486172349694</v>
      </c>
    </row>
    <row r="122" spans="1:2" x14ac:dyDescent="0.3">
      <c r="A122" s="173">
        <v>46897.01676648164</v>
      </c>
      <c r="B122" s="175">
        <v>46897.01676648164</v>
      </c>
    </row>
    <row r="123" spans="1:2" x14ac:dyDescent="0.3">
      <c r="A123" s="173">
        <v>46926.547360613586</v>
      </c>
      <c r="B123" s="175">
        <v>46926.547360613586</v>
      </c>
    </row>
    <row r="124" spans="1:2" x14ac:dyDescent="0.3">
      <c r="A124" s="173">
        <v>46956.077954745531</v>
      </c>
      <c r="B124" s="175">
        <v>46956.077954745531</v>
      </c>
    </row>
    <row r="125" spans="1:2" x14ac:dyDescent="0.3">
      <c r="A125" s="173">
        <v>46985.608548877477</v>
      </c>
      <c r="B125" s="175">
        <v>46985.608548877477</v>
      </c>
    </row>
    <row r="126" spans="1:2" x14ac:dyDescent="0.3">
      <c r="A126" s="173">
        <v>47015.139143009423</v>
      </c>
      <c r="B126" s="175">
        <v>47015.139143009423</v>
      </c>
    </row>
    <row r="127" spans="1:2" x14ac:dyDescent="0.3">
      <c r="A127" s="173">
        <v>47044.669737141368</v>
      </c>
      <c r="B127" s="175">
        <v>47044.669737141368</v>
      </c>
    </row>
    <row r="128" spans="1:2" x14ac:dyDescent="0.3">
      <c r="A128" s="173">
        <v>47074.200331273314</v>
      </c>
      <c r="B128" s="175">
        <v>47074.200331273314</v>
      </c>
    </row>
    <row r="129" spans="1:2" x14ac:dyDescent="0.3">
      <c r="A129" s="173">
        <v>47103.73092540526</v>
      </c>
      <c r="B129" s="175">
        <v>47103.73092540526</v>
      </c>
    </row>
    <row r="130" spans="1:2" x14ac:dyDescent="0.3">
      <c r="A130" s="173">
        <v>47133.261519537205</v>
      </c>
      <c r="B130" s="175">
        <v>47133.261519537205</v>
      </c>
    </row>
    <row r="131" spans="1:2" x14ac:dyDescent="0.3">
      <c r="A131" s="173">
        <v>47162.792113669151</v>
      </c>
      <c r="B131" s="175">
        <v>47162.792113669151</v>
      </c>
    </row>
    <row r="132" spans="1:2" x14ac:dyDescent="0.3">
      <c r="A132" s="173">
        <v>47192.322707801097</v>
      </c>
      <c r="B132" s="175">
        <v>47192.322707801097</v>
      </c>
    </row>
    <row r="133" spans="1:2" x14ac:dyDescent="0.3">
      <c r="A133" s="173">
        <v>47221.853301933043</v>
      </c>
      <c r="B133" s="175">
        <v>47221.853301933043</v>
      </c>
    </row>
    <row r="134" spans="1:2" x14ac:dyDescent="0.3">
      <c r="A134" s="173">
        <v>47251.383896064988</v>
      </c>
      <c r="B134" s="175">
        <v>47251.383896064988</v>
      </c>
    </row>
    <row r="135" spans="1:2" x14ac:dyDescent="0.3">
      <c r="A135" s="173">
        <v>47280.914490196934</v>
      </c>
      <c r="B135" s="175">
        <v>47280.914490196934</v>
      </c>
    </row>
    <row r="136" spans="1:2" x14ac:dyDescent="0.3">
      <c r="A136" s="173">
        <v>47310.44508432888</v>
      </c>
      <c r="B136" s="175">
        <v>47310.44508432888</v>
      </c>
    </row>
    <row r="137" spans="1:2" x14ac:dyDescent="0.3">
      <c r="A137" s="173">
        <v>47339.975678460825</v>
      </c>
      <c r="B137" s="175">
        <v>47339.975678460825</v>
      </c>
    </row>
    <row r="138" spans="1:2" x14ac:dyDescent="0.3">
      <c r="A138" s="173">
        <v>47369.506272592771</v>
      </c>
      <c r="B138" s="175">
        <v>47369.506272592771</v>
      </c>
    </row>
    <row r="139" spans="1:2" x14ac:dyDescent="0.3">
      <c r="A139" s="173">
        <v>47399.036866724717</v>
      </c>
      <c r="B139" s="175">
        <v>47399.036866724717</v>
      </c>
    </row>
    <row r="140" spans="1:2" x14ac:dyDescent="0.3">
      <c r="A140" s="173">
        <v>47428.567460856662</v>
      </c>
      <c r="B140" s="175">
        <v>47428.567460856662</v>
      </c>
    </row>
    <row r="141" spans="1:2" x14ac:dyDescent="0.3">
      <c r="A141" s="173">
        <v>47458.098054988608</v>
      </c>
      <c r="B141" s="175">
        <v>47458.098054988608</v>
      </c>
    </row>
    <row r="142" spans="1:2" x14ac:dyDescent="0.3">
      <c r="A142" s="173">
        <v>47487.628649120554</v>
      </c>
      <c r="B142" s="175">
        <v>47487.628649120554</v>
      </c>
    </row>
    <row r="143" spans="1:2" x14ac:dyDescent="0.3">
      <c r="A143" s="173">
        <v>47517.159243252499</v>
      </c>
      <c r="B143" s="175">
        <v>47517.159243252499</v>
      </c>
    </row>
    <row r="144" spans="1:2" x14ac:dyDescent="0.3">
      <c r="A144" s="173">
        <v>47546.689837384445</v>
      </c>
      <c r="B144" s="175">
        <v>47546.689837384445</v>
      </c>
    </row>
    <row r="145" spans="1:2" x14ac:dyDescent="0.3">
      <c r="A145" s="173">
        <v>47576.220431516391</v>
      </c>
      <c r="B145" s="175">
        <v>47576.220431516391</v>
      </c>
    </row>
    <row r="146" spans="1:2" x14ac:dyDescent="0.3">
      <c r="A146" s="173">
        <v>47605.751025648337</v>
      </c>
      <c r="B146" s="175">
        <v>47605.751025648337</v>
      </c>
    </row>
    <row r="147" spans="1:2" x14ac:dyDescent="0.3">
      <c r="A147" s="173">
        <v>47635.281619780282</v>
      </c>
      <c r="B147" s="175">
        <v>47635.281619780282</v>
      </c>
    </row>
    <row r="148" spans="1:2" x14ac:dyDescent="0.3">
      <c r="A148" s="173">
        <v>47664.812213912228</v>
      </c>
      <c r="B148" s="175">
        <v>47664.812213912228</v>
      </c>
    </row>
    <row r="149" spans="1:2" x14ac:dyDescent="0.3">
      <c r="A149" s="173">
        <v>47694.342808044174</v>
      </c>
      <c r="B149" s="175">
        <v>47694.342808044174</v>
      </c>
    </row>
    <row r="150" spans="1:2" x14ac:dyDescent="0.3">
      <c r="A150" s="173">
        <v>47723.873402176119</v>
      </c>
      <c r="B150" s="175">
        <v>47723.873402176119</v>
      </c>
    </row>
    <row r="151" spans="1:2" x14ac:dyDescent="0.3">
      <c r="A151" s="173">
        <v>47753.403996308065</v>
      </c>
      <c r="B151" s="175">
        <v>47753.403996308065</v>
      </c>
    </row>
    <row r="152" spans="1:2" x14ac:dyDescent="0.3">
      <c r="A152" s="173">
        <v>47782.934590440011</v>
      </c>
      <c r="B152" s="175">
        <v>47782.934590440011</v>
      </c>
    </row>
    <row r="153" spans="1:2" x14ac:dyDescent="0.3">
      <c r="A153" s="173">
        <v>47812.465184571956</v>
      </c>
      <c r="B153" s="175">
        <v>47812.465184571956</v>
      </c>
    </row>
    <row r="154" spans="1:2" x14ac:dyDescent="0.3">
      <c r="A154" s="173">
        <v>47841.995778703902</v>
      </c>
      <c r="B154" s="175">
        <v>47841.995778703902</v>
      </c>
    </row>
    <row r="155" spans="1:2" x14ac:dyDescent="0.3">
      <c r="A155" s="173">
        <v>47871.526372835848</v>
      </c>
      <c r="B155" s="175">
        <v>47871.526372835848</v>
      </c>
    </row>
    <row r="156" spans="1:2" x14ac:dyDescent="0.3">
      <c r="A156" s="173">
        <v>47901.056966967793</v>
      </c>
      <c r="B156" s="175">
        <v>47901.056966967793</v>
      </c>
    </row>
    <row r="157" spans="1:2" x14ac:dyDescent="0.3">
      <c r="A157" s="173">
        <v>47930.587561099739</v>
      </c>
      <c r="B157" s="175">
        <v>47930.587561099739</v>
      </c>
    </row>
    <row r="158" spans="1:2" x14ac:dyDescent="0.3">
      <c r="A158" s="173">
        <v>47960.118155231685</v>
      </c>
      <c r="B158" s="175">
        <v>47960.118155231685</v>
      </c>
    </row>
    <row r="159" spans="1:2" x14ac:dyDescent="0.3">
      <c r="A159" s="173">
        <v>47989.64874936363</v>
      </c>
      <c r="B159" s="175">
        <v>47989.64874936363</v>
      </c>
    </row>
    <row r="160" spans="1:2" x14ac:dyDescent="0.3">
      <c r="A160" s="173">
        <v>48019.179343495576</v>
      </c>
      <c r="B160" s="175">
        <v>48019.179343495576</v>
      </c>
    </row>
    <row r="161" spans="1:2" x14ac:dyDescent="0.3">
      <c r="A161" s="173">
        <v>48048.709937627522</v>
      </c>
      <c r="B161" s="175">
        <v>48048.709937627522</v>
      </c>
    </row>
    <row r="162" spans="1:2" x14ac:dyDescent="0.3">
      <c r="A162" s="173">
        <v>48078.240531759468</v>
      </c>
      <c r="B162" s="175">
        <v>48078.240531759468</v>
      </c>
    </row>
    <row r="163" spans="1:2" x14ac:dyDescent="0.3">
      <c r="A163" s="173">
        <v>48107.771125891413</v>
      </c>
      <c r="B163" s="175">
        <v>48107.771125891413</v>
      </c>
    </row>
    <row r="164" spans="1:2" x14ac:dyDescent="0.3">
      <c r="A164" s="173">
        <v>48137.301720023359</v>
      </c>
      <c r="B164" s="175">
        <v>48137.301720023359</v>
      </c>
    </row>
    <row r="165" spans="1:2" x14ac:dyDescent="0.3">
      <c r="A165" s="173">
        <v>48166.832314155305</v>
      </c>
      <c r="B165" s="175">
        <v>48166.832314155305</v>
      </c>
    </row>
    <row r="166" spans="1:2" x14ac:dyDescent="0.3">
      <c r="A166" s="173">
        <v>48196.36290828725</v>
      </c>
      <c r="B166" s="175">
        <v>48196.36290828725</v>
      </c>
    </row>
    <row r="167" spans="1:2" x14ac:dyDescent="0.3">
      <c r="A167" s="173">
        <v>48225.893502419196</v>
      </c>
      <c r="B167" s="175">
        <v>48225.893502419196</v>
      </c>
    </row>
    <row r="168" spans="1:2" x14ac:dyDescent="0.3">
      <c r="A168" s="173">
        <v>48255.424096551142</v>
      </c>
      <c r="B168" s="175">
        <v>48255.424096551142</v>
      </c>
    </row>
    <row r="169" spans="1:2" x14ac:dyDescent="0.3">
      <c r="A169" s="173">
        <v>48284.954690683087</v>
      </c>
      <c r="B169" s="175">
        <v>48284.954690683087</v>
      </c>
    </row>
    <row r="170" spans="1:2" x14ac:dyDescent="0.3">
      <c r="A170" s="173">
        <v>48314.485284815033</v>
      </c>
      <c r="B170" s="175">
        <v>48314.485284815033</v>
      </c>
    </row>
    <row r="171" spans="1:2" x14ac:dyDescent="0.3">
      <c r="A171" s="173">
        <v>48344.015878946979</v>
      </c>
      <c r="B171" s="175">
        <v>48344.015878946979</v>
      </c>
    </row>
    <row r="172" spans="1:2" x14ac:dyDescent="0.3">
      <c r="A172" s="173">
        <v>48373.546473078924</v>
      </c>
      <c r="B172" s="175">
        <v>48373.546473078924</v>
      </c>
    </row>
    <row r="173" spans="1:2" x14ac:dyDescent="0.3">
      <c r="A173" s="173">
        <v>48403.07706721087</v>
      </c>
      <c r="B173" s="175">
        <v>48403.07706721087</v>
      </c>
    </row>
    <row r="174" spans="1:2" x14ac:dyDescent="0.3">
      <c r="A174" s="173">
        <v>48432.607661342816</v>
      </c>
      <c r="B174" s="175">
        <v>48432.607661342816</v>
      </c>
    </row>
    <row r="175" spans="1:2" x14ac:dyDescent="0.3">
      <c r="A175" s="173">
        <v>48462.138255474762</v>
      </c>
      <c r="B175" s="175">
        <v>48462.138255474762</v>
      </c>
    </row>
    <row r="176" spans="1:2" x14ac:dyDescent="0.3">
      <c r="A176" s="173">
        <v>48491.668849606707</v>
      </c>
      <c r="B176" s="175">
        <v>48491.668849606707</v>
      </c>
    </row>
    <row r="177" spans="1:2" x14ac:dyDescent="0.3">
      <c r="A177" s="173">
        <v>48521.199443738653</v>
      </c>
      <c r="B177" s="175">
        <v>48521.199443738653</v>
      </c>
    </row>
    <row r="178" spans="1:2" x14ac:dyDescent="0.3">
      <c r="A178" s="173">
        <v>48550.730037870599</v>
      </c>
      <c r="B178" s="175">
        <v>48550.730037870599</v>
      </c>
    </row>
    <row r="179" spans="1:2" x14ac:dyDescent="0.3">
      <c r="A179" s="173">
        <v>48580.260632002544</v>
      </c>
      <c r="B179" s="175">
        <v>48580.260632002544</v>
      </c>
    </row>
    <row r="180" spans="1:2" x14ac:dyDescent="0.3">
      <c r="A180" s="173">
        <v>48609.79122613449</v>
      </c>
      <c r="B180" s="175">
        <v>48609.79122613449</v>
      </c>
    </row>
    <row r="181" spans="1:2" x14ac:dyDescent="0.3">
      <c r="A181" s="173">
        <v>48639.321820266436</v>
      </c>
      <c r="B181" s="175">
        <v>48639.321820266436</v>
      </c>
    </row>
    <row r="182" spans="1:2" x14ac:dyDescent="0.3">
      <c r="A182" s="173">
        <v>48668.852414398381</v>
      </c>
      <c r="B182" s="175">
        <v>48668.852414398381</v>
      </c>
    </row>
    <row r="183" spans="1:2" x14ac:dyDescent="0.3">
      <c r="A183" s="173">
        <v>48698.383008530327</v>
      </c>
      <c r="B183" s="175">
        <v>48698.383008530327</v>
      </c>
    </row>
    <row r="184" spans="1:2" x14ac:dyDescent="0.3">
      <c r="A184" s="173">
        <v>48727.913602662273</v>
      </c>
      <c r="B184" s="175">
        <v>48727.913602662273</v>
      </c>
    </row>
    <row r="185" spans="1:2" x14ac:dyDescent="0.3">
      <c r="A185" s="173">
        <v>48757.444196794218</v>
      </c>
      <c r="B185" s="175">
        <v>48757.444196794218</v>
      </c>
    </row>
    <row r="186" spans="1:2" x14ac:dyDescent="0.3">
      <c r="A186" s="173">
        <v>48786.974790926164</v>
      </c>
      <c r="B186" s="175">
        <v>48786.974790926164</v>
      </c>
    </row>
    <row r="187" spans="1:2" x14ac:dyDescent="0.3">
      <c r="A187" s="173">
        <v>48816.50538505811</v>
      </c>
      <c r="B187" s="175">
        <v>48816.50538505811</v>
      </c>
    </row>
    <row r="188" spans="1:2" x14ac:dyDescent="0.3">
      <c r="A188" s="173">
        <v>48846.035979190056</v>
      </c>
      <c r="B188" s="175">
        <v>48846.035979190056</v>
      </c>
    </row>
    <row r="189" spans="1:2" x14ac:dyDescent="0.3">
      <c r="A189" s="173">
        <v>48875.566573322001</v>
      </c>
      <c r="B189" s="175">
        <v>48875.566573322001</v>
      </c>
    </row>
    <row r="190" spans="1:2" x14ac:dyDescent="0.3">
      <c r="A190" s="173">
        <v>48905.097167453947</v>
      </c>
      <c r="B190" s="175">
        <v>48905.097167453947</v>
      </c>
    </row>
    <row r="191" spans="1:2" x14ac:dyDescent="0.3">
      <c r="A191" s="173">
        <v>48934.627761585893</v>
      </c>
      <c r="B191" s="175">
        <v>48934.627761585893</v>
      </c>
    </row>
    <row r="192" spans="1:2" x14ac:dyDescent="0.3">
      <c r="A192" s="173">
        <v>48964.158355717838</v>
      </c>
      <c r="B192" s="175">
        <v>48964.158355717838</v>
      </c>
    </row>
    <row r="193" spans="1:2" x14ac:dyDescent="0.3">
      <c r="A193" s="173">
        <v>48993.688949849784</v>
      </c>
      <c r="B193" s="175">
        <v>48993.688949849784</v>
      </c>
    </row>
    <row r="194" spans="1:2" x14ac:dyDescent="0.3">
      <c r="A194" s="173">
        <v>49023.21954398173</v>
      </c>
      <c r="B194" s="175">
        <v>49023.21954398173</v>
      </c>
    </row>
    <row r="195" spans="1:2" x14ac:dyDescent="0.3">
      <c r="A195" s="173">
        <v>49052.750138113675</v>
      </c>
      <c r="B195" s="175">
        <v>49052.750138113675</v>
      </c>
    </row>
    <row r="196" spans="1:2" x14ac:dyDescent="0.3">
      <c r="A196" s="173">
        <v>49082.280732245621</v>
      </c>
      <c r="B196" s="175">
        <v>49082.280732245621</v>
      </c>
    </row>
    <row r="197" spans="1:2" x14ac:dyDescent="0.3">
      <c r="A197" s="173">
        <v>49111.811326377567</v>
      </c>
      <c r="B197" s="175">
        <v>49111.811326377567</v>
      </c>
    </row>
    <row r="198" spans="1:2" x14ac:dyDescent="0.3">
      <c r="A198" s="173">
        <v>49141.341920509512</v>
      </c>
      <c r="B198" s="175">
        <v>49141.341920509512</v>
      </c>
    </row>
    <row r="199" spans="1:2" x14ac:dyDescent="0.3">
      <c r="A199" s="173">
        <v>49170.872514641458</v>
      </c>
      <c r="B199" s="175">
        <v>49170.872514641458</v>
      </c>
    </row>
    <row r="200" spans="1:2" x14ac:dyDescent="0.3">
      <c r="A200" s="173">
        <v>49200.403108773404</v>
      </c>
      <c r="B200" s="175">
        <v>49200.403108773404</v>
      </c>
    </row>
    <row r="201" spans="1:2" x14ac:dyDescent="0.3">
      <c r="A201" s="173">
        <v>49229.933702905349</v>
      </c>
      <c r="B201" s="175">
        <v>49229.933702905349</v>
      </c>
    </row>
    <row r="202" spans="1:2" x14ac:dyDescent="0.3">
      <c r="A202" s="173">
        <v>49259.464297037295</v>
      </c>
      <c r="B202" s="175">
        <v>49259.464297037295</v>
      </c>
    </row>
    <row r="203" spans="1:2" x14ac:dyDescent="0.3">
      <c r="A203" s="173">
        <v>49288.994891169241</v>
      </c>
      <c r="B203" s="175">
        <v>49288.994891169241</v>
      </c>
    </row>
    <row r="204" spans="1:2" x14ac:dyDescent="0.3">
      <c r="A204" s="173">
        <v>49318.525485301187</v>
      </c>
      <c r="B204" s="175">
        <v>49318.525485301187</v>
      </c>
    </row>
    <row r="205" spans="1:2" x14ac:dyDescent="0.3">
      <c r="A205" s="173">
        <v>49348.056079433132</v>
      </c>
      <c r="B205" s="175">
        <v>49348.056079433132</v>
      </c>
    </row>
    <row r="206" spans="1:2" x14ac:dyDescent="0.3">
      <c r="A206" s="173">
        <v>49377.586673565078</v>
      </c>
      <c r="B206" s="175">
        <v>49377.586673565078</v>
      </c>
    </row>
    <row r="207" spans="1:2" x14ac:dyDescent="0.3">
      <c r="A207" s="173">
        <v>49407.117267697024</v>
      </c>
      <c r="B207" s="175">
        <v>49407.117267697024</v>
      </c>
    </row>
    <row r="208" spans="1:2" x14ac:dyDescent="0.3">
      <c r="A208" s="173">
        <v>49436.647861828969</v>
      </c>
      <c r="B208" s="175">
        <v>49436.647861828969</v>
      </c>
    </row>
    <row r="209" spans="1:2" x14ac:dyDescent="0.3">
      <c r="A209" s="173">
        <v>49466.178455960915</v>
      </c>
      <c r="B209" s="175">
        <v>49466.178455960915</v>
      </c>
    </row>
    <row r="210" spans="1:2" x14ac:dyDescent="0.3">
      <c r="A210" s="173">
        <v>49495.709050092861</v>
      </c>
      <c r="B210" s="175">
        <v>49495.709050092861</v>
      </c>
    </row>
    <row r="211" spans="1:2" x14ac:dyDescent="0.3">
      <c r="A211" s="173">
        <v>49525.239644224806</v>
      </c>
      <c r="B211" s="175">
        <v>49525.239644224806</v>
      </c>
    </row>
    <row r="212" spans="1:2" x14ac:dyDescent="0.3">
      <c r="A212" s="173">
        <v>49554.770238356752</v>
      </c>
      <c r="B212" s="175">
        <v>49554.770238356752</v>
      </c>
    </row>
    <row r="213" spans="1:2" x14ac:dyDescent="0.3">
      <c r="A213" s="173">
        <v>49584.300832488698</v>
      </c>
      <c r="B213" s="175">
        <v>49584.300832488698</v>
      </c>
    </row>
    <row r="214" spans="1:2" x14ac:dyDescent="0.3">
      <c r="A214" s="173">
        <v>49613.831426620643</v>
      </c>
      <c r="B214" s="175">
        <v>49613.831426620643</v>
      </c>
    </row>
    <row r="215" spans="1:2" x14ac:dyDescent="0.3">
      <c r="A215" s="173">
        <v>49643.362020752589</v>
      </c>
      <c r="B215" s="175">
        <v>49643.362020752589</v>
      </c>
    </row>
    <row r="216" spans="1:2" x14ac:dyDescent="0.3">
      <c r="A216" s="173">
        <v>49672.892614884535</v>
      </c>
      <c r="B216" s="175">
        <v>49672.892614884535</v>
      </c>
    </row>
    <row r="217" spans="1:2" x14ac:dyDescent="0.3">
      <c r="A217" s="173">
        <v>49702.423209016481</v>
      </c>
      <c r="B217" s="175">
        <v>49702.423209016481</v>
      </c>
    </row>
    <row r="218" spans="1:2" x14ac:dyDescent="0.3">
      <c r="A218" s="173">
        <v>49731.953803148426</v>
      </c>
      <c r="B218" s="175">
        <v>49731.953803148426</v>
      </c>
    </row>
    <row r="219" spans="1:2" x14ac:dyDescent="0.3">
      <c r="A219" s="173">
        <v>49761.484397280372</v>
      </c>
      <c r="B219" s="175">
        <v>49761.484397280372</v>
      </c>
    </row>
    <row r="220" spans="1:2" x14ac:dyDescent="0.3">
      <c r="A220" s="173">
        <v>49791.014991412318</v>
      </c>
      <c r="B220" s="175">
        <v>49791.014991412318</v>
      </c>
    </row>
    <row r="221" spans="1:2" x14ac:dyDescent="0.3">
      <c r="A221" s="173">
        <v>49820.545585544263</v>
      </c>
      <c r="B221" s="175">
        <v>49820.545585544263</v>
      </c>
    </row>
    <row r="222" spans="1:2" x14ac:dyDescent="0.3">
      <c r="A222" s="173">
        <v>49850.076179676209</v>
      </c>
      <c r="B222" s="175">
        <v>49850.076179676209</v>
      </c>
    </row>
    <row r="223" spans="1:2" x14ac:dyDescent="0.3">
      <c r="A223" s="173">
        <v>49879.606773808155</v>
      </c>
      <c r="B223" s="175">
        <v>49879.606773808155</v>
      </c>
    </row>
    <row r="224" spans="1:2" x14ac:dyDescent="0.3">
      <c r="A224" s="173">
        <v>49909.1373679401</v>
      </c>
      <c r="B224" s="175">
        <v>49909.1373679401</v>
      </c>
    </row>
    <row r="225" spans="1:2" x14ac:dyDescent="0.3">
      <c r="A225" s="173">
        <v>49938.667962072046</v>
      </c>
      <c r="B225" s="175">
        <v>49938.667962072046</v>
      </c>
    </row>
    <row r="226" spans="1:2" x14ac:dyDescent="0.3">
      <c r="A226" s="173">
        <v>49968.198556203992</v>
      </c>
      <c r="B226" s="175">
        <v>49968.198556203992</v>
      </c>
    </row>
    <row r="227" spans="1:2" x14ac:dyDescent="0.3">
      <c r="A227" s="173">
        <v>49997.729150335937</v>
      </c>
      <c r="B227" s="175">
        <v>49997.729150335937</v>
      </c>
    </row>
    <row r="228" spans="1:2" x14ac:dyDescent="0.3">
      <c r="A228" s="173">
        <v>50027.259744467883</v>
      </c>
      <c r="B228" s="175">
        <v>50027.259744467883</v>
      </c>
    </row>
    <row r="229" spans="1:2" x14ac:dyDescent="0.3">
      <c r="A229" s="173">
        <v>50056.790338599829</v>
      </c>
      <c r="B229" s="175">
        <v>50056.790338599829</v>
      </c>
    </row>
    <row r="230" spans="1:2" x14ac:dyDescent="0.3">
      <c r="A230" s="173">
        <v>50086.320932731775</v>
      </c>
      <c r="B230" s="175">
        <v>50086.320932731775</v>
      </c>
    </row>
    <row r="231" spans="1:2" x14ac:dyDescent="0.3">
      <c r="A231" s="173">
        <v>50115.85152686372</v>
      </c>
      <c r="B231" s="175">
        <v>50115.85152686372</v>
      </c>
    </row>
    <row r="232" spans="1:2" x14ac:dyDescent="0.3">
      <c r="A232" s="173">
        <v>50145.382120995666</v>
      </c>
      <c r="B232" s="175">
        <v>50145.382120995666</v>
      </c>
    </row>
    <row r="233" spans="1:2" x14ac:dyDescent="0.3">
      <c r="A233" s="173">
        <v>50174.912715127612</v>
      </c>
      <c r="B233" s="175">
        <v>50174.912715127612</v>
      </c>
    </row>
    <row r="234" spans="1:2" x14ac:dyDescent="0.3">
      <c r="A234" s="173">
        <v>50204.443309259557</v>
      </c>
      <c r="B234" s="175">
        <v>50204.443309259557</v>
      </c>
    </row>
    <row r="235" spans="1:2" x14ac:dyDescent="0.3">
      <c r="A235" s="173">
        <v>50233.973903391503</v>
      </c>
      <c r="B235" s="175">
        <v>50233.973903391503</v>
      </c>
    </row>
    <row r="236" spans="1:2" x14ac:dyDescent="0.3">
      <c r="A236" s="173">
        <v>50263.504497523449</v>
      </c>
      <c r="B236" s="175">
        <v>50263.504497523449</v>
      </c>
    </row>
    <row r="237" spans="1:2" x14ac:dyDescent="0.3">
      <c r="A237" s="173">
        <v>50293.035091655394</v>
      </c>
      <c r="B237" s="175">
        <v>50293.035091655394</v>
      </c>
    </row>
    <row r="238" spans="1:2" x14ac:dyDescent="0.3">
      <c r="A238" s="173">
        <v>50322.56568578734</v>
      </c>
      <c r="B238" s="175">
        <v>50322.56568578734</v>
      </c>
    </row>
    <row r="239" spans="1:2" x14ac:dyDescent="0.3">
      <c r="A239" s="173">
        <v>50352.096279919286</v>
      </c>
      <c r="B239" s="175">
        <v>50352.096279919286</v>
      </c>
    </row>
    <row r="240" spans="1:2" x14ac:dyDescent="0.3">
      <c r="A240" s="173">
        <v>50381.626874051231</v>
      </c>
      <c r="B240" s="175">
        <v>50381.626874051231</v>
      </c>
    </row>
    <row r="241" spans="1:2" x14ac:dyDescent="0.3">
      <c r="A241" s="173">
        <v>50411.157468183177</v>
      </c>
      <c r="B241" s="175">
        <v>50411.157468183177</v>
      </c>
    </row>
    <row r="242" spans="1:2" x14ac:dyDescent="0.3">
      <c r="A242" s="173">
        <v>50440.688062315123</v>
      </c>
      <c r="B242" s="175">
        <v>50440.688062315123</v>
      </c>
    </row>
    <row r="243" spans="1:2" x14ac:dyDescent="0.3">
      <c r="A243" s="173">
        <v>50470.218656447068</v>
      </c>
      <c r="B243" s="175">
        <v>50470.218656447068</v>
      </c>
    </row>
    <row r="244" spans="1:2" x14ac:dyDescent="0.3">
      <c r="A244" s="173">
        <v>50499.749250579014</v>
      </c>
      <c r="B244" s="175">
        <v>50499.749250579014</v>
      </c>
    </row>
    <row r="245" spans="1:2" x14ac:dyDescent="0.3">
      <c r="A245" s="173">
        <v>50529.27984471096</v>
      </c>
      <c r="B245" s="175">
        <v>50529.27984471096</v>
      </c>
    </row>
    <row r="246" spans="1:2" x14ac:dyDescent="0.3">
      <c r="A246" s="173">
        <v>50558.810438842906</v>
      </c>
      <c r="B246" s="175">
        <v>50558.810438842906</v>
      </c>
    </row>
    <row r="247" spans="1:2" x14ac:dyDescent="0.3">
      <c r="A247" s="173">
        <v>50588.341032974851</v>
      </c>
      <c r="B247" s="175">
        <v>50588.341032974851</v>
      </c>
    </row>
    <row r="248" spans="1:2" x14ac:dyDescent="0.3">
      <c r="A248" s="173">
        <v>50617.871627106797</v>
      </c>
      <c r="B248" s="175">
        <v>50617.871627106797</v>
      </c>
    </row>
    <row r="249" spans="1:2" x14ac:dyDescent="0.3">
      <c r="A249" s="173">
        <v>50647.402221238743</v>
      </c>
      <c r="B249" s="175">
        <v>50647.402221238743</v>
      </c>
    </row>
    <row r="250" spans="1:2" x14ac:dyDescent="0.3">
      <c r="A250" s="173">
        <v>50676.932815370688</v>
      </c>
      <c r="B250" s="175">
        <v>50676.932815370688</v>
      </c>
    </row>
    <row r="251" spans="1:2" x14ac:dyDescent="0.3">
      <c r="A251" s="173">
        <v>50706.463409502634</v>
      </c>
      <c r="B251" s="175">
        <v>50706.463409502634</v>
      </c>
    </row>
    <row r="252" spans="1:2" x14ac:dyDescent="0.3">
      <c r="A252" s="173">
        <v>50735.99400363458</v>
      </c>
      <c r="B252" s="175">
        <v>50735.99400363458</v>
      </c>
    </row>
    <row r="253" spans="1:2" x14ac:dyDescent="0.3">
      <c r="A253" s="173">
        <v>50765.524597766525</v>
      </c>
      <c r="B253" s="175">
        <v>50765.524597766525</v>
      </c>
    </row>
    <row r="254" spans="1:2" x14ac:dyDescent="0.3">
      <c r="A254" s="173">
        <v>50795.055191898471</v>
      </c>
      <c r="B254" s="175">
        <v>50795.055191898471</v>
      </c>
    </row>
    <row r="255" spans="1:2" x14ac:dyDescent="0.3">
      <c r="A255" s="173">
        <v>50824.585786030417</v>
      </c>
      <c r="B255" s="175">
        <v>50824.585786030417</v>
      </c>
    </row>
    <row r="256" spans="1:2" x14ac:dyDescent="0.3">
      <c r="A256" s="173">
        <v>50854.116380162362</v>
      </c>
      <c r="B256" s="175">
        <v>50854.116380162362</v>
      </c>
    </row>
    <row r="257" spans="1:2" x14ac:dyDescent="0.3">
      <c r="A257" s="173">
        <v>50883.646974294308</v>
      </c>
      <c r="B257" s="175">
        <v>50883.646974294308</v>
      </c>
    </row>
    <row r="258" spans="1:2" x14ac:dyDescent="0.3">
      <c r="A258" s="173">
        <v>50913.177568426254</v>
      </c>
      <c r="B258" s="175">
        <v>50913.177568426254</v>
      </c>
    </row>
    <row r="259" spans="1:2" x14ac:dyDescent="0.3">
      <c r="A259" s="173">
        <v>50942.7081625582</v>
      </c>
      <c r="B259" s="175">
        <v>50942.7081625582</v>
      </c>
    </row>
    <row r="260" spans="1:2" x14ac:dyDescent="0.3">
      <c r="A260" s="173">
        <v>50972.238756690145</v>
      </c>
      <c r="B260" s="175">
        <v>50972.238756690145</v>
      </c>
    </row>
    <row r="261" spans="1:2" x14ac:dyDescent="0.3">
      <c r="A261" s="173">
        <v>51001.769350822091</v>
      </c>
      <c r="B261" s="175">
        <v>51001.769350822091</v>
      </c>
    </row>
    <row r="262" spans="1:2" x14ac:dyDescent="0.3">
      <c r="A262" s="173">
        <v>51031.299944954037</v>
      </c>
      <c r="B262" s="175">
        <v>51031.299944954037</v>
      </c>
    </row>
    <row r="263" spans="1:2" x14ac:dyDescent="0.3">
      <c r="A263" s="173">
        <v>51060.830539085982</v>
      </c>
      <c r="B263" s="175">
        <v>51060.830539085982</v>
      </c>
    </row>
    <row r="264" spans="1:2" x14ac:dyDescent="0.3">
      <c r="A264" s="173">
        <v>51090.361133217928</v>
      </c>
      <c r="B264" s="175">
        <v>51090.361133217928</v>
      </c>
    </row>
    <row r="265" spans="1:2" x14ac:dyDescent="0.3">
      <c r="A265" s="173">
        <v>51119.891727349874</v>
      </c>
      <c r="B265" s="175">
        <v>51119.891727349874</v>
      </c>
    </row>
    <row r="266" spans="1:2" x14ac:dyDescent="0.3">
      <c r="A266" s="173">
        <v>51149.422321481819</v>
      </c>
      <c r="B266" s="175">
        <v>51149.422321481819</v>
      </c>
    </row>
    <row r="267" spans="1:2" x14ac:dyDescent="0.3">
      <c r="A267" s="173">
        <v>51178.952915613765</v>
      </c>
      <c r="B267" s="175">
        <v>51178.952915613765</v>
      </c>
    </row>
    <row r="268" spans="1:2" x14ac:dyDescent="0.3">
      <c r="A268" s="173">
        <v>51208.483509745711</v>
      </c>
      <c r="B268" s="175">
        <v>51208.483509745711</v>
      </c>
    </row>
    <row r="269" spans="1:2" x14ac:dyDescent="0.3">
      <c r="A269" s="173">
        <v>51238.014103877656</v>
      </c>
      <c r="B269" s="175">
        <v>51238.014103877656</v>
      </c>
    </row>
    <row r="270" spans="1:2" x14ac:dyDescent="0.3">
      <c r="A270" s="173">
        <v>51267.544698009602</v>
      </c>
      <c r="B270" s="175">
        <v>51267.544698009602</v>
      </c>
    </row>
    <row r="271" spans="1:2" x14ac:dyDescent="0.3">
      <c r="A271" s="173">
        <v>51297.075292141548</v>
      </c>
      <c r="B271" s="175">
        <v>51297.075292141548</v>
      </c>
    </row>
    <row r="272" spans="1:2" x14ac:dyDescent="0.3">
      <c r="A272" s="173">
        <v>51326.605886273494</v>
      </c>
      <c r="B272" s="175">
        <v>51326.605886273494</v>
      </c>
    </row>
    <row r="273" spans="1:2" x14ac:dyDescent="0.3">
      <c r="A273" s="173">
        <v>51356.136480405439</v>
      </c>
      <c r="B273" s="175">
        <v>51356.136480405439</v>
      </c>
    </row>
    <row r="274" spans="1:2" x14ac:dyDescent="0.3">
      <c r="A274" s="173">
        <v>51385.667074537385</v>
      </c>
      <c r="B274" s="175">
        <v>51385.667074537385</v>
      </c>
    </row>
    <row r="275" spans="1:2" x14ac:dyDescent="0.3">
      <c r="A275" s="173">
        <v>51415.197668669331</v>
      </c>
      <c r="B275" s="175">
        <v>51415.197668669331</v>
      </c>
    </row>
    <row r="276" spans="1:2" x14ac:dyDescent="0.3">
      <c r="A276" s="173">
        <v>51444.728262801276</v>
      </c>
      <c r="B276" s="175">
        <v>51444.728262801276</v>
      </c>
    </row>
    <row r="277" spans="1:2" x14ac:dyDescent="0.3">
      <c r="A277" s="173">
        <v>51474.258856933222</v>
      </c>
      <c r="B277" s="175">
        <v>51474.258856933222</v>
      </c>
    </row>
    <row r="278" spans="1:2" x14ac:dyDescent="0.3">
      <c r="A278" s="173">
        <v>51503.789451065168</v>
      </c>
      <c r="B278" s="175">
        <v>51503.789451065168</v>
      </c>
    </row>
    <row r="279" spans="1:2" x14ac:dyDescent="0.3">
      <c r="A279" s="173">
        <v>51533.320045197113</v>
      </c>
      <c r="B279" s="175">
        <v>51533.320045197113</v>
      </c>
    </row>
    <row r="280" spans="1:2" x14ac:dyDescent="0.3">
      <c r="A280" s="173">
        <v>51562.850639329059</v>
      </c>
      <c r="B280" s="175">
        <v>51562.850639329059</v>
      </c>
    </row>
    <row r="281" spans="1:2" x14ac:dyDescent="0.3">
      <c r="A281" s="173">
        <v>51592.381233461005</v>
      </c>
      <c r="B281" s="175">
        <v>51592.381233461005</v>
      </c>
    </row>
    <row r="282" spans="1:2" x14ac:dyDescent="0.3">
      <c r="A282" s="173">
        <v>51621.91182759295</v>
      </c>
      <c r="B282" s="175">
        <v>51621.91182759295</v>
      </c>
    </row>
    <row r="283" spans="1:2" x14ac:dyDescent="0.3">
      <c r="A283" s="173">
        <v>51651.442421724896</v>
      </c>
      <c r="B283" s="175">
        <v>51651.442421724896</v>
      </c>
    </row>
    <row r="284" spans="1:2" x14ac:dyDescent="0.3">
      <c r="A284" s="173">
        <v>51680.973015856842</v>
      </c>
      <c r="B284" s="175">
        <v>51680.973015856842</v>
      </c>
    </row>
    <row r="285" spans="1:2" x14ac:dyDescent="0.3">
      <c r="A285" s="173">
        <v>51710.503609988788</v>
      </c>
      <c r="B285" s="175">
        <v>51710.503609988788</v>
      </c>
    </row>
    <row r="286" spans="1:2" x14ac:dyDescent="0.3">
      <c r="A286" s="173">
        <v>51740.034204120733</v>
      </c>
      <c r="B286" s="175">
        <v>51740.034204120733</v>
      </c>
    </row>
    <row r="287" spans="1:2" x14ac:dyDescent="0.3">
      <c r="A287" s="173">
        <v>51769.564798252679</v>
      </c>
      <c r="B287" s="175">
        <v>51769.564798252679</v>
      </c>
    </row>
    <row r="288" spans="1:2" x14ac:dyDescent="0.3">
      <c r="A288" s="173">
        <v>51799.095392384625</v>
      </c>
      <c r="B288" s="175">
        <v>51799.095392384625</v>
      </c>
    </row>
    <row r="289" spans="1:2" x14ac:dyDescent="0.3">
      <c r="A289" s="173">
        <v>51828.62598651657</v>
      </c>
      <c r="B289" s="175">
        <v>51828.62598651657</v>
      </c>
    </row>
    <row r="290" spans="1:2" x14ac:dyDescent="0.3">
      <c r="A290" s="173">
        <v>51858.156580648516</v>
      </c>
      <c r="B290" s="175">
        <v>51858.156580648516</v>
      </c>
    </row>
    <row r="291" spans="1:2" x14ac:dyDescent="0.3">
      <c r="A291" s="173">
        <v>51887.687174780462</v>
      </c>
      <c r="B291" s="175">
        <v>51887.687174780462</v>
      </c>
    </row>
    <row r="292" spans="1:2" x14ac:dyDescent="0.3">
      <c r="A292" s="173">
        <v>51917.217768912407</v>
      </c>
      <c r="B292" s="175">
        <v>51917.217768912407</v>
      </c>
    </row>
    <row r="293" spans="1:2" x14ac:dyDescent="0.3">
      <c r="A293" s="173">
        <v>51946.748363044353</v>
      </c>
      <c r="B293" s="175">
        <v>51946.748363044353</v>
      </c>
    </row>
    <row r="294" spans="1:2" x14ac:dyDescent="0.3">
      <c r="A294" s="173">
        <v>51976.278957176299</v>
      </c>
      <c r="B294" s="175">
        <v>51976.278957176299</v>
      </c>
    </row>
    <row r="295" spans="1:2" x14ac:dyDescent="0.3">
      <c r="A295" s="173">
        <v>52005.809551308244</v>
      </c>
      <c r="B295" s="175">
        <v>52005.809551308244</v>
      </c>
    </row>
    <row r="296" spans="1:2" x14ac:dyDescent="0.3">
      <c r="A296" s="173">
        <v>52035.34014544019</v>
      </c>
      <c r="B296" s="175">
        <v>52035.34014544019</v>
      </c>
    </row>
    <row r="297" spans="1:2" x14ac:dyDescent="0.3">
      <c r="A297" s="173">
        <v>52064.870739572136</v>
      </c>
      <c r="B297" s="175">
        <v>52064.870739572136</v>
      </c>
    </row>
    <row r="298" spans="1:2" x14ac:dyDescent="0.3">
      <c r="A298" s="173">
        <v>52094.401333704081</v>
      </c>
      <c r="B298" s="175">
        <v>52094.401333704081</v>
      </c>
    </row>
    <row r="299" spans="1:2" x14ac:dyDescent="0.3">
      <c r="A299" s="173">
        <v>52123.931927836027</v>
      </c>
      <c r="B299" s="175">
        <v>52123.931927836027</v>
      </c>
    </row>
    <row r="300" spans="1:2" x14ac:dyDescent="0.3">
      <c r="A300" s="173">
        <v>52153.462521967973</v>
      </c>
      <c r="B300" s="175">
        <v>52153.462521967973</v>
      </c>
    </row>
    <row r="301" spans="1:2" x14ac:dyDescent="0.3">
      <c r="A301" s="173">
        <v>52182.993116099919</v>
      </c>
      <c r="B301" s="175">
        <v>52182.993116099919</v>
      </c>
    </row>
    <row r="302" spans="1:2" x14ac:dyDescent="0.3">
      <c r="A302" s="173">
        <v>52212.523710231864</v>
      </c>
      <c r="B302" s="175">
        <v>52212.523710231864</v>
      </c>
    </row>
    <row r="303" spans="1:2" x14ac:dyDescent="0.3">
      <c r="A303" s="173">
        <v>52242.05430436381</v>
      </c>
      <c r="B303" s="175">
        <v>52242.05430436381</v>
      </c>
    </row>
    <row r="304" spans="1:2" x14ac:dyDescent="0.3">
      <c r="A304" s="173">
        <v>52271.584898495756</v>
      </c>
      <c r="B304" s="175">
        <v>52271.584898495756</v>
      </c>
    </row>
    <row r="305" spans="1:2" x14ac:dyDescent="0.3">
      <c r="A305" s="173">
        <v>52301.115492627701</v>
      </c>
      <c r="B305" s="175">
        <v>52301.115492627701</v>
      </c>
    </row>
    <row r="306" spans="1:2" x14ac:dyDescent="0.3">
      <c r="A306" s="173">
        <v>52330.646086759647</v>
      </c>
      <c r="B306" s="175">
        <v>52330.646086759647</v>
      </c>
    </row>
    <row r="307" spans="1:2" x14ac:dyDescent="0.3">
      <c r="A307" s="173">
        <v>52360.176680891593</v>
      </c>
      <c r="B307" s="175">
        <v>52360.176680891593</v>
      </c>
    </row>
    <row r="308" spans="1:2" x14ac:dyDescent="0.3">
      <c r="A308" s="173">
        <v>52389.707275023538</v>
      </c>
      <c r="B308" s="175">
        <v>52389.707275023538</v>
      </c>
    </row>
    <row r="309" spans="1:2" x14ac:dyDescent="0.3">
      <c r="A309" s="173">
        <v>52419.237869155484</v>
      </c>
      <c r="B309" s="175">
        <v>52419.237869155484</v>
      </c>
    </row>
    <row r="310" spans="1:2" x14ac:dyDescent="0.3">
      <c r="A310" s="173">
        <v>52448.76846328743</v>
      </c>
      <c r="B310" s="175">
        <v>52448.76846328743</v>
      </c>
    </row>
    <row r="311" spans="1:2" x14ac:dyDescent="0.3">
      <c r="A311" s="173">
        <v>52478.299057419375</v>
      </c>
      <c r="B311" s="175">
        <v>52478.299057419375</v>
      </c>
    </row>
    <row r="312" spans="1:2" x14ac:dyDescent="0.3">
      <c r="A312" s="173">
        <v>52507.829651551321</v>
      </c>
      <c r="B312" s="175">
        <v>52507.829651551321</v>
      </c>
    </row>
    <row r="313" spans="1:2" x14ac:dyDescent="0.3">
      <c r="A313" s="173">
        <v>52537.360245683267</v>
      </c>
      <c r="B313" s="175">
        <v>52537.360245683267</v>
      </c>
    </row>
    <row r="314" spans="1:2" x14ac:dyDescent="0.3">
      <c r="A314" s="173">
        <v>52566.890839815213</v>
      </c>
      <c r="B314" s="175">
        <v>52566.890839815213</v>
      </c>
    </row>
    <row r="315" spans="1:2" x14ac:dyDescent="0.3">
      <c r="A315" s="173">
        <v>52596.421433947158</v>
      </c>
      <c r="B315" s="175">
        <v>52596.421433947158</v>
      </c>
    </row>
    <row r="316" spans="1:2" x14ac:dyDescent="0.3">
      <c r="A316" s="173">
        <v>52625.952028079104</v>
      </c>
      <c r="B316" s="175">
        <v>52625.952028079104</v>
      </c>
    </row>
    <row r="317" spans="1:2" x14ac:dyDescent="0.3">
      <c r="A317" s="173">
        <v>52655.48262221105</v>
      </c>
      <c r="B317" s="175">
        <v>52655.48262221105</v>
      </c>
    </row>
    <row r="318" spans="1:2" x14ac:dyDescent="0.3">
      <c r="A318" s="173">
        <v>52685.013216342995</v>
      </c>
      <c r="B318" s="175">
        <v>52685.013216342995</v>
      </c>
    </row>
    <row r="319" spans="1:2" x14ac:dyDescent="0.3">
      <c r="A319" s="173">
        <v>52714.543810474941</v>
      </c>
      <c r="B319" s="175">
        <v>52714.543810474941</v>
      </c>
    </row>
    <row r="320" spans="1:2" x14ac:dyDescent="0.3">
      <c r="A320" s="173">
        <v>52744.074404606887</v>
      </c>
      <c r="B320" s="175">
        <v>52744.074404606887</v>
      </c>
    </row>
    <row r="321" spans="1:2" x14ac:dyDescent="0.3">
      <c r="A321" s="173">
        <v>52773.604998738832</v>
      </c>
      <c r="B321" s="175">
        <v>52773.604998738832</v>
      </c>
    </row>
    <row r="322" spans="1:2" x14ac:dyDescent="0.3">
      <c r="A322" s="173">
        <v>52803.135592870778</v>
      </c>
      <c r="B322" s="175">
        <v>52803.135592870778</v>
      </c>
    </row>
    <row r="323" spans="1:2" x14ac:dyDescent="0.3">
      <c r="A323" s="173">
        <v>52832.666187002724</v>
      </c>
      <c r="B323" s="175">
        <v>52832.666187002724</v>
      </c>
    </row>
    <row r="324" spans="1:2" x14ac:dyDescent="0.3">
      <c r="A324" s="173">
        <v>52862.196781134669</v>
      </c>
      <c r="B324" s="175">
        <v>52862.196781134669</v>
      </c>
    </row>
    <row r="325" spans="1:2" x14ac:dyDescent="0.3">
      <c r="A325" s="173">
        <v>52891.727375266615</v>
      </c>
      <c r="B325" s="175">
        <v>52891.727375266615</v>
      </c>
    </row>
    <row r="326" spans="1:2" x14ac:dyDescent="0.3">
      <c r="A326" s="173">
        <v>52921.257969398561</v>
      </c>
      <c r="B326" s="175">
        <v>52921.257969398561</v>
      </c>
    </row>
    <row r="327" spans="1:2" x14ac:dyDescent="0.3">
      <c r="A327" s="173">
        <v>52950.788563530507</v>
      </c>
      <c r="B327" s="175">
        <v>52950.788563530507</v>
      </c>
    </row>
    <row r="328" spans="1:2" x14ac:dyDescent="0.3">
      <c r="A328" s="173">
        <v>52980.319157662452</v>
      </c>
      <c r="B328" s="175">
        <v>52980.319157662452</v>
      </c>
    </row>
    <row r="329" spans="1:2" x14ac:dyDescent="0.3">
      <c r="A329" s="173">
        <v>53009.849751794398</v>
      </c>
      <c r="B329" s="175">
        <v>53009.849751794398</v>
      </c>
    </row>
    <row r="330" spans="1:2" x14ac:dyDescent="0.3">
      <c r="A330" s="173">
        <v>53039.380345926344</v>
      </c>
      <c r="B330" s="175">
        <v>53039.380345926344</v>
      </c>
    </row>
    <row r="331" spans="1:2" x14ac:dyDescent="0.3">
      <c r="A331" s="173">
        <v>53068.910940058289</v>
      </c>
      <c r="B331" s="175">
        <v>53068.910940058289</v>
      </c>
    </row>
    <row r="332" spans="1:2" x14ac:dyDescent="0.3">
      <c r="A332" s="173">
        <v>53098.441534190235</v>
      </c>
      <c r="B332" s="175">
        <v>53098.441534190235</v>
      </c>
    </row>
    <row r="333" spans="1:2" x14ac:dyDescent="0.3">
      <c r="A333" s="173">
        <v>53127.972128322181</v>
      </c>
      <c r="B333" s="175">
        <v>53127.972128322181</v>
      </c>
    </row>
    <row r="334" spans="1:2" x14ac:dyDescent="0.3">
      <c r="A334" s="173">
        <v>53157.502722454126</v>
      </c>
      <c r="B334" s="175">
        <v>53157.502722454126</v>
      </c>
    </row>
    <row r="335" spans="1:2" x14ac:dyDescent="0.3">
      <c r="A335" s="173">
        <v>53187.033316586072</v>
      </c>
      <c r="B335" s="175">
        <v>53187.033316586072</v>
      </c>
    </row>
    <row r="336" spans="1:2" x14ac:dyDescent="0.3">
      <c r="A336" s="173">
        <v>53216.563910718018</v>
      </c>
      <c r="B336" s="175">
        <v>53216.563910718018</v>
      </c>
    </row>
    <row r="337" spans="1:2" x14ac:dyDescent="0.3">
      <c r="A337" s="173">
        <v>53246.094504849963</v>
      </c>
      <c r="B337" s="175">
        <v>53246.094504849963</v>
      </c>
    </row>
    <row r="338" spans="1:2" x14ac:dyDescent="0.3">
      <c r="A338" s="173">
        <v>53275.625098981909</v>
      </c>
      <c r="B338" s="175">
        <v>53275.625098981909</v>
      </c>
    </row>
    <row r="339" spans="1:2" x14ac:dyDescent="0.3">
      <c r="A339" s="173">
        <v>53305.155693113855</v>
      </c>
      <c r="B339" s="175">
        <v>53305.155693113855</v>
      </c>
    </row>
    <row r="340" spans="1:2" x14ac:dyDescent="0.3">
      <c r="A340" s="173">
        <v>53334.6862872458</v>
      </c>
      <c r="B340" s="175">
        <v>53334.6862872458</v>
      </c>
    </row>
    <row r="341" spans="1:2" x14ac:dyDescent="0.3">
      <c r="A341" s="173">
        <v>53364.216881377746</v>
      </c>
      <c r="B341" s="175">
        <v>53364.216881377746</v>
      </c>
    </row>
    <row r="342" spans="1:2" x14ac:dyDescent="0.3">
      <c r="A342" s="173">
        <v>53393.747475509692</v>
      </c>
      <c r="B342" s="175">
        <v>53393.747475509692</v>
      </c>
    </row>
    <row r="343" spans="1:2" x14ac:dyDescent="0.3">
      <c r="A343" s="173">
        <v>53423.278069641638</v>
      </c>
      <c r="B343" s="175">
        <v>53423.278069641638</v>
      </c>
    </row>
    <row r="344" spans="1:2" x14ac:dyDescent="0.3">
      <c r="A344" s="173">
        <v>53452.808663773583</v>
      </c>
      <c r="B344" s="175">
        <v>53452.808663773583</v>
      </c>
    </row>
    <row r="345" spans="1:2" x14ac:dyDescent="0.3">
      <c r="A345" s="173">
        <v>53482.339257905529</v>
      </c>
      <c r="B345" s="175">
        <v>53482.339257905529</v>
      </c>
    </row>
    <row r="346" spans="1:2" x14ac:dyDescent="0.3">
      <c r="A346" s="173">
        <v>53511.869852037475</v>
      </c>
      <c r="B346" s="175">
        <v>53511.869852037475</v>
      </c>
    </row>
    <row r="347" spans="1:2" x14ac:dyDescent="0.3">
      <c r="A347" s="173">
        <v>53541.40044616942</v>
      </c>
      <c r="B347" s="175">
        <v>53541.40044616942</v>
      </c>
    </row>
    <row r="348" spans="1:2" x14ac:dyDescent="0.3">
      <c r="A348" s="173">
        <v>53570.931040301366</v>
      </c>
      <c r="B348" s="175">
        <v>53570.931040301366</v>
      </c>
    </row>
    <row r="349" spans="1:2" x14ac:dyDescent="0.3">
      <c r="A349" s="173">
        <v>53600.461634433312</v>
      </c>
      <c r="B349" s="175">
        <v>53600.461634433312</v>
      </c>
    </row>
    <row r="350" spans="1:2" x14ac:dyDescent="0.3">
      <c r="A350" s="173">
        <v>53629.992228565257</v>
      </c>
      <c r="B350" s="175">
        <v>53629.992228565257</v>
      </c>
    </row>
    <row r="351" spans="1:2" x14ac:dyDescent="0.3">
      <c r="A351" s="173">
        <v>53659.522822697203</v>
      </c>
      <c r="B351" s="175">
        <v>53659.522822697203</v>
      </c>
    </row>
    <row r="352" spans="1:2" x14ac:dyDescent="0.3">
      <c r="A352" s="173">
        <v>53689.053416829149</v>
      </c>
      <c r="B352" s="175">
        <v>53689.053416829149</v>
      </c>
    </row>
    <row r="353" spans="1:2" x14ac:dyDescent="0.3">
      <c r="A353" s="173">
        <v>53718.584010961094</v>
      </c>
      <c r="B353" s="175">
        <v>53718.584010961094</v>
      </c>
    </row>
    <row r="354" spans="1:2" x14ac:dyDescent="0.3">
      <c r="A354" s="173">
        <v>53748.11460509304</v>
      </c>
      <c r="B354" s="175">
        <v>53748.11460509304</v>
      </c>
    </row>
    <row r="355" spans="1:2" x14ac:dyDescent="0.3">
      <c r="A355" s="173">
        <v>53777.645199224986</v>
      </c>
      <c r="B355" s="175">
        <v>53777.645199224986</v>
      </c>
    </row>
    <row r="356" spans="1:2" x14ac:dyDescent="0.3">
      <c r="A356" s="173">
        <v>53807.175793356932</v>
      </c>
      <c r="B356" s="175">
        <v>53807.175793356932</v>
      </c>
    </row>
    <row r="357" spans="1:2" x14ac:dyDescent="0.3">
      <c r="A357" s="173">
        <v>53836.706387488877</v>
      </c>
      <c r="B357" s="175">
        <v>53836.706387488877</v>
      </c>
    </row>
    <row r="358" spans="1:2" x14ac:dyDescent="0.3">
      <c r="A358" s="173">
        <v>53866.236981620823</v>
      </c>
      <c r="B358" s="175">
        <v>53866.236981620823</v>
      </c>
    </row>
    <row r="359" spans="1:2" x14ac:dyDescent="0.3">
      <c r="A359" s="173">
        <v>53895.767575752769</v>
      </c>
      <c r="B359" s="175">
        <v>53895.767575752769</v>
      </c>
    </row>
    <row r="360" spans="1:2" x14ac:dyDescent="0.3">
      <c r="A360" s="173">
        <v>53925.298169884714</v>
      </c>
      <c r="B360" s="175">
        <v>53925.298169884714</v>
      </c>
    </row>
    <row r="361" spans="1:2" x14ac:dyDescent="0.3">
      <c r="A361" s="173">
        <v>53954.82876401666</v>
      </c>
      <c r="B361" s="175">
        <v>53954.82876401666</v>
      </c>
    </row>
    <row r="362" spans="1:2" x14ac:dyDescent="0.3">
      <c r="A362" s="173">
        <v>53984.359358148606</v>
      </c>
      <c r="B362" s="175">
        <v>53984.359358148606</v>
      </c>
    </row>
    <row r="363" spans="1:2" x14ac:dyDescent="0.3">
      <c r="A363" s="173">
        <v>54013.889952280551</v>
      </c>
      <c r="B363" s="175">
        <v>54013.889952280551</v>
      </c>
    </row>
    <row r="364" spans="1:2" x14ac:dyDescent="0.3">
      <c r="A364" s="173">
        <v>54043.420546412497</v>
      </c>
      <c r="B364" s="175">
        <v>54043.420546412497</v>
      </c>
    </row>
    <row r="365" spans="1:2" x14ac:dyDescent="0.3">
      <c r="A365" s="173">
        <v>54072.951140544443</v>
      </c>
      <c r="B365" s="175">
        <v>54072.951140544443</v>
      </c>
    </row>
    <row r="366" spans="1:2" x14ac:dyDescent="0.3">
      <c r="A366" s="173">
        <v>54102.481734676388</v>
      </c>
      <c r="B366" s="175">
        <v>54102.481734676388</v>
      </c>
    </row>
    <row r="367" spans="1:2" x14ac:dyDescent="0.3">
      <c r="A367" s="173">
        <v>54132.012328808334</v>
      </c>
      <c r="B367" s="175">
        <v>54132.012328808334</v>
      </c>
    </row>
    <row r="368" spans="1:2" x14ac:dyDescent="0.3">
      <c r="A368" s="173">
        <v>54161.54292294028</v>
      </c>
      <c r="B368" s="175">
        <v>54161.54292294028</v>
      </c>
    </row>
    <row r="369" spans="1:2" x14ac:dyDescent="0.3">
      <c r="A369" s="173">
        <v>54191.073517072226</v>
      </c>
      <c r="B369" s="175">
        <v>54191.073517072226</v>
      </c>
    </row>
    <row r="370" spans="1:2" x14ac:dyDescent="0.3">
      <c r="A370" s="173">
        <v>54220.604111204171</v>
      </c>
      <c r="B370" s="175">
        <v>54220.604111204171</v>
      </c>
    </row>
    <row r="371" spans="1:2" x14ac:dyDescent="0.3">
      <c r="A371" s="173">
        <v>54250.134705336117</v>
      </c>
      <c r="B371" s="175">
        <v>54250.134705336117</v>
      </c>
    </row>
    <row r="372" spans="1:2" x14ac:dyDescent="0.3">
      <c r="A372" s="173">
        <v>54279.665299468063</v>
      </c>
      <c r="B372" s="175">
        <v>54279.665299468063</v>
      </c>
    </row>
    <row r="373" spans="1:2" x14ac:dyDescent="0.3">
      <c r="A373" s="173">
        <v>54309.195893600008</v>
      </c>
      <c r="B373" s="175">
        <v>54309.195893600008</v>
      </c>
    </row>
    <row r="374" spans="1:2" x14ac:dyDescent="0.3">
      <c r="A374" s="173">
        <v>54338.726487731954</v>
      </c>
      <c r="B374" s="175">
        <v>54338.726487731954</v>
      </c>
    </row>
    <row r="375" spans="1:2" x14ac:dyDescent="0.3">
      <c r="A375" s="173">
        <v>54368.2570818639</v>
      </c>
      <c r="B375" s="175">
        <v>54368.2570818639</v>
      </c>
    </row>
    <row r="376" spans="1:2" x14ac:dyDescent="0.3">
      <c r="A376" s="173">
        <v>54397.787675995845</v>
      </c>
      <c r="B376" s="175">
        <v>54397.787675995845</v>
      </c>
    </row>
    <row r="377" spans="1:2" x14ac:dyDescent="0.3">
      <c r="A377" s="173">
        <v>54427.318270127791</v>
      </c>
      <c r="B377" s="175">
        <v>54427.318270127791</v>
      </c>
    </row>
    <row r="378" spans="1:2" x14ac:dyDescent="0.3">
      <c r="A378" s="173">
        <v>54456.848864259737</v>
      </c>
      <c r="B378" s="175">
        <v>54456.848864259737</v>
      </c>
    </row>
    <row r="379" spans="1:2" x14ac:dyDescent="0.3">
      <c r="A379" s="173">
        <v>54486.379458391682</v>
      </c>
      <c r="B379" s="175">
        <v>54486.379458391682</v>
      </c>
    </row>
    <row r="380" spans="1:2" x14ac:dyDescent="0.3">
      <c r="A380" s="173">
        <v>54515.910052523628</v>
      </c>
      <c r="B380" s="175">
        <v>54515.910052523628</v>
      </c>
    </row>
    <row r="381" spans="1:2" x14ac:dyDescent="0.3">
      <c r="A381" s="173">
        <v>54545.440646655574</v>
      </c>
      <c r="B381" s="175">
        <v>54545.440646655574</v>
      </c>
    </row>
    <row r="382" spans="1:2" x14ac:dyDescent="0.3">
      <c r="A382" s="173">
        <v>54574.971240787519</v>
      </c>
      <c r="B382" s="175">
        <v>54574.971240787519</v>
      </c>
    </row>
    <row r="383" spans="1:2" x14ac:dyDescent="0.3">
      <c r="A383" s="173">
        <v>54604.501834919465</v>
      </c>
      <c r="B383" s="175">
        <v>54604.501834919465</v>
      </c>
    </row>
    <row r="384" spans="1:2" x14ac:dyDescent="0.3">
      <c r="A384" s="173">
        <v>54634.032429051411</v>
      </c>
      <c r="B384" s="175">
        <v>54634.032429051411</v>
      </c>
    </row>
    <row r="385" spans="1:2" x14ac:dyDescent="0.3">
      <c r="A385" s="173">
        <v>54663.563023183357</v>
      </c>
      <c r="B385" s="175">
        <v>54663.563023183357</v>
      </c>
    </row>
    <row r="386" spans="1:2" x14ac:dyDescent="0.3">
      <c r="A386" s="173">
        <v>54693.093617315302</v>
      </c>
      <c r="B386" s="175">
        <v>54693.093617315302</v>
      </c>
    </row>
    <row r="387" spans="1:2" x14ac:dyDescent="0.3">
      <c r="A387" s="173">
        <v>54722.624211447248</v>
      </c>
      <c r="B387" s="175">
        <v>54722.624211447248</v>
      </c>
    </row>
    <row r="388" spans="1:2" x14ac:dyDescent="0.3">
      <c r="A388" s="173">
        <v>54752.154805579194</v>
      </c>
      <c r="B388" s="175">
        <v>54752.154805579194</v>
      </c>
    </row>
    <row r="389" spans="1:2" x14ac:dyDescent="0.3">
      <c r="A389" s="173">
        <v>54781.685399711139</v>
      </c>
      <c r="B389" s="175">
        <v>54781.685399711139</v>
      </c>
    </row>
    <row r="390" spans="1:2" x14ac:dyDescent="0.3">
      <c r="A390" s="173">
        <v>54811.215993843085</v>
      </c>
      <c r="B390" s="175">
        <v>54811.215993843085</v>
      </c>
    </row>
    <row r="391" spans="1:2" x14ac:dyDescent="0.3">
      <c r="A391" s="173">
        <v>54840.746587975031</v>
      </c>
      <c r="B391" s="175">
        <v>54840.746587975031</v>
      </c>
    </row>
    <row r="392" spans="1:2" x14ac:dyDescent="0.3">
      <c r="A392" s="173">
        <v>54870.277182106976</v>
      </c>
      <c r="B392" s="175">
        <v>54870.277182106976</v>
      </c>
    </row>
    <row r="393" spans="1:2" x14ac:dyDescent="0.3">
      <c r="A393" s="173">
        <v>54899.807776238922</v>
      </c>
      <c r="B393" s="175">
        <v>54899.807776238922</v>
      </c>
    </row>
    <row r="394" spans="1:2" x14ac:dyDescent="0.3">
      <c r="A394" s="173">
        <v>54929.338370370868</v>
      </c>
      <c r="B394" s="175">
        <v>54929.338370370868</v>
      </c>
    </row>
    <row r="395" spans="1:2" x14ac:dyDescent="0.3">
      <c r="A395" s="173">
        <v>54958.868964502813</v>
      </c>
      <c r="B395" s="175">
        <v>54958.868964502813</v>
      </c>
    </row>
    <row r="396" spans="1:2" x14ac:dyDescent="0.3">
      <c r="A396" s="173">
        <v>54988.399558634759</v>
      </c>
      <c r="B396" s="175">
        <v>54988.399558634759</v>
      </c>
    </row>
    <row r="397" spans="1:2" x14ac:dyDescent="0.3">
      <c r="A397" s="173">
        <v>55017.930152766705</v>
      </c>
      <c r="B397" s="175">
        <v>55017.930152766705</v>
      </c>
    </row>
    <row r="398" spans="1:2" x14ac:dyDescent="0.3">
      <c r="A398" s="173">
        <v>55047.460746898651</v>
      </c>
      <c r="B398" s="175">
        <v>55047.460746898651</v>
      </c>
    </row>
    <row r="399" spans="1:2" x14ac:dyDescent="0.3">
      <c r="A399" s="173">
        <v>55076.991341030596</v>
      </c>
      <c r="B399" s="175">
        <v>55076.991341030596</v>
      </c>
    </row>
    <row r="400" spans="1:2" x14ac:dyDescent="0.3">
      <c r="A400" s="173">
        <v>55106.521935162542</v>
      </c>
      <c r="B400" s="175">
        <v>55106.521935162542</v>
      </c>
    </row>
    <row r="401" spans="1:2" x14ac:dyDescent="0.3">
      <c r="A401" s="173">
        <v>55136.052529294488</v>
      </c>
      <c r="B401" s="175">
        <v>55136.052529294488</v>
      </c>
    </row>
    <row r="402" spans="1:2" x14ac:dyDescent="0.3">
      <c r="A402" s="173">
        <v>55165.583123426433</v>
      </c>
      <c r="B402" s="175">
        <v>55165.583123426433</v>
      </c>
    </row>
    <row r="403" spans="1:2" x14ac:dyDescent="0.3">
      <c r="A403" s="173">
        <v>55195.113717558379</v>
      </c>
      <c r="B403" s="175">
        <v>55195.113717558379</v>
      </c>
    </row>
    <row r="404" spans="1:2" x14ac:dyDescent="0.3">
      <c r="A404" s="173">
        <v>55224.644311690325</v>
      </c>
      <c r="B404" s="175">
        <v>55224.644311690325</v>
      </c>
    </row>
    <row r="405" spans="1:2" x14ac:dyDescent="0.3">
      <c r="A405" s="173">
        <v>55254.17490582227</v>
      </c>
      <c r="B405" s="175">
        <v>55254.17490582227</v>
      </c>
    </row>
    <row r="406" spans="1:2" x14ac:dyDescent="0.3">
      <c r="A406" s="173">
        <v>55283.705499954216</v>
      </c>
      <c r="B406" s="175">
        <v>55283.705499954216</v>
      </c>
    </row>
    <row r="407" spans="1:2" x14ac:dyDescent="0.3">
      <c r="A407" s="173">
        <v>55313.236094086162</v>
      </c>
      <c r="B407" s="175">
        <v>55313.236094086162</v>
      </c>
    </row>
    <row r="408" spans="1:2" x14ac:dyDescent="0.3">
      <c r="A408" s="173">
        <v>55342.766688218107</v>
      </c>
      <c r="B408" s="175">
        <v>55342.766688218107</v>
      </c>
    </row>
    <row r="409" spans="1:2" x14ac:dyDescent="0.3">
      <c r="A409" s="173">
        <v>55372.297282350053</v>
      </c>
      <c r="B409" s="175">
        <v>55372.297282350053</v>
      </c>
    </row>
    <row r="410" spans="1:2" x14ac:dyDescent="0.3">
      <c r="A410" s="173">
        <v>55401.827876481999</v>
      </c>
      <c r="B410" s="175">
        <v>55401.827876481999</v>
      </c>
    </row>
    <row r="411" spans="1:2" x14ac:dyDescent="0.3">
      <c r="A411" s="173">
        <v>55431.358470613945</v>
      </c>
      <c r="B411" s="175">
        <v>55431.358470613945</v>
      </c>
    </row>
    <row r="412" spans="1:2" x14ac:dyDescent="0.3">
      <c r="A412" s="173">
        <v>55460.88906474589</v>
      </c>
      <c r="B412" s="175">
        <v>55460.88906474589</v>
      </c>
    </row>
    <row r="413" spans="1:2" x14ac:dyDescent="0.3">
      <c r="A413" s="173">
        <v>55490.419658877836</v>
      </c>
      <c r="B413" s="175">
        <v>55490.419658877836</v>
      </c>
    </row>
    <row r="414" spans="1:2" x14ac:dyDescent="0.3">
      <c r="A414" s="173">
        <v>55519.950253009782</v>
      </c>
      <c r="B414" s="175">
        <v>55519.950253009782</v>
      </c>
    </row>
    <row r="415" spans="1:2" x14ac:dyDescent="0.3">
      <c r="A415" s="173">
        <v>55549.480847141727</v>
      </c>
      <c r="B415" s="175">
        <v>55549.480847141727</v>
      </c>
    </row>
    <row r="416" spans="1:2" x14ac:dyDescent="0.3">
      <c r="A416" s="173">
        <v>55579.011441273673</v>
      </c>
      <c r="B416" s="175">
        <v>55579.011441273673</v>
      </c>
    </row>
    <row r="417" spans="1:2" x14ac:dyDescent="0.3">
      <c r="A417" s="173">
        <v>55608.542035405619</v>
      </c>
      <c r="B417" s="175">
        <v>55608.542035405619</v>
      </c>
    </row>
    <row r="418" spans="1:2" x14ac:dyDescent="0.3">
      <c r="A418" s="173">
        <v>55638.072629537564</v>
      </c>
      <c r="B418" s="175">
        <v>55638.072629537564</v>
      </c>
    </row>
    <row r="419" spans="1:2" x14ac:dyDescent="0.3">
      <c r="A419" s="173">
        <v>55667.60322366951</v>
      </c>
      <c r="B419" s="175">
        <v>55667.60322366951</v>
      </c>
    </row>
    <row r="420" spans="1:2" x14ac:dyDescent="0.3">
      <c r="A420" s="173">
        <v>55697.133817801456</v>
      </c>
      <c r="B420" s="175">
        <v>55697.133817801456</v>
      </c>
    </row>
    <row r="421" spans="1:2" x14ac:dyDescent="0.3">
      <c r="A421" s="173">
        <v>55726.664411933401</v>
      </c>
      <c r="B421" s="175">
        <v>55726.664411933401</v>
      </c>
    </row>
    <row r="422" spans="1:2" x14ac:dyDescent="0.3">
      <c r="A422" s="173">
        <v>55756.195006065347</v>
      </c>
      <c r="B422" s="175">
        <v>55756.195006065347</v>
      </c>
    </row>
    <row r="423" spans="1:2" x14ac:dyDescent="0.3">
      <c r="A423" s="173">
        <v>55785.725600197293</v>
      </c>
      <c r="B423" s="175">
        <v>55785.725600197293</v>
      </c>
    </row>
    <row r="424" spans="1:2" x14ac:dyDescent="0.3">
      <c r="A424" s="173">
        <v>55815.256194329238</v>
      </c>
      <c r="B424" s="175">
        <v>55815.256194329238</v>
      </c>
    </row>
    <row r="425" spans="1:2" x14ac:dyDescent="0.3">
      <c r="A425" s="173">
        <v>55844.786788461184</v>
      </c>
      <c r="B425" s="175">
        <v>55844.786788461184</v>
      </c>
    </row>
    <row r="426" spans="1:2" x14ac:dyDescent="0.3">
      <c r="A426" s="173">
        <v>55874.31738259313</v>
      </c>
      <c r="B426" s="175">
        <v>55874.31738259313</v>
      </c>
    </row>
    <row r="427" spans="1:2" x14ac:dyDescent="0.3">
      <c r="A427" s="173">
        <v>55903.847976725076</v>
      </c>
      <c r="B427" s="175">
        <v>55903.847976725076</v>
      </c>
    </row>
    <row r="428" spans="1:2" x14ac:dyDescent="0.3">
      <c r="A428" s="173">
        <v>55933.378570857021</v>
      </c>
      <c r="B428" s="175">
        <v>55933.378570857021</v>
      </c>
    </row>
    <row r="429" spans="1:2" x14ac:dyDescent="0.3">
      <c r="A429" s="173">
        <v>55962.909164988967</v>
      </c>
      <c r="B429" s="175">
        <v>55962.909164988967</v>
      </c>
    </row>
    <row r="430" spans="1:2" x14ac:dyDescent="0.3">
      <c r="A430" s="173">
        <v>55992.439759120913</v>
      </c>
      <c r="B430" s="175">
        <v>55992.439759120913</v>
      </c>
    </row>
    <row r="431" spans="1:2" x14ac:dyDescent="0.3">
      <c r="A431" s="173">
        <v>56021.970353252858</v>
      </c>
      <c r="B431" s="175">
        <v>56021.970353252858</v>
      </c>
    </row>
    <row r="432" spans="1:2" x14ac:dyDescent="0.3">
      <c r="A432" s="173">
        <v>56051.500947384804</v>
      </c>
      <c r="B432" s="175">
        <v>56051.500947384804</v>
      </c>
    </row>
    <row r="433" spans="1:2" x14ac:dyDescent="0.3">
      <c r="A433" s="173">
        <v>56081.03154151675</v>
      </c>
      <c r="B433" s="175">
        <v>56081.03154151675</v>
      </c>
    </row>
    <row r="434" spans="1:2" x14ac:dyDescent="0.3">
      <c r="A434" s="173">
        <v>56110.562135648695</v>
      </c>
      <c r="B434" s="175">
        <v>56110.562135648695</v>
      </c>
    </row>
    <row r="435" spans="1:2" x14ac:dyDescent="0.3">
      <c r="A435" s="173">
        <v>56140.092729780641</v>
      </c>
      <c r="B435" s="175">
        <v>56140.092729780641</v>
      </c>
    </row>
    <row r="436" spans="1:2" x14ac:dyDescent="0.3">
      <c r="A436" s="173">
        <v>56169.623323912587</v>
      </c>
      <c r="B436" s="175">
        <v>56169.623323912587</v>
      </c>
    </row>
    <row r="437" spans="1:2" x14ac:dyDescent="0.3">
      <c r="A437" s="173">
        <v>56199.153918044532</v>
      </c>
      <c r="B437" s="175">
        <v>56199.153918044532</v>
      </c>
    </row>
    <row r="438" spans="1:2" x14ac:dyDescent="0.3">
      <c r="A438" s="173">
        <v>56228.684512176478</v>
      </c>
      <c r="B438" s="175">
        <v>56228.684512176478</v>
      </c>
    </row>
    <row r="439" spans="1:2" x14ac:dyDescent="0.3">
      <c r="A439" s="173">
        <v>56258.215106308424</v>
      </c>
      <c r="B439" s="175">
        <v>56258.215106308424</v>
      </c>
    </row>
    <row r="440" spans="1:2" x14ac:dyDescent="0.3">
      <c r="A440" s="173">
        <v>56287.74570044037</v>
      </c>
      <c r="B440" s="175">
        <v>56287.74570044037</v>
      </c>
    </row>
    <row r="441" spans="1:2" x14ac:dyDescent="0.3">
      <c r="A441" s="173">
        <v>56317.276294572315</v>
      </c>
      <c r="B441" s="175">
        <v>56317.276294572315</v>
      </c>
    </row>
    <row r="442" spans="1:2" x14ac:dyDescent="0.3">
      <c r="A442" s="173">
        <v>56346.806888704261</v>
      </c>
      <c r="B442" s="175">
        <v>56346.806888704261</v>
      </c>
    </row>
    <row r="443" spans="1:2" x14ac:dyDescent="0.3">
      <c r="A443" s="173">
        <v>56376.337482836207</v>
      </c>
      <c r="B443" s="175">
        <v>56376.337482836207</v>
      </c>
    </row>
    <row r="444" spans="1:2" x14ac:dyDescent="0.3">
      <c r="A444" s="173">
        <v>56405.868076968152</v>
      </c>
      <c r="B444" s="175">
        <v>56405.868076968152</v>
      </c>
    </row>
    <row r="445" spans="1:2" x14ac:dyDescent="0.3">
      <c r="A445" s="173">
        <v>56435.398671100098</v>
      </c>
      <c r="B445" s="175">
        <v>56435.398671100098</v>
      </c>
    </row>
    <row r="446" spans="1:2" x14ac:dyDescent="0.3">
      <c r="A446" s="173">
        <v>56464.929265232044</v>
      </c>
      <c r="B446" s="175">
        <v>56464.929265232044</v>
      </c>
    </row>
    <row r="447" spans="1:2" x14ac:dyDescent="0.3">
      <c r="A447" s="173">
        <v>56494.459859363989</v>
      </c>
      <c r="B447" s="175">
        <v>56494.459859363989</v>
      </c>
    </row>
    <row r="448" spans="1:2" x14ac:dyDescent="0.3">
      <c r="A448" s="173">
        <v>56523.990453495935</v>
      </c>
      <c r="B448" s="175">
        <v>56523.990453495935</v>
      </c>
    </row>
    <row r="449" spans="1:2" x14ac:dyDescent="0.3">
      <c r="A449" s="173">
        <v>56553.521047627881</v>
      </c>
      <c r="B449" s="175">
        <v>56553.521047627881</v>
      </c>
    </row>
    <row r="450" spans="1:2" x14ac:dyDescent="0.3">
      <c r="A450" s="173">
        <v>56583.051641759826</v>
      </c>
      <c r="B450" s="175">
        <v>56583.051641759826</v>
      </c>
    </row>
    <row r="451" spans="1:2" x14ac:dyDescent="0.3">
      <c r="A451" s="173">
        <v>56612.582235891772</v>
      </c>
      <c r="B451" s="175">
        <v>56612.582235891772</v>
      </c>
    </row>
    <row r="452" spans="1:2" x14ac:dyDescent="0.3">
      <c r="A452" s="173">
        <v>56642.112830023718</v>
      </c>
      <c r="B452" s="175">
        <v>56642.112830023718</v>
      </c>
    </row>
    <row r="453" spans="1:2" x14ac:dyDescent="0.3">
      <c r="A453" s="173">
        <v>56671.643424155664</v>
      </c>
      <c r="B453" s="175">
        <v>56671.643424155664</v>
      </c>
    </row>
    <row r="454" spans="1:2" x14ac:dyDescent="0.3">
      <c r="A454" s="173">
        <v>56701.174018287609</v>
      </c>
      <c r="B454" s="175">
        <v>56701.174018287609</v>
      </c>
    </row>
    <row r="455" spans="1:2" x14ac:dyDescent="0.3">
      <c r="A455" s="173">
        <v>56730.704612419555</v>
      </c>
      <c r="B455" s="175">
        <v>56730.704612419555</v>
      </c>
    </row>
    <row r="456" spans="1:2" x14ac:dyDescent="0.3">
      <c r="A456" s="173">
        <v>56760.235206551501</v>
      </c>
      <c r="B456" s="175">
        <v>56760.235206551501</v>
      </c>
    </row>
    <row r="457" spans="1:2" x14ac:dyDescent="0.3">
      <c r="A457" s="173">
        <v>56789.765800683446</v>
      </c>
      <c r="B457" s="175">
        <v>56789.765800683446</v>
      </c>
    </row>
    <row r="458" spans="1:2" x14ac:dyDescent="0.3">
      <c r="A458" s="173">
        <v>56819.296394815392</v>
      </c>
      <c r="B458" s="175">
        <v>56819.296394815392</v>
      </c>
    </row>
    <row r="459" spans="1:2" x14ac:dyDescent="0.3">
      <c r="A459" s="173">
        <v>56848.826988947338</v>
      </c>
      <c r="B459" s="175">
        <v>56848.826988947338</v>
      </c>
    </row>
    <row r="460" spans="1:2" x14ac:dyDescent="0.3">
      <c r="A460" s="173">
        <v>56878.357583079283</v>
      </c>
      <c r="B460" s="175">
        <v>56878.357583079283</v>
      </c>
    </row>
    <row r="461" spans="1:2" x14ac:dyDescent="0.3">
      <c r="A461" s="173">
        <v>56907.888177211229</v>
      </c>
      <c r="B461" s="175">
        <v>56907.888177211229</v>
      </c>
    </row>
    <row r="462" spans="1:2" x14ac:dyDescent="0.3">
      <c r="A462" s="173">
        <v>56937.418771343175</v>
      </c>
      <c r="B462" s="175">
        <v>56937.418771343175</v>
      </c>
    </row>
    <row r="463" spans="1:2" x14ac:dyDescent="0.3">
      <c r="A463" s="173">
        <v>56966.94936547512</v>
      </c>
      <c r="B463" s="175">
        <v>56966.94936547512</v>
      </c>
    </row>
    <row r="464" spans="1:2" x14ac:dyDescent="0.3">
      <c r="A464" s="173">
        <v>56996.479959607066</v>
      </c>
      <c r="B464" s="175">
        <v>56996.479959607066</v>
      </c>
    </row>
    <row r="465" spans="1:2" x14ac:dyDescent="0.3">
      <c r="A465" s="173">
        <v>57026.010553739012</v>
      </c>
      <c r="B465" s="175">
        <v>57026.010553739012</v>
      </c>
    </row>
    <row r="466" spans="1:2" x14ac:dyDescent="0.3">
      <c r="A466" s="173">
        <v>57055.541147870958</v>
      </c>
      <c r="B466" s="175">
        <v>57055.541147870958</v>
      </c>
    </row>
    <row r="467" spans="1:2" x14ac:dyDescent="0.3">
      <c r="A467" s="173">
        <v>57085.071742002903</v>
      </c>
      <c r="B467" s="175">
        <v>57085.071742002903</v>
      </c>
    </row>
    <row r="468" spans="1:2" x14ac:dyDescent="0.3">
      <c r="A468" s="173">
        <v>57114.602336134849</v>
      </c>
      <c r="B468" s="175">
        <v>57114.602336134849</v>
      </c>
    </row>
    <row r="469" spans="1:2" x14ac:dyDescent="0.3">
      <c r="A469" s="173">
        <v>57144.132930266795</v>
      </c>
      <c r="B469" s="175">
        <v>57144.132930266795</v>
      </c>
    </row>
    <row r="470" spans="1:2" x14ac:dyDescent="0.3">
      <c r="A470" s="173">
        <v>57173.66352439874</v>
      </c>
      <c r="B470" s="175">
        <v>57173.66352439874</v>
      </c>
    </row>
    <row r="471" spans="1:2" x14ac:dyDescent="0.3">
      <c r="A471" s="173">
        <v>57203.194118530686</v>
      </c>
      <c r="B471" s="175">
        <v>57203.194118530686</v>
      </c>
    </row>
    <row r="472" spans="1:2" x14ac:dyDescent="0.3">
      <c r="A472" s="173">
        <v>57232.724712662632</v>
      </c>
      <c r="B472" s="175">
        <v>57232.724712662632</v>
      </c>
    </row>
    <row r="473" spans="1:2" x14ac:dyDescent="0.3">
      <c r="A473" s="173">
        <v>57262.255306794577</v>
      </c>
      <c r="B473" s="175">
        <v>57262.255306794577</v>
      </c>
    </row>
    <row r="474" spans="1:2" x14ac:dyDescent="0.3">
      <c r="A474" s="173">
        <v>57291.785900926523</v>
      </c>
      <c r="B474" s="175">
        <v>57291.785900926523</v>
      </c>
    </row>
    <row r="475" spans="1:2" x14ac:dyDescent="0.3">
      <c r="A475" s="173">
        <v>57321.316495058469</v>
      </c>
      <c r="B475" s="175">
        <v>57321.316495058469</v>
      </c>
    </row>
    <row r="476" spans="1:2" x14ac:dyDescent="0.3">
      <c r="A476" s="173">
        <v>57350.847089190414</v>
      </c>
      <c r="B476" s="175">
        <v>57350.847089190414</v>
      </c>
    </row>
    <row r="477" spans="1:2" x14ac:dyDescent="0.3">
      <c r="A477" s="173">
        <v>57380.37768332236</v>
      </c>
      <c r="B477" s="175">
        <v>57380.37768332236</v>
      </c>
    </row>
    <row r="478" spans="1:2" x14ac:dyDescent="0.3">
      <c r="A478" s="173">
        <v>57409.908277454306</v>
      </c>
      <c r="B478" s="175">
        <v>57409.908277454306</v>
      </c>
    </row>
    <row r="479" spans="1:2" x14ac:dyDescent="0.3">
      <c r="A479" s="173">
        <v>57439.438871586251</v>
      </c>
      <c r="B479" s="175">
        <v>57439.438871586251</v>
      </c>
    </row>
    <row r="480" spans="1:2" x14ac:dyDescent="0.3">
      <c r="A480" s="173">
        <v>57468.969465718197</v>
      </c>
      <c r="B480" s="175">
        <v>57468.969465718197</v>
      </c>
    </row>
    <row r="481" spans="1:2" x14ac:dyDescent="0.3">
      <c r="A481" s="173">
        <v>57498.500059850143</v>
      </c>
      <c r="B481" s="175">
        <v>57498.500059850143</v>
      </c>
    </row>
    <row r="482" spans="1:2" x14ac:dyDescent="0.3">
      <c r="A482" s="173">
        <v>57528.030653982089</v>
      </c>
      <c r="B482" s="175">
        <v>57528.030653982089</v>
      </c>
    </row>
    <row r="483" spans="1:2" x14ac:dyDescent="0.3">
      <c r="A483" s="173">
        <v>57557.561248114034</v>
      </c>
      <c r="B483" s="175">
        <v>57557.561248114034</v>
      </c>
    </row>
    <row r="484" spans="1:2" x14ac:dyDescent="0.3">
      <c r="A484" s="173">
        <v>57587.09184224598</v>
      </c>
      <c r="B484" s="175">
        <v>57587.09184224598</v>
      </c>
    </row>
    <row r="485" spans="1:2" x14ac:dyDescent="0.3">
      <c r="A485" s="173">
        <v>57616.622436377926</v>
      </c>
      <c r="B485" s="175">
        <v>57616.622436377926</v>
      </c>
    </row>
    <row r="486" spans="1:2" x14ac:dyDescent="0.3">
      <c r="A486" s="173">
        <v>57646.153030509871</v>
      </c>
      <c r="B486" s="175">
        <v>57646.153030509871</v>
      </c>
    </row>
    <row r="487" spans="1:2" x14ac:dyDescent="0.3">
      <c r="A487" s="173">
        <v>57675.683624641817</v>
      </c>
      <c r="B487" s="175">
        <v>57675.683624641817</v>
      </c>
    </row>
    <row r="488" spans="1:2" x14ac:dyDescent="0.3">
      <c r="A488" s="173">
        <v>57705.214218773763</v>
      </c>
      <c r="B488" s="175">
        <v>57705.214218773763</v>
      </c>
    </row>
    <row r="489" spans="1:2" x14ac:dyDescent="0.3">
      <c r="A489" s="173">
        <v>57734.744812905708</v>
      </c>
      <c r="B489" s="175">
        <v>57734.744812905708</v>
      </c>
    </row>
    <row r="490" spans="1:2" x14ac:dyDescent="0.3">
      <c r="A490" s="173">
        <v>57764.275407037654</v>
      </c>
      <c r="B490" s="175">
        <v>57764.275407037654</v>
      </c>
    </row>
    <row r="491" spans="1:2" x14ac:dyDescent="0.3">
      <c r="A491" s="173">
        <v>57793.8060011696</v>
      </c>
      <c r="B491" s="175">
        <v>57793.8060011696</v>
      </c>
    </row>
    <row r="492" spans="1:2" x14ac:dyDescent="0.3">
      <c r="A492" s="173">
        <v>57823.336595301545</v>
      </c>
      <c r="B492" s="175">
        <v>57823.336595301545</v>
      </c>
    </row>
    <row r="493" spans="1:2" x14ac:dyDescent="0.3">
      <c r="A493" s="173">
        <v>57852.867189433491</v>
      </c>
      <c r="B493" s="175">
        <v>57852.867189433491</v>
      </c>
    </row>
    <row r="494" spans="1:2" x14ac:dyDescent="0.3">
      <c r="A494" s="173">
        <v>57882.397783565437</v>
      </c>
      <c r="B494" s="175">
        <v>57882.397783565437</v>
      </c>
    </row>
    <row r="495" spans="1:2" x14ac:dyDescent="0.3">
      <c r="A495" s="173">
        <v>57911.928377697383</v>
      </c>
      <c r="B495" s="175">
        <v>57911.928377697383</v>
      </c>
    </row>
    <row r="496" spans="1:2" x14ac:dyDescent="0.3">
      <c r="A496" s="173">
        <v>57941.458971829328</v>
      </c>
      <c r="B496" s="175">
        <v>57941.458971829328</v>
      </c>
    </row>
    <row r="497" spans="1:2" x14ac:dyDescent="0.3">
      <c r="A497" s="173">
        <v>57970.989565961274</v>
      </c>
      <c r="B497" s="175">
        <v>57970.989565961274</v>
      </c>
    </row>
    <row r="498" spans="1:2" x14ac:dyDescent="0.3">
      <c r="A498" s="173">
        <v>58000.52016009322</v>
      </c>
      <c r="B498" s="175">
        <v>58000.52016009322</v>
      </c>
    </row>
    <row r="499" spans="1:2" x14ac:dyDescent="0.3">
      <c r="A499" s="173">
        <v>58030.050754225165</v>
      </c>
      <c r="B499" s="175">
        <v>58030.050754225165</v>
      </c>
    </row>
    <row r="500" spans="1:2" x14ac:dyDescent="0.3">
      <c r="A500" s="173">
        <v>58059.581348357111</v>
      </c>
      <c r="B500" s="175">
        <v>58059.581348357111</v>
      </c>
    </row>
    <row r="501" spans="1:2" x14ac:dyDescent="0.3">
      <c r="A501" s="173">
        <v>58089.111942489057</v>
      </c>
      <c r="B501" s="175">
        <v>58089.111942489057</v>
      </c>
    </row>
    <row r="502" spans="1:2" x14ac:dyDescent="0.3">
      <c r="A502" s="173">
        <v>58118.642536621002</v>
      </c>
      <c r="B502" s="175">
        <v>58118.642536621002</v>
      </c>
    </row>
    <row r="503" spans="1:2" x14ac:dyDescent="0.3">
      <c r="A503" s="173">
        <v>58148.173130752948</v>
      </c>
      <c r="B503" s="175">
        <v>58148.173130752948</v>
      </c>
    </row>
    <row r="504" spans="1:2" x14ac:dyDescent="0.3">
      <c r="A504" s="173">
        <v>58177.703724884894</v>
      </c>
      <c r="B504" s="175">
        <v>58177.703724884894</v>
      </c>
    </row>
    <row r="505" spans="1:2" x14ac:dyDescent="0.3">
      <c r="A505" s="173">
        <v>58207.234319016839</v>
      </c>
      <c r="B505" s="175">
        <v>58207.234319016839</v>
      </c>
    </row>
    <row r="506" spans="1:2" x14ac:dyDescent="0.3">
      <c r="A506" s="173">
        <v>58236.764913148785</v>
      </c>
      <c r="B506" s="175">
        <v>58236.764913148785</v>
      </c>
    </row>
    <row r="507" spans="1:2" x14ac:dyDescent="0.3">
      <c r="A507" s="173">
        <v>58266.295507280731</v>
      </c>
      <c r="B507" s="175">
        <v>58266.295507280731</v>
      </c>
    </row>
    <row r="508" spans="1:2" x14ac:dyDescent="0.3">
      <c r="A508" s="173">
        <v>58295.826101412677</v>
      </c>
      <c r="B508" s="175">
        <v>58295.826101412677</v>
      </c>
    </row>
    <row r="509" spans="1:2" x14ac:dyDescent="0.3">
      <c r="A509" s="173">
        <v>58325.356695544622</v>
      </c>
      <c r="B509" s="175">
        <v>58325.356695544622</v>
      </c>
    </row>
    <row r="510" spans="1:2" x14ac:dyDescent="0.3">
      <c r="A510" s="173">
        <v>58354.887289676568</v>
      </c>
      <c r="B510" s="175">
        <v>58354.887289676568</v>
      </c>
    </row>
    <row r="511" spans="1:2" x14ac:dyDescent="0.3">
      <c r="A511" s="173">
        <v>58384.417883808514</v>
      </c>
      <c r="B511" s="175">
        <v>58384.417883808514</v>
      </c>
    </row>
    <row r="512" spans="1:2" x14ac:dyDescent="0.3">
      <c r="A512" s="173">
        <v>58413.948477940459</v>
      </c>
      <c r="B512" s="175">
        <v>58413.948477940459</v>
      </c>
    </row>
    <row r="513" spans="1:2" x14ac:dyDescent="0.3">
      <c r="A513" s="173">
        <v>58443.479072072405</v>
      </c>
      <c r="B513" s="175">
        <v>58443.479072072405</v>
      </c>
    </row>
    <row r="514" spans="1:2" x14ac:dyDescent="0.3">
      <c r="A514" s="173">
        <v>58473.009666204351</v>
      </c>
      <c r="B514" s="175">
        <v>58473.009666204351</v>
      </c>
    </row>
    <row r="515" spans="1:2" x14ac:dyDescent="0.3">
      <c r="A515" s="173">
        <v>58502.540260336296</v>
      </c>
      <c r="B515" s="175">
        <v>58502.540260336296</v>
      </c>
    </row>
    <row r="516" spans="1:2" x14ac:dyDescent="0.3">
      <c r="A516" s="173">
        <v>58532.070854468242</v>
      </c>
      <c r="B516" s="175">
        <v>58532.070854468242</v>
      </c>
    </row>
    <row r="517" spans="1:2" x14ac:dyDescent="0.3">
      <c r="A517" s="173">
        <v>58561.601448600188</v>
      </c>
      <c r="B517" s="175">
        <v>58561.601448600188</v>
      </c>
    </row>
    <row r="518" spans="1:2" x14ac:dyDescent="0.3">
      <c r="A518" s="173">
        <v>58591.132042732133</v>
      </c>
      <c r="B518" s="175">
        <v>58591.132042732133</v>
      </c>
    </row>
    <row r="519" spans="1:2" x14ac:dyDescent="0.3">
      <c r="A519" s="173">
        <v>58620.662636864079</v>
      </c>
      <c r="B519" s="175">
        <v>58620.662636864079</v>
      </c>
    </row>
    <row r="520" spans="1:2" x14ac:dyDescent="0.3">
      <c r="A520" s="173">
        <v>58650.193230996025</v>
      </c>
      <c r="B520" s="175">
        <v>58650.193230996025</v>
      </c>
    </row>
    <row r="521" spans="1:2" x14ac:dyDescent="0.3">
      <c r="A521" s="173">
        <v>58679.72382512797</v>
      </c>
      <c r="B521" s="175">
        <v>58679.72382512797</v>
      </c>
    </row>
    <row r="522" spans="1:2" x14ac:dyDescent="0.3">
      <c r="A522" s="173">
        <v>58709.254419259916</v>
      </c>
      <c r="B522" s="175">
        <v>58709.254419259916</v>
      </c>
    </row>
    <row r="523" spans="1:2" x14ac:dyDescent="0.3">
      <c r="A523" s="173">
        <v>58738.785013391862</v>
      </c>
      <c r="B523" s="175">
        <v>58738.785013391862</v>
      </c>
    </row>
    <row r="524" spans="1:2" x14ac:dyDescent="0.3">
      <c r="A524" s="173">
        <v>58768.315607523808</v>
      </c>
      <c r="B524" s="175">
        <v>58768.315607523808</v>
      </c>
    </row>
    <row r="525" spans="1:2" x14ac:dyDescent="0.3">
      <c r="A525" s="173">
        <v>58797.846201655753</v>
      </c>
      <c r="B525" s="175">
        <v>58797.846201655753</v>
      </c>
    </row>
    <row r="526" spans="1:2" x14ac:dyDescent="0.3">
      <c r="A526" s="173">
        <v>58827.376795787699</v>
      </c>
      <c r="B526" s="175">
        <v>58827.376795787699</v>
      </c>
    </row>
    <row r="527" spans="1:2" x14ac:dyDescent="0.3">
      <c r="A527" s="173">
        <v>58856.907389919645</v>
      </c>
      <c r="B527" s="175">
        <v>58856.907389919645</v>
      </c>
    </row>
    <row r="528" spans="1:2" x14ac:dyDescent="0.3">
      <c r="A528" s="173">
        <v>58886.43798405159</v>
      </c>
      <c r="B528" s="175">
        <v>58886.43798405159</v>
      </c>
    </row>
    <row r="529" spans="1:2" x14ac:dyDescent="0.3">
      <c r="A529" s="173">
        <v>58915.968578183536</v>
      </c>
      <c r="B529" s="175">
        <v>58915.968578183536</v>
      </c>
    </row>
    <row r="530" spans="1:2" x14ac:dyDescent="0.3">
      <c r="A530" s="173">
        <v>58945.499172315482</v>
      </c>
      <c r="B530" s="175">
        <v>58945.499172315482</v>
      </c>
    </row>
    <row r="531" spans="1:2" x14ac:dyDescent="0.3">
      <c r="A531" s="173">
        <v>58975.029766447427</v>
      </c>
      <c r="B531" s="175">
        <v>58975.029766447427</v>
      </c>
    </row>
    <row r="532" spans="1:2" x14ac:dyDescent="0.3">
      <c r="A532" s="173">
        <v>59004.560360579373</v>
      </c>
      <c r="B532" s="175">
        <v>59004.560360579373</v>
      </c>
    </row>
    <row r="533" spans="1:2" x14ac:dyDescent="0.3">
      <c r="A533" s="173">
        <v>59034.090954711319</v>
      </c>
      <c r="B533" s="175">
        <v>59034.090954711319</v>
      </c>
    </row>
    <row r="534" spans="1:2" x14ac:dyDescent="0.3">
      <c r="A534" s="173">
        <v>59063.621548843264</v>
      </c>
      <c r="B534" s="175">
        <v>59063.621548843264</v>
      </c>
    </row>
    <row r="535" spans="1:2" x14ac:dyDescent="0.3">
      <c r="A535" s="173">
        <v>59093.15214297521</v>
      </c>
      <c r="B535" s="175">
        <v>59093.15214297521</v>
      </c>
    </row>
    <row r="536" spans="1:2" x14ac:dyDescent="0.3">
      <c r="A536" s="173">
        <v>59122.682737107156</v>
      </c>
      <c r="B536" s="175">
        <v>59122.682737107156</v>
      </c>
    </row>
    <row r="537" spans="1:2" x14ac:dyDescent="0.3">
      <c r="A537" s="173">
        <v>59152.213331239102</v>
      </c>
      <c r="B537" s="175">
        <v>59152.213331239102</v>
      </c>
    </row>
    <row r="538" spans="1:2" x14ac:dyDescent="0.3">
      <c r="A538" s="173">
        <v>59181.743925371047</v>
      </c>
      <c r="B538" s="175">
        <v>59181.743925371047</v>
      </c>
    </row>
    <row r="539" spans="1:2" x14ac:dyDescent="0.3">
      <c r="A539" s="173">
        <v>59211.274519502993</v>
      </c>
      <c r="B539" s="175">
        <v>59211.274519502993</v>
      </c>
    </row>
    <row r="540" spans="1:2" x14ac:dyDescent="0.3">
      <c r="A540" s="173">
        <v>59240.805113634939</v>
      </c>
      <c r="B540" s="175">
        <v>59240.805113634939</v>
      </c>
    </row>
    <row r="541" spans="1:2" x14ac:dyDescent="0.3">
      <c r="A541" s="173">
        <v>59270.335707766884</v>
      </c>
      <c r="B541" s="175">
        <v>59270.335707766884</v>
      </c>
    </row>
    <row r="542" spans="1:2" x14ac:dyDescent="0.3">
      <c r="A542" s="173">
        <v>59299.86630189883</v>
      </c>
      <c r="B542" s="175">
        <v>59299.86630189883</v>
      </c>
    </row>
    <row r="543" spans="1:2" x14ac:dyDescent="0.3">
      <c r="A543" s="173">
        <v>59329.396896030776</v>
      </c>
      <c r="B543" s="175">
        <v>59329.396896030776</v>
      </c>
    </row>
    <row r="544" spans="1:2" x14ac:dyDescent="0.3">
      <c r="A544" s="173">
        <v>59358.927490162721</v>
      </c>
      <c r="B544" s="175">
        <v>59358.927490162721</v>
      </c>
    </row>
    <row r="545" spans="1:2" x14ac:dyDescent="0.3">
      <c r="A545" s="173">
        <v>59388.458084294667</v>
      </c>
      <c r="B545" s="175">
        <v>59388.458084294667</v>
      </c>
    </row>
    <row r="546" spans="1:2" x14ac:dyDescent="0.3">
      <c r="A546" s="173">
        <v>59417.988678426613</v>
      </c>
      <c r="B546" s="175">
        <v>59417.988678426613</v>
      </c>
    </row>
    <row r="547" spans="1:2" x14ac:dyDescent="0.3">
      <c r="A547" s="173">
        <v>59447.519272558558</v>
      </c>
      <c r="B547" s="175">
        <v>59447.519272558558</v>
      </c>
    </row>
    <row r="548" spans="1:2" x14ac:dyDescent="0.3">
      <c r="A548" s="173">
        <v>59477.049866690504</v>
      </c>
      <c r="B548" s="175">
        <v>59477.049866690504</v>
      </c>
    </row>
    <row r="549" spans="1:2" x14ac:dyDescent="0.3">
      <c r="A549" s="173">
        <v>59506.58046082245</v>
      </c>
      <c r="B549" s="175">
        <v>59506.58046082245</v>
      </c>
    </row>
    <row r="550" spans="1:2" x14ac:dyDescent="0.3">
      <c r="A550" s="173">
        <v>59536.111054954396</v>
      </c>
      <c r="B550" s="175">
        <v>59536.111054954396</v>
      </c>
    </row>
    <row r="551" spans="1:2" x14ac:dyDescent="0.3">
      <c r="A551" s="173">
        <v>59565.641649086341</v>
      </c>
      <c r="B551" s="175">
        <v>59565.641649086341</v>
      </c>
    </row>
    <row r="552" spans="1:2" x14ac:dyDescent="0.3">
      <c r="A552" s="173">
        <v>59595.172243218287</v>
      </c>
      <c r="B552" s="175">
        <v>59595.172243218287</v>
      </c>
    </row>
    <row r="553" spans="1:2" x14ac:dyDescent="0.3">
      <c r="A553" s="173">
        <v>59624.702837350233</v>
      </c>
      <c r="B553" s="175">
        <v>59624.702837350233</v>
      </c>
    </row>
    <row r="554" spans="1:2" x14ac:dyDescent="0.3">
      <c r="A554" s="173">
        <v>59654.233431482178</v>
      </c>
      <c r="B554" s="175">
        <v>59654.233431482178</v>
      </c>
    </row>
    <row r="555" spans="1:2" x14ac:dyDescent="0.3">
      <c r="A555" s="173">
        <v>59683.764025614124</v>
      </c>
      <c r="B555" s="175">
        <v>59683.764025614124</v>
      </c>
    </row>
    <row r="556" spans="1:2" x14ac:dyDescent="0.3">
      <c r="A556" s="173">
        <v>59713.29461974607</v>
      </c>
      <c r="B556" s="175">
        <v>59713.29461974607</v>
      </c>
    </row>
    <row r="557" spans="1:2" x14ac:dyDescent="0.3">
      <c r="A557" s="173">
        <v>59742.825213878015</v>
      </c>
      <c r="B557" s="175">
        <v>59742.825213878015</v>
      </c>
    </row>
    <row r="558" spans="1:2" x14ac:dyDescent="0.3">
      <c r="A558" s="173">
        <v>59772.355808009961</v>
      </c>
      <c r="B558" s="175">
        <v>59772.355808009961</v>
      </c>
    </row>
    <row r="559" spans="1:2" x14ac:dyDescent="0.3">
      <c r="A559" s="173">
        <v>59801.886402141907</v>
      </c>
      <c r="B559" s="175">
        <v>59801.886402141907</v>
      </c>
    </row>
    <row r="560" spans="1:2" x14ac:dyDescent="0.3">
      <c r="A560" s="173">
        <v>59831.416996273852</v>
      </c>
      <c r="B560" s="175">
        <v>59831.416996273852</v>
      </c>
    </row>
    <row r="561" spans="1:2" x14ac:dyDescent="0.3">
      <c r="A561" s="173">
        <v>59860.947590405798</v>
      </c>
      <c r="B561" s="175">
        <v>59860.947590405798</v>
      </c>
    </row>
    <row r="562" spans="1:2" x14ac:dyDescent="0.3">
      <c r="A562" s="173">
        <v>59890.478184537744</v>
      </c>
      <c r="B562" s="175">
        <v>59890.478184537744</v>
      </c>
    </row>
    <row r="563" spans="1:2" x14ac:dyDescent="0.3">
      <c r="A563" s="173">
        <v>59920.008778669689</v>
      </c>
      <c r="B563" s="175">
        <v>59920.008778669689</v>
      </c>
    </row>
    <row r="564" spans="1:2" x14ac:dyDescent="0.3">
      <c r="A564" s="173">
        <v>59949.539372801635</v>
      </c>
      <c r="B564" s="175">
        <v>59949.539372801635</v>
      </c>
    </row>
    <row r="565" spans="1:2" x14ac:dyDescent="0.3">
      <c r="A565" s="173">
        <v>59979.069966933581</v>
      </c>
      <c r="B565" s="175">
        <v>59979.069966933581</v>
      </c>
    </row>
    <row r="566" spans="1:2" x14ac:dyDescent="0.3">
      <c r="A566" s="173">
        <v>60008.600561065527</v>
      </c>
      <c r="B566" s="175">
        <v>60008.600561065527</v>
      </c>
    </row>
    <row r="567" spans="1:2" x14ac:dyDescent="0.3">
      <c r="A567" s="173">
        <v>60038.131155197472</v>
      </c>
      <c r="B567" s="175">
        <v>60038.131155197472</v>
      </c>
    </row>
    <row r="568" spans="1:2" x14ac:dyDescent="0.3">
      <c r="A568" s="173">
        <v>60067.661749329418</v>
      </c>
      <c r="B568" s="175">
        <v>60067.661749329418</v>
      </c>
    </row>
    <row r="569" spans="1:2" x14ac:dyDescent="0.3">
      <c r="A569" s="173">
        <v>60097.192343461364</v>
      </c>
      <c r="B569" s="175">
        <v>60097.192343461364</v>
      </c>
    </row>
    <row r="570" spans="1:2" x14ac:dyDescent="0.3">
      <c r="A570" s="173">
        <v>60126.722937593309</v>
      </c>
      <c r="B570" s="175">
        <v>60126.722937593309</v>
      </c>
    </row>
    <row r="571" spans="1:2" x14ac:dyDescent="0.3">
      <c r="A571" s="173">
        <v>60156.253531725255</v>
      </c>
      <c r="B571" s="175">
        <v>60156.253531725255</v>
      </c>
    </row>
    <row r="572" spans="1:2" x14ac:dyDescent="0.3">
      <c r="A572" s="173">
        <v>60185.784125857201</v>
      </c>
      <c r="B572" s="175">
        <v>60185.784125857201</v>
      </c>
    </row>
    <row r="573" spans="1:2" x14ac:dyDescent="0.3">
      <c r="A573" s="173">
        <v>60215.314719989146</v>
      </c>
      <c r="B573" s="175">
        <v>60215.314719989146</v>
      </c>
    </row>
    <row r="574" spans="1:2" x14ac:dyDescent="0.3">
      <c r="A574" s="173">
        <v>60244.845314121092</v>
      </c>
      <c r="B574" s="175">
        <v>60244.845314121092</v>
      </c>
    </row>
    <row r="575" spans="1:2" x14ac:dyDescent="0.3">
      <c r="A575" s="173">
        <v>60274.375908253038</v>
      </c>
      <c r="B575" s="175">
        <v>60274.375908253038</v>
      </c>
    </row>
    <row r="576" spans="1:2" x14ac:dyDescent="0.3">
      <c r="A576" s="173">
        <v>60303.906502384983</v>
      </c>
      <c r="B576" s="175">
        <v>60303.906502384983</v>
      </c>
    </row>
    <row r="577" spans="1:2" x14ac:dyDescent="0.3">
      <c r="A577" s="173">
        <v>60333.437096516929</v>
      </c>
      <c r="B577" s="175">
        <v>60333.437096516929</v>
      </c>
    </row>
    <row r="578" spans="1:2" x14ac:dyDescent="0.3">
      <c r="A578" s="173">
        <v>60362.967690648875</v>
      </c>
      <c r="B578" s="175">
        <v>60362.967690648875</v>
      </c>
    </row>
    <row r="579" spans="1:2" x14ac:dyDescent="0.3">
      <c r="A579" s="173">
        <v>60392.498284780821</v>
      </c>
      <c r="B579" s="175">
        <v>60392.498284780821</v>
      </c>
    </row>
    <row r="580" spans="1:2" x14ac:dyDescent="0.3">
      <c r="A580" s="173">
        <v>60422.028878912766</v>
      </c>
      <c r="B580" s="175">
        <v>60422.028878912766</v>
      </c>
    </row>
    <row r="581" spans="1:2" x14ac:dyDescent="0.3">
      <c r="A581" s="173">
        <v>60451.559473044712</v>
      </c>
      <c r="B581" s="175">
        <v>60451.559473044712</v>
      </c>
    </row>
    <row r="582" spans="1:2" x14ac:dyDescent="0.3">
      <c r="A582" s="173">
        <v>60481.090067176658</v>
      </c>
      <c r="B582" s="175">
        <v>60481.090067176658</v>
      </c>
    </row>
    <row r="583" spans="1:2" x14ac:dyDescent="0.3">
      <c r="A583" s="173">
        <v>60510.620661308603</v>
      </c>
      <c r="B583" s="175">
        <v>60510.620661308603</v>
      </c>
    </row>
    <row r="584" spans="1:2" x14ac:dyDescent="0.3">
      <c r="A584" s="173">
        <v>60540.151255440549</v>
      </c>
      <c r="B584" s="175">
        <v>60540.151255440549</v>
      </c>
    </row>
    <row r="585" spans="1:2" x14ac:dyDescent="0.3">
      <c r="A585" s="173">
        <v>60569.681849572495</v>
      </c>
      <c r="B585" s="175">
        <v>60569.681849572495</v>
      </c>
    </row>
    <row r="586" spans="1:2" x14ac:dyDescent="0.3">
      <c r="A586" s="173">
        <v>60599.21244370444</v>
      </c>
      <c r="B586" s="175">
        <v>60599.21244370444</v>
      </c>
    </row>
    <row r="587" spans="1:2" x14ac:dyDescent="0.3">
      <c r="A587" s="173">
        <v>60628.743037836386</v>
      </c>
      <c r="B587" s="175">
        <v>60628.743037836386</v>
      </c>
    </row>
    <row r="588" spans="1:2" x14ac:dyDescent="0.3">
      <c r="A588" s="173">
        <v>60658.273631968332</v>
      </c>
      <c r="B588" s="175">
        <v>60658.273631968332</v>
      </c>
    </row>
    <row r="589" spans="1:2" x14ac:dyDescent="0.3">
      <c r="A589" s="173">
        <v>60687.804226100277</v>
      </c>
      <c r="B589" s="175">
        <v>60687.804226100277</v>
      </c>
    </row>
    <row r="590" spans="1:2" x14ac:dyDescent="0.3">
      <c r="A590" s="173">
        <v>60717.334820232223</v>
      </c>
      <c r="B590" s="175">
        <v>60717.334820232223</v>
      </c>
    </row>
    <row r="591" spans="1:2" x14ac:dyDescent="0.3">
      <c r="A591" s="173">
        <v>60746.865414364169</v>
      </c>
      <c r="B591" s="175">
        <v>60746.865414364169</v>
      </c>
    </row>
    <row r="592" spans="1:2" x14ac:dyDescent="0.3">
      <c r="A592" s="173">
        <v>60776.396008496115</v>
      </c>
      <c r="B592" s="175">
        <v>60776.396008496115</v>
      </c>
    </row>
    <row r="593" spans="1:2" x14ac:dyDescent="0.3">
      <c r="A593" s="173">
        <v>60805.92660262806</v>
      </c>
      <c r="B593" s="175">
        <v>60805.92660262806</v>
      </c>
    </row>
    <row r="594" spans="1:2" x14ac:dyDescent="0.3">
      <c r="A594" s="173">
        <v>60835.457196760006</v>
      </c>
      <c r="B594" s="175">
        <v>60835.457196760006</v>
      </c>
    </row>
    <row r="595" spans="1:2" x14ac:dyDescent="0.3">
      <c r="A595" s="173">
        <v>60864.987790891952</v>
      </c>
      <c r="B595" s="175">
        <v>60864.987790891952</v>
      </c>
    </row>
    <row r="596" spans="1:2" x14ac:dyDescent="0.3">
      <c r="A596" s="173">
        <v>60894.518385023897</v>
      </c>
      <c r="B596" s="175">
        <v>60894.518385023897</v>
      </c>
    </row>
    <row r="597" spans="1:2" x14ac:dyDescent="0.3">
      <c r="A597" s="173">
        <v>60924.048979155843</v>
      </c>
      <c r="B597" s="175">
        <v>60924.048979155843</v>
      </c>
    </row>
    <row r="598" spans="1:2" x14ac:dyDescent="0.3">
      <c r="A598" s="173">
        <v>60953.579573287789</v>
      </c>
      <c r="B598" s="175">
        <v>60953.579573287789</v>
      </c>
    </row>
    <row r="599" spans="1:2" x14ac:dyDescent="0.3">
      <c r="A599" s="173">
        <v>60983.110167419734</v>
      </c>
      <c r="B599" s="175">
        <v>60983.110167419734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0"/>
  <dimension ref="A1:F101"/>
  <sheetViews>
    <sheetView workbookViewId="0">
      <selection activeCell="E1" sqref="E1:F1048576"/>
    </sheetView>
  </sheetViews>
  <sheetFormatPr baseColWidth="10" defaultRowHeight="14.4" x14ac:dyDescent="0.3"/>
  <cols>
    <col min="2" max="2" width="4.44140625" style="182" bestFit="1" customWidth="1"/>
    <col min="3" max="3" width="5.44140625" style="182" bestFit="1" customWidth="1"/>
    <col min="5" max="6" width="4.44140625" style="182" bestFit="1" customWidth="1"/>
  </cols>
  <sheetData>
    <row r="1" spans="1:6" x14ac:dyDescent="0.3">
      <c r="A1" s="184">
        <v>0</v>
      </c>
      <c r="B1" s="182">
        <f>ASIN(A1)</f>
        <v>0</v>
      </c>
      <c r="C1" s="182">
        <f>B1/PI()</f>
        <v>0</v>
      </c>
      <c r="D1">
        <v>0</v>
      </c>
      <c r="F1" s="182">
        <f>SIN(D1)</f>
        <v>0</v>
      </c>
    </row>
    <row r="2" spans="1:6" x14ac:dyDescent="0.3">
      <c r="A2" s="184">
        <v>0.01</v>
      </c>
      <c r="B2" s="182">
        <f>ATAN(A2)</f>
        <v>9.9996666866652376E-3</v>
      </c>
      <c r="C2" s="182">
        <f>B2/PI()*180</f>
        <v>0.57293869768348593</v>
      </c>
      <c r="D2">
        <v>1</v>
      </c>
      <c r="E2" s="182">
        <f>D2/180*PI()</f>
        <v>1.7453292519943295E-2</v>
      </c>
      <c r="F2" s="182">
        <f>SIN(E2)</f>
        <v>1.7452406437283512E-2</v>
      </c>
    </row>
    <row r="3" spans="1:6" x14ac:dyDescent="0.3">
      <c r="A3" s="184">
        <v>0.02</v>
      </c>
      <c r="B3" s="182">
        <f t="shared" ref="B3:B66" si="0">ATAN(A3)</f>
        <v>1.9997333973150535E-2</v>
      </c>
      <c r="C3" s="182">
        <f t="shared" ref="C3:C66" si="1">B3/PI()*180</f>
        <v>1.1457628381751035</v>
      </c>
      <c r="D3">
        <v>2</v>
      </c>
      <c r="E3" s="182">
        <f t="shared" ref="E3:E32" si="2">D3/180*PI()</f>
        <v>3.4906585039886591E-2</v>
      </c>
      <c r="F3" s="182">
        <f t="shared" ref="F3:F32" si="3">SIN(E3)</f>
        <v>3.4899496702500969E-2</v>
      </c>
    </row>
    <row r="4" spans="1:6" x14ac:dyDescent="0.3">
      <c r="A4" s="184">
        <v>0.03</v>
      </c>
      <c r="B4" s="182">
        <f t="shared" si="0"/>
        <v>2.99910048568779E-2</v>
      </c>
      <c r="C4" s="182">
        <f t="shared" si="1"/>
        <v>1.7183580016554574</v>
      </c>
      <c r="D4">
        <v>3</v>
      </c>
      <c r="E4" s="182">
        <f t="shared" si="2"/>
        <v>5.2359877559829883E-2</v>
      </c>
      <c r="F4" s="182">
        <f t="shared" si="3"/>
        <v>5.2335956242943828E-2</v>
      </c>
    </row>
    <row r="5" spans="1:6" x14ac:dyDescent="0.3">
      <c r="A5" s="184">
        <v>0.04</v>
      </c>
      <c r="B5" s="182">
        <f t="shared" si="0"/>
        <v>3.9978687123290044E-2</v>
      </c>
      <c r="C5" s="182">
        <f t="shared" si="1"/>
        <v>2.2906100426385301</v>
      </c>
      <c r="D5">
        <v>4</v>
      </c>
      <c r="E5" s="182">
        <f t="shared" si="2"/>
        <v>6.9813170079773182E-2</v>
      </c>
      <c r="F5" s="182">
        <f t="shared" si="3"/>
        <v>6.9756473744125302E-2</v>
      </c>
    </row>
    <row r="6" spans="1:6" x14ac:dyDescent="0.3">
      <c r="A6" s="184">
        <v>0.05</v>
      </c>
      <c r="B6" s="182">
        <f t="shared" si="0"/>
        <v>4.9958395721942765E-2</v>
      </c>
      <c r="C6" s="182">
        <f t="shared" si="1"/>
        <v>2.8624052261117479</v>
      </c>
      <c r="D6">
        <v>5</v>
      </c>
      <c r="E6" s="182">
        <f t="shared" si="2"/>
        <v>8.7266462599716474E-2</v>
      </c>
      <c r="F6" s="182">
        <f t="shared" si="3"/>
        <v>8.7155742747658166E-2</v>
      </c>
    </row>
    <row r="7" spans="1:6" x14ac:dyDescent="0.3">
      <c r="A7" s="184">
        <v>0.06</v>
      </c>
      <c r="B7" s="182">
        <f t="shared" si="0"/>
        <v>5.9928155121207881E-2</v>
      </c>
      <c r="C7" s="182">
        <f t="shared" si="1"/>
        <v>3.4336303624505224</v>
      </c>
      <c r="D7">
        <v>6</v>
      </c>
      <c r="E7" s="182">
        <f t="shared" si="2"/>
        <v>0.10471975511965977</v>
      </c>
      <c r="F7" s="182">
        <f t="shared" si="3"/>
        <v>0.10452846326765346</v>
      </c>
    </row>
    <row r="8" spans="1:6" x14ac:dyDescent="0.3">
      <c r="A8" s="184">
        <v>7.0000000000000007E-2</v>
      </c>
      <c r="B8" s="182">
        <f t="shared" si="0"/>
        <v>6.9886001634642508E-2</v>
      </c>
      <c r="C8" s="182">
        <f t="shared" si="1"/>
        <v>4.0041729407093882</v>
      </c>
      <c r="D8">
        <v>7</v>
      </c>
      <c r="E8" s="182">
        <f t="shared" si="2"/>
        <v>0.12217304763960307</v>
      </c>
      <c r="F8" s="182">
        <f t="shared" si="3"/>
        <v>0.12186934340514748</v>
      </c>
    </row>
    <row r="9" spans="1:6" x14ac:dyDescent="0.3">
      <c r="A9" s="184">
        <v>0.08</v>
      </c>
      <c r="B9" s="182">
        <f t="shared" si="0"/>
        <v>7.9829985712237317E-2</v>
      </c>
      <c r="C9" s="182">
        <f t="shared" si="1"/>
        <v>4.5739212599008612</v>
      </c>
      <c r="D9">
        <v>8</v>
      </c>
      <c r="E9" s="182">
        <f t="shared" si="2"/>
        <v>0.13962634015954636</v>
      </c>
      <c r="F9" s="182">
        <f t="shared" si="3"/>
        <v>0.13917310096006544</v>
      </c>
    </row>
    <row r="10" spans="1:6" x14ac:dyDescent="0.3">
      <c r="A10" s="184">
        <v>0.09</v>
      </c>
      <c r="B10" s="182">
        <f t="shared" si="0"/>
        <v>8.9758174189950524E-2</v>
      </c>
      <c r="C10" s="182">
        <f t="shared" si="1"/>
        <v>5.1427645578842416</v>
      </c>
      <c r="D10">
        <v>9</v>
      </c>
      <c r="E10" s="182">
        <f t="shared" si="2"/>
        <v>0.15707963267948966</v>
      </c>
      <c r="F10" s="182">
        <f t="shared" si="3"/>
        <v>0.15643446504023087</v>
      </c>
    </row>
    <row r="11" spans="1:6" x14ac:dyDescent="0.3">
      <c r="A11" s="184">
        <v>0.1</v>
      </c>
      <c r="B11" s="182">
        <f t="shared" si="0"/>
        <v>9.9668652491162038E-2</v>
      </c>
      <c r="C11" s="182">
        <f t="shared" si="1"/>
        <v>5.710593137499643</v>
      </c>
      <c r="D11">
        <v>10</v>
      </c>
      <c r="E11" s="182">
        <f t="shared" si="2"/>
        <v>0.17453292519943295</v>
      </c>
      <c r="F11" s="182">
        <f t="shared" si="3"/>
        <v>0.17364817766693033</v>
      </c>
    </row>
    <row r="12" spans="1:6" x14ac:dyDescent="0.3">
      <c r="A12" s="184">
        <v>0.11</v>
      </c>
      <c r="B12" s="182">
        <f t="shared" si="0"/>
        <v>0.10955952677394434</v>
      </c>
      <c r="C12" s="182">
        <f t="shared" si="1"/>
        <v>6.2772984895975545</v>
      </c>
      <c r="D12">
        <v>11</v>
      </c>
      <c r="E12" s="182">
        <f t="shared" si="2"/>
        <v>0.19198621771937624</v>
      </c>
      <c r="F12" s="182">
        <f t="shared" si="3"/>
        <v>0.1908089953765448</v>
      </c>
    </row>
    <row r="13" spans="1:6" x14ac:dyDescent="0.3">
      <c r="A13" s="184">
        <v>0.12</v>
      </c>
      <c r="B13" s="182">
        <f t="shared" si="0"/>
        <v>0.11942892601833845</v>
      </c>
      <c r="C13" s="182">
        <f t="shared" si="1"/>
        <v>6.8427734126309403</v>
      </c>
      <c r="D13">
        <v>12</v>
      </c>
      <c r="E13" s="182">
        <f t="shared" si="2"/>
        <v>0.20943951023931953</v>
      </c>
      <c r="F13" s="182">
        <f t="shared" si="3"/>
        <v>0.20791169081775931</v>
      </c>
    </row>
    <row r="14" spans="1:6" x14ac:dyDescent="0.3">
      <c r="A14" s="184">
        <v>0.13</v>
      </c>
      <c r="B14" s="182">
        <f t="shared" si="0"/>
        <v>0.12927500404814307</v>
      </c>
      <c r="C14" s="182">
        <f t="shared" si="1"/>
        <v>7.4069121284952297</v>
      </c>
      <c r="D14">
        <v>13</v>
      </c>
      <c r="E14" s="182">
        <f t="shared" si="2"/>
        <v>0.22689280275926282</v>
      </c>
      <c r="F14" s="182">
        <f t="shared" si="3"/>
        <v>0.22495105434386498</v>
      </c>
    </row>
    <row r="15" spans="1:6" x14ac:dyDescent="0.3">
      <c r="A15" s="184">
        <v>0.14000000000000001</v>
      </c>
      <c r="B15" s="182">
        <f t="shared" si="0"/>
        <v>0.13909594148207133</v>
      </c>
      <c r="C15" s="182">
        <f t="shared" si="1"/>
        <v>7.9696103943213599</v>
      </c>
      <c r="D15">
        <v>14</v>
      </c>
      <c r="E15" s="182">
        <f t="shared" si="2"/>
        <v>0.24434609527920614</v>
      </c>
      <c r="F15" s="182">
        <f t="shared" si="3"/>
        <v>0.24192189559966773</v>
      </c>
    </row>
    <row r="16" spans="1:6" x14ac:dyDescent="0.3">
      <c r="A16" s="184">
        <v>0.15</v>
      </c>
      <c r="B16" s="182">
        <f t="shared" si="0"/>
        <v>0.14888994760949725</v>
      </c>
      <c r="C16" s="182">
        <f t="shared" si="1"/>
        <v>8.5307656099481335</v>
      </c>
      <c r="D16">
        <v>15</v>
      </c>
      <c r="E16" s="182">
        <f t="shared" si="2"/>
        <v>0.26179938779914941</v>
      </c>
      <c r="F16" s="182">
        <f t="shared" si="3"/>
        <v>0.25881904510252074</v>
      </c>
    </row>
    <row r="17" spans="1:6" x14ac:dyDescent="0.3">
      <c r="A17" s="184">
        <v>0.16</v>
      </c>
      <c r="B17" s="182">
        <f t="shared" si="0"/>
        <v>0.15865526218640141</v>
      </c>
      <c r="C17" s="182">
        <f t="shared" si="1"/>
        <v>9.0902769208223226</v>
      </c>
      <c r="D17">
        <v>16</v>
      </c>
      <c r="E17" s="182">
        <f t="shared" si="2"/>
        <v>0.27925268031909273</v>
      </c>
      <c r="F17" s="182">
        <f t="shared" si="3"/>
        <v>0.27563735581699916</v>
      </c>
    </row>
    <row r="18" spans="1:6" x14ac:dyDescent="0.3">
      <c r="A18" s="184">
        <v>0.17</v>
      </c>
      <c r="B18" s="182">
        <f t="shared" si="0"/>
        <v>0.16839015714752992</v>
      </c>
      <c r="C18" s="182">
        <f t="shared" si="1"/>
        <v>9.6480453160981572</v>
      </c>
      <c r="D18">
        <v>17</v>
      </c>
      <c r="E18" s="182">
        <f t="shared" si="2"/>
        <v>0.29670597283903599</v>
      </c>
      <c r="F18" s="182">
        <f t="shared" si="3"/>
        <v>0.29237170472273671</v>
      </c>
    </row>
    <row r="19" spans="1:6" x14ac:dyDescent="0.3">
      <c r="A19" s="184">
        <v>0.18</v>
      </c>
      <c r="B19" s="182">
        <f t="shared" si="0"/>
        <v>0.17809293823119754</v>
      </c>
      <c r="C19" s="182">
        <f t="shared" si="1"/>
        <v>10.203973721731684</v>
      </c>
      <c r="D19">
        <v>18</v>
      </c>
      <c r="E19" s="182">
        <f t="shared" si="2"/>
        <v>0.31415926535897931</v>
      </c>
      <c r="F19" s="182">
        <f t="shared" si="3"/>
        <v>0.3090169943749474</v>
      </c>
    </row>
    <row r="20" spans="1:6" x14ac:dyDescent="0.3">
      <c r="A20" s="184">
        <v>0.19</v>
      </c>
      <c r="B20" s="182">
        <f t="shared" si="0"/>
        <v>0.18776194651359343</v>
      </c>
      <c r="C20" s="182">
        <f t="shared" si="1"/>
        <v>10.757967088390005</v>
      </c>
      <c r="D20">
        <v>19</v>
      </c>
      <c r="E20" s="182">
        <f t="shared" si="2"/>
        <v>0.33161255787892263</v>
      </c>
      <c r="F20" s="182">
        <f t="shared" si="3"/>
        <v>0.3255681544571567</v>
      </c>
    </row>
    <row r="21" spans="1:6" x14ac:dyDescent="0.3">
      <c r="A21" s="184">
        <v>0.2</v>
      </c>
      <c r="B21" s="182">
        <f t="shared" si="0"/>
        <v>0.19739555984988078</v>
      </c>
      <c r="C21" s="182">
        <f t="shared" si="1"/>
        <v>11.309932474020215</v>
      </c>
      <c r="D21">
        <v>20</v>
      </c>
      <c r="E21" s="182">
        <f t="shared" si="2"/>
        <v>0.3490658503988659</v>
      </c>
      <c r="F21" s="182">
        <f t="shared" si="3"/>
        <v>0.34202014332566871</v>
      </c>
    </row>
    <row r="22" spans="1:6" x14ac:dyDescent="0.3">
      <c r="A22" s="184">
        <v>0.21</v>
      </c>
      <c r="B22" s="182">
        <f t="shared" si="0"/>
        <v>0.20699219421982101</v>
      </c>
      <c r="C22" s="182">
        <f t="shared" si="1"/>
        <v>11.859779120947978</v>
      </c>
      <c r="D22">
        <v>21</v>
      </c>
      <c r="E22" s="182">
        <f t="shared" si="2"/>
        <v>0.36651914291880922</v>
      </c>
      <c r="F22" s="182">
        <f t="shared" si="3"/>
        <v>0.35836794954530027</v>
      </c>
    </row>
    <row r="23" spans="1:6" x14ac:dyDescent="0.3">
      <c r="A23" s="184">
        <v>0.22</v>
      </c>
      <c r="B23" s="182">
        <f t="shared" si="0"/>
        <v>0.21655030497608926</v>
      </c>
      <c r="C23" s="182">
        <f t="shared" si="1"/>
        <v>12.407418527400745</v>
      </c>
      <c r="D23">
        <v>22</v>
      </c>
      <c r="E23" s="182">
        <f t="shared" si="2"/>
        <v>0.38397243543875248</v>
      </c>
      <c r="F23" s="182">
        <f t="shared" si="3"/>
        <v>0.37460659341591201</v>
      </c>
    </row>
    <row r="24" spans="1:6" x14ac:dyDescent="0.3">
      <c r="A24" s="184">
        <v>0.23</v>
      </c>
      <c r="B24" s="182">
        <f t="shared" si="0"/>
        <v>0.22606838799388393</v>
      </c>
      <c r="C24" s="182">
        <f t="shared" si="1"/>
        <v>12.95276451337552</v>
      </c>
      <c r="D24">
        <v>23</v>
      </c>
      <c r="E24" s="182">
        <f t="shared" si="2"/>
        <v>0.40142572795869574</v>
      </c>
      <c r="F24" s="182">
        <f t="shared" si="3"/>
        <v>0.39073112848927372</v>
      </c>
    </row>
    <row r="25" spans="1:6" x14ac:dyDescent="0.3">
      <c r="A25" s="184">
        <v>0.24</v>
      </c>
      <c r="B25" s="182">
        <f t="shared" si="0"/>
        <v>0.23554498072086333</v>
      </c>
      <c r="C25" s="182">
        <f t="shared" si="1"/>
        <v>13.495733280795813</v>
      </c>
      <c r="D25">
        <v>24</v>
      </c>
      <c r="E25" s="182">
        <f t="shared" si="2"/>
        <v>0.41887902047863906</v>
      </c>
      <c r="F25" s="182">
        <f t="shared" si="3"/>
        <v>0.40673664307580015</v>
      </c>
    </row>
    <row r="26" spans="1:6" x14ac:dyDescent="0.3">
      <c r="A26" s="184">
        <v>0.25</v>
      </c>
      <c r="B26" s="182">
        <f t="shared" si="0"/>
        <v>0.24497866312686414</v>
      </c>
      <c r="C26" s="182">
        <f t="shared" si="1"/>
        <v>14.036243467926479</v>
      </c>
      <c r="D26">
        <v>25</v>
      </c>
      <c r="E26" s="182">
        <f t="shared" si="2"/>
        <v>0.43633231299858238</v>
      </c>
      <c r="F26" s="182">
        <f t="shared" si="3"/>
        <v>0.42261826174069944</v>
      </c>
    </row>
    <row r="27" spans="1:6" x14ac:dyDescent="0.3">
      <c r="A27" s="184">
        <v>0.26</v>
      </c>
      <c r="B27" s="182">
        <f t="shared" si="0"/>
        <v>0.25436805855326594</v>
      </c>
      <c r="C27" s="182">
        <f t="shared" si="1"/>
        <v>14.574216198038741</v>
      </c>
      <c r="D27">
        <v>26</v>
      </c>
      <c r="E27" s="182">
        <f t="shared" si="2"/>
        <v>0.45378560551852565</v>
      </c>
      <c r="F27" s="182">
        <f t="shared" si="3"/>
        <v>0.4383711467890774</v>
      </c>
    </row>
    <row r="28" spans="1:6" x14ac:dyDescent="0.3">
      <c r="A28" s="184">
        <v>0.27</v>
      </c>
      <c r="B28" s="182">
        <f t="shared" si="0"/>
        <v>0.26371183446226615</v>
      </c>
      <c r="C28" s="182">
        <f t="shared" si="1"/>
        <v>15.109575122340466</v>
      </c>
      <c r="D28">
        <v>27</v>
      </c>
      <c r="E28" s="182">
        <f t="shared" si="2"/>
        <v>0.47123889803846897</v>
      </c>
      <c r="F28" s="182">
        <f t="shared" si="3"/>
        <v>0.45399049973954675</v>
      </c>
    </row>
    <row r="29" spans="1:6" x14ac:dyDescent="0.3">
      <c r="A29" s="184">
        <v>0.28000000000000003</v>
      </c>
      <c r="B29" s="182">
        <f t="shared" si="0"/>
        <v>0.2730087030867106</v>
      </c>
      <c r="C29" s="182">
        <f t="shared" si="1"/>
        <v>15.642246457208728</v>
      </c>
      <c r="D29">
        <v>28</v>
      </c>
      <c r="E29" s="182">
        <f t="shared" si="2"/>
        <v>0.48869219055841229</v>
      </c>
      <c r="F29" s="182">
        <f t="shared" si="3"/>
        <v>0.46947156278589081</v>
      </c>
    </row>
    <row r="30" spans="1:6" x14ac:dyDescent="0.3">
      <c r="A30" s="184">
        <v>0.28999999999999998</v>
      </c>
      <c r="B30" s="182">
        <f t="shared" si="0"/>
        <v>0.28225742198149112</v>
      </c>
      <c r="C30" s="182">
        <f t="shared" si="1"/>
        <v>16.172159015782551</v>
      </c>
      <c r="D30">
        <v>29</v>
      </c>
      <c r="E30" s="182">
        <f t="shared" si="2"/>
        <v>0.50614548307835561</v>
      </c>
      <c r="F30" s="182">
        <f t="shared" si="3"/>
        <v>0.48480962024633706</v>
      </c>
    </row>
    <row r="31" spans="1:6" x14ac:dyDescent="0.3">
      <c r="A31" s="184">
        <v>0.3</v>
      </c>
      <c r="B31" s="182">
        <f t="shared" si="0"/>
        <v>0.2914567944778671</v>
      </c>
      <c r="C31" s="182">
        <f t="shared" si="1"/>
        <v>16.699244233993621</v>
      </c>
      <c r="D31">
        <v>30</v>
      </c>
      <c r="E31" s="182">
        <f t="shared" si="2"/>
        <v>0.52359877559829882</v>
      </c>
      <c r="F31" s="182">
        <f t="shared" si="3"/>
        <v>0.49999999999999994</v>
      </c>
    </row>
    <row r="32" spans="1:6" x14ac:dyDescent="0.3">
      <c r="A32" s="184">
        <v>0.31</v>
      </c>
      <c r="B32" s="182">
        <f t="shared" si="0"/>
        <v>0.30060567004239541</v>
      </c>
      <c r="C32" s="182">
        <f t="shared" si="1"/>
        <v>17.223436191131462</v>
      </c>
      <c r="D32">
        <v>31</v>
      </c>
      <c r="E32" s="182">
        <f t="shared" si="2"/>
        <v>0.54105206811824214</v>
      </c>
      <c r="F32" s="182">
        <f t="shared" si="3"/>
        <v>0.51503807491005416</v>
      </c>
    </row>
    <row r="33" spans="1:3" x14ac:dyDescent="0.3">
      <c r="A33" s="184">
        <v>0.32</v>
      </c>
      <c r="B33" s="182">
        <f t="shared" si="0"/>
        <v>0.30970294454245623</v>
      </c>
      <c r="C33" s="182">
        <f t="shared" si="1"/>
        <v>17.744671625056935</v>
      </c>
    </row>
    <row r="34" spans="1:3" x14ac:dyDescent="0.3">
      <c r="A34" s="184">
        <v>0.33</v>
      </c>
      <c r="B34" s="182">
        <f t="shared" si="0"/>
        <v>0.31874756042064445</v>
      </c>
      <c r="C34" s="182">
        <f t="shared" si="1"/>
        <v>18.262889942194128</v>
      </c>
    </row>
    <row r="35" spans="1:3" x14ac:dyDescent="0.3">
      <c r="A35" s="184">
        <v>0.34</v>
      </c>
      <c r="B35" s="182">
        <f t="shared" si="0"/>
        <v>0.32773850678055549</v>
      </c>
      <c r="C35" s="182">
        <f t="shared" si="1"/>
        <v>18.778033222445544</v>
      </c>
    </row>
    <row r="36" spans="1:3" x14ac:dyDescent="0.3">
      <c r="A36" s="184">
        <v>0.35</v>
      </c>
      <c r="B36" s="182">
        <f t="shared" si="0"/>
        <v>0.33667481938672716</v>
      </c>
      <c r="C36" s="182">
        <f t="shared" si="1"/>
        <v>19.290046219188731</v>
      </c>
    </row>
    <row r="37" spans="1:3" x14ac:dyDescent="0.3">
      <c r="A37" s="184">
        <v>0.36</v>
      </c>
      <c r="B37" s="182">
        <f t="shared" si="0"/>
        <v>0.34555558058171215</v>
      </c>
      <c r="C37" s="182">
        <f t="shared" si="1"/>
        <v>19.798876354524928</v>
      </c>
    </row>
    <row r="38" spans="1:3" x14ac:dyDescent="0.3">
      <c r="A38" s="184">
        <v>0.37</v>
      </c>
      <c r="B38" s="182">
        <f t="shared" si="0"/>
        <v>0.3543799191234378</v>
      </c>
      <c r="C38" s="182">
        <f t="shared" si="1"/>
        <v>20.304473709960437</v>
      </c>
    </row>
    <row r="39" spans="1:3" x14ac:dyDescent="0.3">
      <c r="A39" s="184">
        <v>0.38</v>
      </c>
      <c r="B39" s="182">
        <f t="shared" si="0"/>
        <v>0.36314700994617627</v>
      </c>
      <c r="C39" s="182">
        <f t="shared" si="1"/>
        <v>20.806791012711226</v>
      </c>
    </row>
    <row r="40" spans="1:3" x14ac:dyDescent="0.3">
      <c r="A40" s="184">
        <v>0.39</v>
      </c>
      <c r="B40" s="182">
        <f t="shared" si="0"/>
        <v>0.37185607384858127</v>
      </c>
      <c r="C40" s="182">
        <f t="shared" si="1"/>
        <v>21.305783617828769</v>
      </c>
    </row>
    <row r="41" spans="1:3" x14ac:dyDescent="0.3">
      <c r="A41" s="184">
        <v>0.4</v>
      </c>
      <c r="B41" s="182">
        <f t="shared" si="0"/>
        <v>0.3805063771123649</v>
      </c>
      <c r="C41" s="182">
        <f t="shared" si="1"/>
        <v>21.801409486351815</v>
      </c>
    </row>
    <row r="42" spans="1:3" x14ac:dyDescent="0.3">
      <c r="A42" s="184">
        <v>0.41</v>
      </c>
      <c r="B42" s="182">
        <f t="shared" si="0"/>
        <v>0.38909723105527838</v>
      </c>
      <c r="C42" s="182">
        <f t="shared" si="1"/>
        <v>22.293629159694078</v>
      </c>
    </row>
    <row r="43" spans="1:3" x14ac:dyDescent="0.3">
      <c r="A43" s="184">
        <v>0.42</v>
      </c>
      <c r="B43" s="182">
        <f t="shared" si="0"/>
        <v>0.3976279915221293</v>
      </c>
      <c r="C43" s="182">
        <f t="shared" si="1"/>
        <v>22.782405730481685</v>
      </c>
    </row>
    <row r="44" spans="1:3" x14ac:dyDescent="0.3">
      <c r="A44" s="184">
        <v>0.43</v>
      </c>
      <c r="B44" s="182">
        <f t="shared" si="0"/>
        <v>0.40609805831761564</v>
      </c>
      <c r="C44" s="182">
        <f t="shared" si="1"/>
        <v>23.267704810056951</v>
      </c>
    </row>
    <row r="45" spans="1:3" x14ac:dyDescent="0.3">
      <c r="A45" s="184">
        <v>0.44</v>
      </c>
      <c r="B45" s="182">
        <f t="shared" si="0"/>
        <v>0.41450687458478597</v>
      </c>
      <c r="C45" s="182">
        <f t="shared" si="1"/>
        <v>23.749494492866763</v>
      </c>
    </row>
    <row r="46" spans="1:3" x14ac:dyDescent="0.3">
      <c r="A46" s="184">
        <v>0.45</v>
      </c>
      <c r="B46" s="182">
        <f t="shared" si="0"/>
        <v>0.42285392613294071</v>
      </c>
      <c r="C46" s="182">
        <f t="shared" si="1"/>
        <v>24.22774531795417</v>
      </c>
    </row>
    <row r="47" spans="1:3" x14ac:dyDescent="0.3">
      <c r="A47" s="184">
        <v>0.46</v>
      </c>
      <c r="B47" s="182">
        <f t="shared" si="0"/>
        <v>0.43113874071878222</v>
      </c>
      <c r="C47" s="182">
        <f t="shared" si="1"/>
        <v>24.702430227771316</v>
      </c>
    </row>
    <row r="48" spans="1:3" x14ac:dyDescent="0.3">
      <c r="A48" s="184">
        <v>0.47</v>
      </c>
      <c r="B48" s="182">
        <f t="shared" si="0"/>
        <v>0.43936088728459144</v>
      </c>
      <c r="C48" s="182">
        <f t="shared" si="1"/>
        <v>25.173524524530166</v>
      </c>
    </row>
    <row r="49" spans="1:3" x14ac:dyDescent="0.3">
      <c r="A49" s="184">
        <v>0.48</v>
      </c>
      <c r="B49" s="182">
        <f t="shared" si="0"/>
        <v>0.44751997515716985</v>
      </c>
      <c r="C49" s="182">
        <f t="shared" si="1"/>
        <v>25.641005824305282</v>
      </c>
    </row>
    <row r="50" spans="1:3" x14ac:dyDescent="0.3">
      <c r="A50" s="184">
        <v>0.49</v>
      </c>
      <c r="B50" s="182">
        <f t="shared" si="0"/>
        <v>0.45561565321122449</v>
      </c>
      <c r="C50" s="182">
        <f t="shared" si="1"/>
        <v>26.104854009099299</v>
      </c>
    </row>
    <row r="51" spans="1:3" x14ac:dyDescent="0.3">
      <c r="A51" s="184">
        <v>0.5</v>
      </c>
      <c r="B51" s="182">
        <f t="shared" si="0"/>
        <v>0.46364760900080609</v>
      </c>
      <c r="C51" s="182">
        <f t="shared" si="1"/>
        <v>26.565051177077986</v>
      </c>
    </row>
    <row r="52" spans="1:3" x14ac:dyDescent="0.3">
      <c r="A52" s="184">
        <v>0.51</v>
      </c>
      <c r="B52" s="182">
        <f t="shared" si="0"/>
        <v>0.47161556786232767</v>
      </c>
      <c r="C52" s="182">
        <f t="shared" si="1"/>
        <v>27.021581591177039</v>
      </c>
    </row>
    <row r="53" spans="1:3" x14ac:dyDescent="0.3">
      <c r="A53" s="184">
        <v>0.52</v>
      </c>
      <c r="B53" s="182">
        <f t="shared" si="0"/>
        <v>0.47951929199259619</v>
      </c>
      <c r="C53" s="182">
        <f t="shared" si="1"/>
        <v>27.474431626277131</v>
      </c>
    </row>
    <row r="54" spans="1:3" x14ac:dyDescent="0.3">
      <c r="A54" s="184">
        <v>0.53</v>
      </c>
      <c r="B54" s="182">
        <f t="shared" si="0"/>
        <v>0.48735857950519029</v>
      </c>
      <c r="C54" s="182">
        <f t="shared" si="1"/>
        <v>27.923589715138384</v>
      </c>
    </row>
    <row r="55" spans="1:3" x14ac:dyDescent="0.3">
      <c r="A55" s="184">
        <v>0.54</v>
      </c>
      <c r="B55" s="182">
        <f t="shared" si="0"/>
        <v>0.49513326346840414</v>
      </c>
      <c r="C55" s="182">
        <f t="shared" si="1"/>
        <v>28.369046293278579</v>
      </c>
    </row>
    <row r="56" spans="1:3" x14ac:dyDescent="0.3">
      <c r="A56" s="184">
        <v>0.55000000000000004</v>
      </c>
      <c r="B56" s="182">
        <f t="shared" si="0"/>
        <v>0.50284321092786088</v>
      </c>
      <c r="C56" s="182">
        <f t="shared" si="1"/>
        <v>28.810793742973065</v>
      </c>
    </row>
    <row r="57" spans="1:3" x14ac:dyDescent="0.3">
      <c r="A57" s="184">
        <v>0.56000000000000005</v>
      </c>
      <c r="B57" s="182">
        <f t="shared" si="0"/>
        <v>0.51048832191677584</v>
      </c>
      <c r="C57" s="182">
        <f t="shared" si="1"/>
        <v>29.24882633654698</v>
      </c>
    </row>
    <row r="58" spans="1:3" x14ac:dyDescent="0.3">
      <c r="A58" s="184">
        <v>0.56999999999999995</v>
      </c>
      <c r="B58" s="182">
        <f t="shared" si="0"/>
        <v>0.51806852845672091</v>
      </c>
      <c r="C58" s="182">
        <f t="shared" si="1"/>
        <v>29.683140179123296</v>
      </c>
    </row>
    <row r="59" spans="1:3" x14ac:dyDescent="0.3">
      <c r="A59" s="184">
        <v>0.57999999999999996</v>
      </c>
      <c r="B59" s="182">
        <f t="shared" si="0"/>
        <v>0.52558379355161022</v>
      </c>
      <c r="C59" s="182">
        <f t="shared" si="1"/>
        <v>30.113733150982437</v>
      </c>
    </row>
    <row r="60" spans="1:3" x14ac:dyDescent="0.3">
      <c r="A60" s="184">
        <v>0.59</v>
      </c>
      <c r="B60" s="182">
        <f t="shared" si="0"/>
        <v>0.53303411017749003</v>
      </c>
      <c r="C60" s="182">
        <f t="shared" si="1"/>
        <v>30.5406048496815</v>
      </c>
    </row>
    <row r="61" spans="1:3" x14ac:dyDescent="0.3">
      <c r="A61" s="184">
        <v>0.6</v>
      </c>
      <c r="B61" s="182">
        <f t="shared" si="0"/>
        <v>0.54041950027058416</v>
      </c>
      <c r="C61" s="182">
        <f t="shared" si="1"/>
        <v>30.963756532073525</v>
      </c>
    </row>
    <row r="62" spans="1:3" x14ac:dyDescent="0.3">
      <c r="A62" s="184">
        <v>0.61</v>
      </c>
      <c r="B62" s="182">
        <f t="shared" si="0"/>
        <v>0.54774001371590242</v>
      </c>
      <c r="C62" s="182">
        <f t="shared" si="1"/>
        <v>31.383191056359035</v>
      </c>
    </row>
    <row r="63" spans="1:3" x14ac:dyDescent="0.3">
      <c r="A63" s="184">
        <v>0.62</v>
      </c>
      <c r="B63" s="182">
        <f t="shared" si="0"/>
        <v>0.55499572733858671</v>
      </c>
      <c r="C63" s="182">
        <f t="shared" si="1"/>
        <v>31.798912824294419</v>
      </c>
    </row>
    <row r="64" spans="1:3" x14ac:dyDescent="0.3">
      <c r="A64" s="184">
        <v>0.63</v>
      </c>
      <c r="B64" s="182">
        <f t="shared" si="0"/>
        <v>0.56218674390002921</v>
      </c>
      <c r="C64" s="182">
        <f t="shared" si="1"/>
        <v>32.210927723673748</v>
      </c>
    </row>
    <row r="65" spans="1:3" x14ac:dyDescent="0.3">
      <c r="A65" s="184">
        <v>0.64</v>
      </c>
      <c r="B65" s="182">
        <f t="shared" si="0"/>
        <v>0.56931319110066192</v>
      </c>
      <c r="C65" s="182">
        <f t="shared" si="1"/>
        <v>32.619243071192827</v>
      </c>
    </row>
    <row r="66" spans="1:3" x14ac:dyDescent="0.3">
      <c r="A66" s="184">
        <v>0.65</v>
      </c>
      <c r="B66" s="182">
        <f t="shared" si="0"/>
        <v>0.57637522059118373</v>
      </c>
      <c r="C66" s="182">
        <f t="shared" si="1"/>
        <v>33.023867555796649</v>
      </c>
    </row>
    <row r="67" spans="1:3" x14ac:dyDescent="0.3">
      <c r="A67" s="184">
        <v>0.66</v>
      </c>
      <c r="B67" s="182">
        <f t="shared" ref="B67:B101" si="4">ATAN(A67)</f>
        <v>0.58337300699385597</v>
      </c>
      <c r="C67" s="182">
        <f t="shared" ref="C67:C101" si="5">B67/PI()*180</f>
        <v>33.424811182603804</v>
      </c>
    </row>
    <row r="68" spans="1:3" x14ac:dyDescent="0.3">
      <c r="A68" s="184">
        <v>0.67</v>
      </c>
      <c r="B68" s="182">
        <f t="shared" si="4"/>
        <v>0.590306746935372</v>
      </c>
      <c r="C68" s="182">
        <f t="shared" si="5"/>
        <v>33.822085217493957</v>
      </c>
    </row>
    <row r="69" spans="1:3" x14ac:dyDescent="0.3">
      <c r="A69" s="184">
        <v>0.68</v>
      </c>
      <c r="B69" s="182">
        <f t="shared" si="4"/>
        <v>0.59717665809267761</v>
      </c>
      <c r="C69" s="182">
        <f t="shared" si="5"/>
        <v>34.215702132437407</v>
      </c>
    </row>
    <row r="70" spans="1:3" x14ac:dyDescent="0.3">
      <c r="A70" s="184">
        <v>0.69</v>
      </c>
      <c r="B70" s="182">
        <f t="shared" si="4"/>
        <v>0.60398297825299785</v>
      </c>
      <c r="C70" s="182">
        <f t="shared" si="5"/>
        <v>34.605675551638562</v>
      </c>
    </row>
    <row r="71" spans="1:3" x14ac:dyDescent="0.3">
      <c r="A71" s="184">
        <v>0.7</v>
      </c>
      <c r="B71" s="182">
        <f t="shared" si="4"/>
        <v>0.61072596438920856</v>
      </c>
      <c r="C71" s="182">
        <f t="shared" si="5"/>
        <v>34.992020198558656</v>
      </c>
    </row>
    <row r="72" spans="1:3" x14ac:dyDescent="0.3">
      <c r="A72" s="184">
        <v>0.71</v>
      </c>
      <c r="B72" s="182">
        <f t="shared" si="4"/>
        <v>0.61740589175157268</v>
      </c>
      <c r="C72" s="182">
        <f t="shared" si="5"/>
        <v>35.374751843876076</v>
      </c>
    </row>
    <row r="73" spans="1:3" x14ac:dyDescent="0.3">
      <c r="A73" s="184">
        <v>0.72</v>
      </c>
      <c r="B73" s="182">
        <f t="shared" si="4"/>
        <v>0.62402305297675686</v>
      </c>
      <c r="C73" s="182">
        <f t="shared" si="5"/>
        <v>35.753887254436755</v>
      </c>
    </row>
    <row r="74" spans="1:3" x14ac:dyDescent="0.3">
      <c r="A74" s="184">
        <v>0.73</v>
      </c>
      <c r="B74" s="182">
        <f t="shared" si="4"/>
        <v>0.63057775721493481</v>
      </c>
      <c r="C74" s="182">
        <f t="shared" si="5"/>
        <v>36.12944414324086</v>
      </c>
    </row>
    <row r="75" spans="1:3" x14ac:dyDescent="0.3">
      <c r="A75" s="184">
        <v>0.74</v>
      </c>
      <c r="B75" s="182">
        <f t="shared" si="4"/>
        <v>0.63707032927568352</v>
      </c>
      <c r="C75" s="182">
        <f t="shared" si="5"/>
        <v>36.501441120506321</v>
      </c>
    </row>
    <row r="76" spans="1:3" x14ac:dyDescent="0.3">
      <c r="A76" s="184">
        <v>0.75</v>
      </c>
      <c r="B76" s="182">
        <f t="shared" si="4"/>
        <v>0.64350110879328437</v>
      </c>
      <c r="C76" s="182">
        <f t="shared" si="5"/>
        <v>36.86989764584402</v>
      </c>
    </row>
    <row r="77" spans="1:3" x14ac:dyDescent="0.3">
      <c r="A77" s="184">
        <v>0.76</v>
      </c>
      <c r="B77" s="182">
        <f t="shared" si="4"/>
        <v>0.6498704494119476</v>
      </c>
      <c r="C77" s="182">
        <f t="shared" si="5"/>
        <v>37.234833981574674</v>
      </c>
    </row>
    <row r="78" spans="1:3" x14ac:dyDescent="0.3">
      <c r="A78" s="184">
        <v>0.77</v>
      </c>
      <c r="B78" s="182">
        <f t="shared" si="4"/>
        <v>0.65617871799139493</v>
      </c>
      <c r="C78" s="182">
        <f t="shared" si="5"/>
        <v>37.596271147211986</v>
      </c>
    </row>
    <row r="79" spans="1:3" x14ac:dyDescent="0.3">
      <c r="A79" s="184">
        <v>0.78</v>
      </c>
      <c r="B79" s="182">
        <f t="shared" si="4"/>
        <v>0.66242629383315121</v>
      </c>
      <c r="C79" s="182">
        <f t="shared" si="5"/>
        <v>37.954230875132517</v>
      </c>
    </row>
    <row r="80" spans="1:3" x14ac:dyDescent="0.3">
      <c r="A80" s="184">
        <v>0.79</v>
      </c>
      <c r="B80" s="182">
        <f t="shared" si="4"/>
        <v>0.6686135679278209</v>
      </c>
      <c r="C80" s="182">
        <f t="shared" si="5"/>
        <v>38.308735567447712</v>
      </c>
    </row>
    <row r="81" spans="1:3" x14ac:dyDescent="0.3">
      <c r="A81" s="184">
        <v>0.8</v>
      </c>
      <c r="B81" s="182">
        <f t="shared" si="4"/>
        <v>0.67474094222355274</v>
      </c>
      <c r="C81" s="182">
        <f t="shared" si="5"/>
        <v>38.659808254090095</v>
      </c>
    </row>
    <row r="82" spans="1:3" x14ac:dyDescent="0.3">
      <c r="A82" s="184">
        <v>0.81</v>
      </c>
      <c r="B82" s="182">
        <f t="shared" si="4"/>
        <v>0.68080882891582761</v>
      </c>
      <c r="C82" s="182">
        <f t="shared" si="5"/>
        <v>39.007472552121044</v>
      </c>
    </row>
    <row r="83" spans="1:3" x14ac:dyDescent="0.3">
      <c r="A83" s="184">
        <v>0.82</v>
      </c>
      <c r="B83" s="182">
        <f t="shared" si="4"/>
        <v>0.68681764975864523</v>
      </c>
      <c r="C83" s="182">
        <f t="shared" si="5"/>
        <v>39.351752626264741</v>
      </c>
    </row>
    <row r="84" spans="1:3" x14ac:dyDescent="0.3">
      <c r="A84" s="184">
        <v>0.83</v>
      </c>
      <c r="B84" s="182">
        <f t="shared" si="4"/>
        <v>0.69276783539712217</v>
      </c>
      <c r="C84" s="182">
        <f t="shared" si="5"/>
        <v>39.692673150668817</v>
      </c>
    </row>
    <row r="85" spans="1:3" x14ac:dyDescent="0.3">
      <c r="A85" s="184">
        <v>0.84</v>
      </c>
      <c r="B85" s="182">
        <f t="shared" si="4"/>
        <v>0.69865982472146315</v>
      </c>
      <c r="C85" s="182">
        <f t="shared" si="5"/>
        <v>40.030259271889697</v>
      </c>
    </row>
    <row r="86" spans="1:3" x14ac:dyDescent="0.3">
      <c r="A86" s="184">
        <v>0.85</v>
      </c>
      <c r="B86" s="182">
        <f t="shared" si="4"/>
        <v>0.70449406424221772</v>
      </c>
      <c r="C86" s="182">
        <f t="shared" si="5"/>
        <v>40.364536573097361</v>
      </c>
    </row>
    <row r="87" spans="1:3" x14ac:dyDescent="0.3">
      <c r="A87" s="184">
        <v>0.86</v>
      </c>
      <c r="B87" s="182">
        <f t="shared" si="4"/>
        <v>0.71027100748668626</v>
      </c>
      <c r="C87" s="182">
        <f t="shared" si="5"/>
        <v>40.695531039492018</v>
      </c>
    </row>
    <row r="88" spans="1:3" x14ac:dyDescent="0.3">
      <c r="A88" s="184">
        <v>0.87</v>
      </c>
      <c r="B88" s="182">
        <f t="shared" si="4"/>
        <v>0.71599111441630015</v>
      </c>
      <c r="C88" s="182">
        <f t="shared" si="5"/>
        <v>41.023269024922428</v>
      </c>
    </row>
    <row r="89" spans="1:3" x14ac:dyDescent="0.3">
      <c r="A89" s="184">
        <v>0.88</v>
      </c>
      <c r="B89" s="182">
        <f t="shared" si="4"/>
        <v>0.72165485086476122</v>
      </c>
      <c r="C89" s="182">
        <f t="shared" si="5"/>
        <v>41.347777219693661</v>
      </c>
    </row>
    <row r="90" spans="1:3" x14ac:dyDescent="0.3">
      <c r="A90" s="184">
        <v>0.89</v>
      </c>
      <c r="B90" s="182">
        <f t="shared" si="4"/>
        <v>0.72726268799669036</v>
      </c>
      <c r="C90" s="182">
        <f t="shared" si="5"/>
        <v>41.669082619549954</v>
      </c>
    </row>
    <row r="91" spans="1:3" x14ac:dyDescent="0.3">
      <c r="A91" s="184">
        <v>0.9</v>
      </c>
      <c r="B91" s="182">
        <f t="shared" si="4"/>
        <v>0.73281510178650655</v>
      </c>
      <c r="C91" s="182">
        <f t="shared" si="5"/>
        <v>41.987212495816657</v>
      </c>
    </row>
    <row r="92" spans="1:3" x14ac:dyDescent="0.3">
      <c r="A92" s="184">
        <v>0.91</v>
      </c>
      <c r="B92" s="182">
        <f t="shared" si="4"/>
        <v>0.73831257251722804</v>
      </c>
      <c r="C92" s="182">
        <f t="shared" si="5"/>
        <v>42.3021943666837</v>
      </c>
    </row>
    <row r="93" spans="1:3" x14ac:dyDescent="0.3">
      <c r="A93" s="184">
        <v>0.92</v>
      </c>
      <c r="B93" s="182">
        <f t="shared" si="4"/>
        <v>0.74375558429885991</v>
      </c>
      <c r="C93" s="182">
        <f t="shared" si="5"/>
        <v>42.614055969611194</v>
      </c>
    </row>
    <row r="94" spans="1:3" x14ac:dyDescent="0.3">
      <c r="A94" s="184">
        <v>0.93</v>
      </c>
      <c r="B94" s="182">
        <f t="shared" si="4"/>
        <v>0.74914462460601727</v>
      </c>
      <c r="C94" s="182">
        <f t="shared" si="5"/>
        <v>42.922825234837191</v>
      </c>
    </row>
    <row r="95" spans="1:3" x14ac:dyDescent="0.3">
      <c r="A95" s="184">
        <v>0.94</v>
      </c>
      <c r="B95" s="182">
        <f t="shared" si="4"/>
        <v>0.75448018383440563</v>
      </c>
      <c r="C95" s="182">
        <f t="shared" si="5"/>
        <v>43.228530259965922</v>
      </c>
    </row>
    <row r="96" spans="1:3" x14ac:dyDescent="0.3">
      <c r="A96" s="184">
        <v>0.95</v>
      </c>
      <c r="B96" s="182">
        <f t="shared" si="4"/>
        <v>0.75976275487577083</v>
      </c>
      <c r="C96" s="182">
        <f t="shared" si="5"/>
        <v>43.531199285614179</v>
      </c>
    </row>
    <row r="97" spans="1:3" x14ac:dyDescent="0.3">
      <c r="A97" s="184">
        <v>0.96</v>
      </c>
      <c r="B97" s="182">
        <f t="shared" si="4"/>
        <v>0.76499283271091023</v>
      </c>
      <c r="C97" s="182">
        <f t="shared" si="5"/>
        <v>43.830860672092584</v>
      </c>
    </row>
    <row r="98" spans="1:3" x14ac:dyDescent="0.3">
      <c r="A98" s="184">
        <v>0.97</v>
      </c>
      <c r="B98" s="182">
        <f t="shared" si="4"/>
        <v>0.770170914020331</v>
      </c>
      <c r="C98" s="182">
        <f t="shared" si="5"/>
        <v>44.127542877097966</v>
      </c>
    </row>
    <row r="99" spans="1:3" x14ac:dyDescent="0.3">
      <c r="A99" s="184">
        <v>0.98</v>
      </c>
      <c r="B99" s="182">
        <f t="shared" si="4"/>
        <v>0.77529749681212634</v>
      </c>
      <c r="C99" s="182">
        <f t="shared" si="5"/>
        <v>44.421274434392238</v>
      </c>
    </row>
    <row r="100" spans="1:3" x14ac:dyDescent="0.3">
      <c r="A100" s="184">
        <v>0.99</v>
      </c>
      <c r="B100" s="182">
        <f t="shared" si="4"/>
        <v>0.78037308006663586</v>
      </c>
      <c r="C100" s="182">
        <f t="shared" si="5"/>
        <v>44.712083933442905</v>
      </c>
    </row>
    <row r="101" spans="1:3" x14ac:dyDescent="0.3">
      <c r="A101" s="184">
        <v>1</v>
      </c>
      <c r="B101" s="182">
        <f t="shared" si="4"/>
        <v>0.78539816339744828</v>
      </c>
      <c r="C101" s="182">
        <f t="shared" si="5"/>
        <v>45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1"/>
  <dimension ref="A1:P21"/>
  <sheetViews>
    <sheetView workbookViewId="0">
      <selection activeCell="M35" sqref="M35"/>
    </sheetView>
  </sheetViews>
  <sheetFormatPr baseColWidth="10" defaultRowHeight="14.4" x14ac:dyDescent="0.3"/>
  <cols>
    <col min="1" max="1" width="5" bestFit="1" customWidth="1"/>
    <col min="2" max="9" width="7.33203125" bestFit="1" customWidth="1"/>
    <col min="10" max="10" width="10.88671875" bestFit="1" customWidth="1"/>
    <col min="11" max="11" width="8.109375" bestFit="1" customWidth="1"/>
    <col min="12" max="12" width="10.44140625" bestFit="1" customWidth="1"/>
    <col min="13" max="13" width="10.109375" bestFit="1" customWidth="1"/>
    <col min="14" max="14" width="4" bestFit="1" customWidth="1"/>
    <col min="15" max="15" width="5" bestFit="1" customWidth="1"/>
    <col min="16" max="16" width="4" bestFit="1" customWidth="1"/>
  </cols>
  <sheetData>
    <row r="1" spans="1:16" x14ac:dyDescent="0.3">
      <c r="A1">
        <v>2008</v>
      </c>
      <c r="B1" t="s">
        <v>415</v>
      </c>
      <c r="C1" t="s">
        <v>416</v>
      </c>
      <c r="D1" t="s">
        <v>417</v>
      </c>
      <c r="E1" t="s">
        <v>418</v>
      </c>
      <c r="F1" t="s">
        <v>419</v>
      </c>
      <c r="G1" t="s">
        <v>420</v>
      </c>
      <c r="H1" t="s">
        <v>421</v>
      </c>
      <c r="I1" t="s">
        <v>422</v>
      </c>
      <c r="J1" t="s">
        <v>423</v>
      </c>
      <c r="K1" t="s">
        <v>424</v>
      </c>
      <c r="L1" t="s">
        <v>425</v>
      </c>
      <c r="M1" t="s">
        <v>426</v>
      </c>
    </row>
    <row r="2" spans="1:16" x14ac:dyDescent="0.3">
      <c r="A2">
        <v>2009</v>
      </c>
      <c r="B2" t="s">
        <v>427</v>
      </c>
      <c r="C2" t="s">
        <v>427</v>
      </c>
      <c r="D2" t="s">
        <v>427</v>
      </c>
      <c r="E2" t="s">
        <v>427</v>
      </c>
      <c r="F2" t="s">
        <v>427</v>
      </c>
      <c r="G2" t="s">
        <v>427</v>
      </c>
      <c r="H2" t="s">
        <v>427</v>
      </c>
      <c r="I2" t="s">
        <v>427</v>
      </c>
      <c r="J2" t="s">
        <v>427</v>
      </c>
      <c r="K2" t="s">
        <v>427</v>
      </c>
      <c r="L2" t="s">
        <v>427</v>
      </c>
      <c r="M2" t="s">
        <v>427</v>
      </c>
      <c r="N2">
        <v>200</v>
      </c>
      <c r="O2">
        <f>SUM(N$2:N2)</f>
        <v>200</v>
      </c>
      <c r="P2" s="33">
        <f>O2/(A2-A$1)</f>
        <v>200</v>
      </c>
    </row>
    <row r="3" spans="1:16" x14ac:dyDescent="0.3">
      <c r="A3">
        <v>2010</v>
      </c>
      <c r="B3" t="s">
        <v>427</v>
      </c>
      <c r="C3" t="s">
        <v>427</v>
      </c>
      <c r="D3" t="s">
        <v>427</v>
      </c>
      <c r="E3" t="s">
        <v>427</v>
      </c>
      <c r="F3" t="s">
        <v>427</v>
      </c>
      <c r="G3" t="s">
        <v>427</v>
      </c>
      <c r="H3" t="s">
        <v>427</v>
      </c>
      <c r="I3" t="s">
        <v>427</v>
      </c>
      <c r="J3" t="s">
        <v>427</v>
      </c>
      <c r="K3" t="s">
        <v>427</v>
      </c>
      <c r="L3" t="s">
        <v>427</v>
      </c>
      <c r="M3" t="s">
        <v>427</v>
      </c>
      <c r="O3">
        <f>SUM(N$2:N3)</f>
        <v>200</v>
      </c>
      <c r="P3" s="33">
        <f t="shared" ref="P3:P17" si="0">O3/(A3-A$1)</f>
        <v>100</v>
      </c>
    </row>
    <row r="4" spans="1:16" x14ac:dyDescent="0.3">
      <c r="A4">
        <v>2011</v>
      </c>
      <c r="B4" t="s">
        <v>427</v>
      </c>
      <c r="C4" t="s">
        <v>427</v>
      </c>
      <c r="D4" t="s">
        <v>427</v>
      </c>
      <c r="E4" t="s">
        <v>427</v>
      </c>
      <c r="F4" t="s">
        <v>427</v>
      </c>
      <c r="G4" t="s">
        <v>427</v>
      </c>
      <c r="H4" t="s">
        <v>427</v>
      </c>
      <c r="I4" t="s">
        <v>427</v>
      </c>
      <c r="J4" t="s">
        <v>427</v>
      </c>
      <c r="K4" t="s">
        <v>427</v>
      </c>
      <c r="L4" t="s">
        <v>427</v>
      </c>
      <c r="M4" t="s">
        <v>427</v>
      </c>
      <c r="O4">
        <f>SUM(N$2:N4)</f>
        <v>200</v>
      </c>
      <c r="P4" s="33">
        <f t="shared" si="0"/>
        <v>66.666666666666671</v>
      </c>
    </row>
    <row r="5" spans="1:16" x14ac:dyDescent="0.3">
      <c r="A5">
        <v>2012</v>
      </c>
      <c r="B5" t="s">
        <v>427</v>
      </c>
      <c r="C5" t="s">
        <v>427</v>
      </c>
      <c r="D5" t="s">
        <v>427</v>
      </c>
      <c r="E5" t="s">
        <v>427</v>
      </c>
      <c r="F5" t="s">
        <v>427</v>
      </c>
      <c r="G5" t="s">
        <v>427</v>
      </c>
      <c r="H5" t="s">
        <v>427</v>
      </c>
      <c r="I5" t="s">
        <v>427</v>
      </c>
      <c r="J5" t="s">
        <v>427</v>
      </c>
      <c r="K5" t="s">
        <v>427</v>
      </c>
      <c r="L5" t="s">
        <v>427</v>
      </c>
      <c r="M5" t="s">
        <v>427</v>
      </c>
      <c r="O5">
        <f>SUM(N$2:N5)</f>
        <v>200</v>
      </c>
      <c r="P5" s="33">
        <f t="shared" si="0"/>
        <v>50</v>
      </c>
    </row>
    <row r="6" spans="1:16" x14ac:dyDescent="0.3">
      <c r="A6">
        <v>2013</v>
      </c>
      <c r="B6" t="s">
        <v>427</v>
      </c>
      <c r="C6" t="s">
        <v>427</v>
      </c>
      <c r="D6" t="s">
        <v>427</v>
      </c>
      <c r="E6" t="s">
        <v>427</v>
      </c>
      <c r="F6" t="s">
        <v>427</v>
      </c>
      <c r="G6" t="s">
        <v>427</v>
      </c>
      <c r="H6" t="s">
        <v>427</v>
      </c>
      <c r="I6" t="s">
        <v>427</v>
      </c>
      <c r="J6" t="s">
        <v>427</v>
      </c>
      <c r="K6" t="s">
        <v>427</v>
      </c>
      <c r="L6" t="s">
        <v>427</v>
      </c>
      <c r="M6" t="s">
        <v>427</v>
      </c>
      <c r="O6">
        <f>SUM(N$2:N6)</f>
        <v>200</v>
      </c>
      <c r="P6" s="33">
        <f t="shared" si="0"/>
        <v>40</v>
      </c>
    </row>
    <row r="7" spans="1:16" x14ac:dyDescent="0.3">
      <c r="A7">
        <v>2014</v>
      </c>
      <c r="B7" t="s">
        <v>427</v>
      </c>
      <c r="C7" t="s">
        <v>427</v>
      </c>
      <c r="D7" t="s">
        <v>427</v>
      </c>
      <c r="E7" t="s">
        <v>427</v>
      </c>
      <c r="F7" t="s">
        <v>427</v>
      </c>
      <c r="G7" t="s">
        <v>427</v>
      </c>
      <c r="H7" t="s">
        <v>427</v>
      </c>
      <c r="I7" t="s">
        <v>427</v>
      </c>
      <c r="J7" t="s">
        <v>427</v>
      </c>
      <c r="K7" t="s">
        <v>427</v>
      </c>
      <c r="L7" t="s">
        <v>427</v>
      </c>
      <c r="M7" t="s">
        <v>427</v>
      </c>
      <c r="O7">
        <f>SUM(N$2:N7)</f>
        <v>200</v>
      </c>
      <c r="P7" s="33">
        <f t="shared" si="0"/>
        <v>33.333333333333336</v>
      </c>
    </row>
    <row r="8" spans="1:16" x14ac:dyDescent="0.3">
      <c r="A8">
        <v>2015</v>
      </c>
      <c r="B8" t="s">
        <v>427</v>
      </c>
      <c r="C8" t="s">
        <v>427</v>
      </c>
      <c r="D8" t="s">
        <v>430</v>
      </c>
      <c r="E8" t="s">
        <v>430</v>
      </c>
      <c r="F8" t="s">
        <v>430</v>
      </c>
      <c r="G8" t="s">
        <v>430</v>
      </c>
      <c r="H8" t="s">
        <v>430</v>
      </c>
      <c r="I8" t="s">
        <v>430</v>
      </c>
      <c r="J8" t="s">
        <v>430</v>
      </c>
      <c r="K8" t="s">
        <v>430</v>
      </c>
      <c r="L8" t="s">
        <v>430</v>
      </c>
      <c r="M8" t="s">
        <v>430</v>
      </c>
      <c r="N8">
        <v>170</v>
      </c>
      <c r="O8">
        <f>SUM(N$2:N8)</f>
        <v>370</v>
      </c>
      <c r="P8" s="33">
        <f t="shared" si="0"/>
        <v>52.857142857142854</v>
      </c>
    </row>
    <row r="9" spans="1:16" x14ac:dyDescent="0.3">
      <c r="A9">
        <v>2016</v>
      </c>
      <c r="B9" t="s">
        <v>430</v>
      </c>
      <c r="C9" t="s">
        <v>430</v>
      </c>
      <c r="D9" t="s">
        <v>430</v>
      </c>
      <c r="E9" t="s">
        <v>430</v>
      </c>
      <c r="F9" t="s">
        <v>430</v>
      </c>
      <c r="G9" t="s">
        <v>430</v>
      </c>
      <c r="H9" t="s">
        <v>430</v>
      </c>
      <c r="I9" t="s">
        <v>430</v>
      </c>
      <c r="J9" t="s">
        <v>430</v>
      </c>
      <c r="K9" t="s">
        <v>428</v>
      </c>
      <c r="L9" t="s">
        <v>429</v>
      </c>
      <c r="M9" t="s">
        <v>429</v>
      </c>
      <c r="N9">
        <f>220+40</f>
        <v>260</v>
      </c>
      <c r="O9">
        <f>SUM(N$2:N9)</f>
        <v>630</v>
      </c>
      <c r="P9" s="33">
        <f t="shared" si="0"/>
        <v>78.75</v>
      </c>
    </row>
    <row r="10" spans="1:16" x14ac:dyDescent="0.3">
      <c r="A10">
        <v>2017</v>
      </c>
      <c r="B10" t="s">
        <v>429</v>
      </c>
      <c r="C10" t="s">
        <v>429</v>
      </c>
      <c r="D10" t="s">
        <v>429</v>
      </c>
      <c r="E10" t="s">
        <v>429</v>
      </c>
      <c r="F10" t="s">
        <v>429</v>
      </c>
      <c r="G10" t="s">
        <v>429</v>
      </c>
      <c r="H10" t="s">
        <v>429</v>
      </c>
      <c r="I10" t="s">
        <v>429</v>
      </c>
      <c r="J10" t="s">
        <v>429</v>
      </c>
      <c r="K10" t="s">
        <v>429</v>
      </c>
      <c r="L10" t="s">
        <v>431</v>
      </c>
      <c r="M10" t="s">
        <v>431</v>
      </c>
      <c r="N10">
        <f>220+60</f>
        <v>280</v>
      </c>
      <c r="O10">
        <f>SUM(N$2:N10)</f>
        <v>910</v>
      </c>
      <c r="P10" s="33">
        <f t="shared" si="0"/>
        <v>101.11111111111111</v>
      </c>
    </row>
    <row r="11" spans="1:16" x14ac:dyDescent="0.3">
      <c r="A11">
        <v>2018</v>
      </c>
      <c r="B11" t="s">
        <v>431</v>
      </c>
      <c r="C11" t="s">
        <v>431</v>
      </c>
      <c r="D11" t="s">
        <v>431</v>
      </c>
      <c r="E11" t="s">
        <v>431</v>
      </c>
      <c r="F11" t="s">
        <v>431</v>
      </c>
      <c r="G11" t="s">
        <v>431</v>
      </c>
      <c r="H11" t="s">
        <v>431</v>
      </c>
      <c r="I11" t="s">
        <v>431</v>
      </c>
      <c r="J11" t="s">
        <v>427</v>
      </c>
      <c r="K11" t="s">
        <v>427</v>
      </c>
      <c r="L11" t="s">
        <v>427</v>
      </c>
      <c r="M11" t="s">
        <v>427</v>
      </c>
      <c r="N11">
        <v>600</v>
      </c>
      <c r="O11">
        <f>SUM(N$2:N11)</f>
        <v>1510</v>
      </c>
      <c r="P11" s="33">
        <f t="shared" si="0"/>
        <v>151</v>
      </c>
    </row>
    <row r="12" spans="1:16" x14ac:dyDescent="0.3">
      <c r="A12">
        <v>2019</v>
      </c>
      <c r="B12" t="s">
        <v>427</v>
      </c>
      <c r="C12" t="s">
        <v>427</v>
      </c>
      <c r="D12" t="s">
        <v>427</v>
      </c>
      <c r="E12" t="s">
        <v>427</v>
      </c>
      <c r="F12" t="s">
        <v>427</v>
      </c>
      <c r="G12" t="s">
        <v>427</v>
      </c>
      <c r="H12" t="s">
        <v>427</v>
      </c>
      <c r="I12" t="s">
        <v>427</v>
      </c>
      <c r="J12" t="s">
        <v>427</v>
      </c>
      <c r="K12" t="s">
        <v>427</v>
      </c>
      <c r="L12" t="s">
        <v>427</v>
      </c>
      <c r="M12" t="s">
        <v>427</v>
      </c>
      <c r="O12">
        <f>SUM(N$2:N12)</f>
        <v>1510</v>
      </c>
      <c r="P12" s="33">
        <f t="shared" si="0"/>
        <v>137.27272727272728</v>
      </c>
    </row>
    <row r="13" spans="1:16" x14ac:dyDescent="0.3">
      <c r="A13">
        <v>2020</v>
      </c>
      <c r="B13" t="s">
        <v>427</v>
      </c>
      <c r="C13" t="s">
        <v>427</v>
      </c>
      <c r="D13" t="s">
        <v>427</v>
      </c>
      <c r="E13" t="s">
        <v>427</v>
      </c>
      <c r="F13" t="s">
        <v>427</v>
      </c>
      <c r="G13" t="s">
        <v>427</v>
      </c>
      <c r="H13" t="s">
        <v>427</v>
      </c>
      <c r="I13" t="s">
        <v>427</v>
      </c>
      <c r="J13" t="s">
        <v>427</v>
      </c>
      <c r="K13" t="s">
        <v>427</v>
      </c>
      <c r="L13" t="s">
        <v>427</v>
      </c>
      <c r="M13" t="s">
        <v>427</v>
      </c>
      <c r="O13">
        <f>SUM(N$2:N13)</f>
        <v>1510</v>
      </c>
      <c r="P13" s="33">
        <f t="shared" si="0"/>
        <v>125.83333333333333</v>
      </c>
    </row>
    <row r="14" spans="1:16" x14ac:dyDescent="0.3">
      <c r="A14">
        <v>2021</v>
      </c>
      <c r="B14" t="s">
        <v>427</v>
      </c>
      <c r="C14" t="s">
        <v>427</v>
      </c>
      <c r="D14" t="s">
        <v>427</v>
      </c>
      <c r="E14" t="s">
        <v>427</v>
      </c>
      <c r="F14" t="s">
        <v>427</v>
      </c>
      <c r="G14" t="s">
        <v>427</v>
      </c>
      <c r="H14" t="s">
        <v>427</v>
      </c>
      <c r="I14" t="s">
        <v>427</v>
      </c>
      <c r="J14" t="s">
        <v>427</v>
      </c>
      <c r="K14" t="s">
        <v>427</v>
      </c>
      <c r="L14" t="s">
        <v>427</v>
      </c>
      <c r="M14" t="s">
        <v>427</v>
      </c>
      <c r="O14">
        <f>SUM(N$2:N14)</f>
        <v>1510</v>
      </c>
      <c r="P14" s="33">
        <f t="shared" si="0"/>
        <v>116.15384615384616</v>
      </c>
    </row>
    <row r="15" spans="1:16" x14ac:dyDescent="0.3">
      <c r="A15">
        <v>2022</v>
      </c>
      <c r="B15" t="s">
        <v>427</v>
      </c>
      <c r="C15" t="s">
        <v>427</v>
      </c>
      <c r="D15" t="s">
        <v>427</v>
      </c>
      <c r="E15" t="s">
        <v>427</v>
      </c>
      <c r="F15" t="s">
        <v>427</v>
      </c>
      <c r="G15" t="s">
        <v>427</v>
      </c>
      <c r="H15" t="s">
        <v>427</v>
      </c>
      <c r="I15" t="s">
        <v>427</v>
      </c>
      <c r="J15" t="s">
        <v>427</v>
      </c>
      <c r="K15" t="s">
        <v>427</v>
      </c>
      <c r="L15" t="s">
        <v>427</v>
      </c>
      <c r="M15" t="s">
        <v>427</v>
      </c>
      <c r="O15">
        <f>SUM(N$2:N15)</f>
        <v>1510</v>
      </c>
      <c r="P15" s="33">
        <f t="shared" si="0"/>
        <v>107.85714285714286</v>
      </c>
    </row>
    <row r="16" spans="1:16" x14ac:dyDescent="0.3">
      <c r="A16">
        <v>2023</v>
      </c>
      <c r="B16" t="s">
        <v>427</v>
      </c>
      <c r="C16" t="s">
        <v>427</v>
      </c>
      <c r="D16" t="s">
        <v>427</v>
      </c>
      <c r="E16" t="s">
        <v>427</v>
      </c>
      <c r="F16" t="s">
        <v>427</v>
      </c>
      <c r="G16" t="s">
        <v>427</v>
      </c>
      <c r="H16" t="s">
        <v>427</v>
      </c>
      <c r="I16" t="s">
        <v>427</v>
      </c>
      <c r="J16" t="s">
        <v>427</v>
      </c>
      <c r="K16" t="s">
        <v>427</v>
      </c>
      <c r="L16" t="s">
        <v>427</v>
      </c>
      <c r="M16" t="s">
        <v>427</v>
      </c>
      <c r="O16">
        <f>SUM(N$2:N16)</f>
        <v>1510</v>
      </c>
      <c r="P16" s="33">
        <f t="shared" si="0"/>
        <v>100.66666666666667</v>
      </c>
    </row>
    <row r="17" spans="1:16" x14ac:dyDescent="0.3">
      <c r="A17">
        <v>2024</v>
      </c>
      <c r="B17" t="s">
        <v>427</v>
      </c>
      <c r="C17" t="s">
        <v>427</v>
      </c>
      <c r="D17" t="s">
        <v>427</v>
      </c>
      <c r="E17" t="s">
        <v>427</v>
      </c>
      <c r="F17" t="s">
        <v>427</v>
      </c>
      <c r="G17" t="s">
        <v>427</v>
      </c>
      <c r="H17" t="s">
        <v>427</v>
      </c>
      <c r="I17" t="s">
        <v>427</v>
      </c>
      <c r="J17" t="s">
        <v>427</v>
      </c>
      <c r="K17" t="s">
        <v>427</v>
      </c>
      <c r="L17" t="s">
        <v>427</v>
      </c>
      <c r="M17" t="s">
        <v>427</v>
      </c>
      <c r="O17">
        <f>SUM(N$2:N17)</f>
        <v>1510</v>
      </c>
      <c r="P17" s="33">
        <f t="shared" si="0"/>
        <v>94.375</v>
      </c>
    </row>
    <row r="18" spans="1:16" x14ac:dyDescent="0.3">
      <c r="A18">
        <v>2025</v>
      </c>
      <c r="B18" t="s">
        <v>427</v>
      </c>
      <c r="C18" t="s">
        <v>427</v>
      </c>
      <c r="D18" t="s">
        <v>427</v>
      </c>
      <c r="E18" t="s">
        <v>427</v>
      </c>
      <c r="F18" t="s">
        <v>427</v>
      </c>
      <c r="G18" t="s">
        <v>427</v>
      </c>
      <c r="H18" t="s">
        <v>427</v>
      </c>
      <c r="I18" t="s">
        <v>427</v>
      </c>
      <c r="J18" t="s">
        <v>427</v>
      </c>
      <c r="K18" t="s">
        <v>427</v>
      </c>
      <c r="L18" t="s">
        <v>427</v>
      </c>
      <c r="M18" t="s">
        <v>427</v>
      </c>
      <c r="O18">
        <f>SUM(N$2:N18)</f>
        <v>1510</v>
      </c>
      <c r="P18" s="33">
        <f t="shared" ref="P18:P20" si="1">O18/(A18-A$1)</f>
        <v>88.82352941176471</v>
      </c>
    </row>
    <row r="19" spans="1:16" x14ac:dyDescent="0.3">
      <c r="A19">
        <v>2026</v>
      </c>
      <c r="B19" t="s">
        <v>427</v>
      </c>
      <c r="C19" t="s">
        <v>427</v>
      </c>
      <c r="D19" t="s">
        <v>427</v>
      </c>
      <c r="E19" t="s">
        <v>427</v>
      </c>
      <c r="F19" t="s">
        <v>427</v>
      </c>
      <c r="G19" t="s">
        <v>427</v>
      </c>
      <c r="H19" t="s">
        <v>427</v>
      </c>
      <c r="I19" t="s">
        <v>427</v>
      </c>
      <c r="J19" t="s">
        <v>427</v>
      </c>
      <c r="K19" t="s">
        <v>427</v>
      </c>
      <c r="L19" t="s">
        <v>427</v>
      </c>
      <c r="M19" t="s">
        <v>427</v>
      </c>
      <c r="O19">
        <f>SUM(N$2:N19)</f>
        <v>1510</v>
      </c>
      <c r="P19" s="33">
        <f t="shared" si="1"/>
        <v>83.888888888888886</v>
      </c>
    </row>
    <row r="20" spans="1:16" x14ac:dyDescent="0.3">
      <c r="A20">
        <v>2027</v>
      </c>
      <c r="B20" t="s">
        <v>427</v>
      </c>
      <c r="C20" t="s">
        <v>427</v>
      </c>
      <c r="D20" t="s">
        <v>427</v>
      </c>
      <c r="E20" t="s">
        <v>427</v>
      </c>
      <c r="F20" t="s">
        <v>427</v>
      </c>
      <c r="G20" t="s">
        <v>427</v>
      </c>
      <c r="H20" t="s">
        <v>427</v>
      </c>
      <c r="I20" t="s">
        <v>427</v>
      </c>
      <c r="J20" t="s">
        <v>427</v>
      </c>
      <c r="K20" t="s">
        <v>427</v>
      </c>
      <c r="L20" t="s">
        <v>427</v>
      </c>
      <c r="M20" t="s">
        <v>427</v>
      </c>
      <c r="O20">
        <f>SUM(N$2:N20)</f>
        <v>1510</v>
      </c>
      <c r="P20" s="33">
        <f t="shared" si="1"/>
        <v>79.473684210526315</v>
      </c>
    </row>
    <row r="21" spans="1:16" x14ac:dyDescent="0.3">
      <c r="A21">
        <v>2028</v>
      </c>
      <c r="B21" t="s">
        <v>427</v>
      </c>
      <c r="C21" t="s">
        <v>427</v>
      </c>
      <c r="D21" t="s">
        <v>427</v>
      </c>
      <c r="E21" t="s">
        <v>427</v>
      </c>
      <c r="F21" t="s">
        <v>427</v>
      </c>
      <c r="G21" t="s">
        <v>427</v>
      </c>
      <c r="H21" t="s">
        <v>427</v>
      </c>
      <c r="I21" t="s">
        <v>427</v>
      </c>
      <c r="J21" t="s">
        <v>427</v>
      </c>
      <c r="K21" t="s">
        <v>427</v>
      </c>
      <c r="L21" t="s">
        <v>427</v>
      </c>
      <c r="M21" t="s">
        <v>427</v>
      </c>
      <c r="O21">
        <f>SUM(N$2:N21)</f>
        <v>1510</v>
      </c>
      <c r="P21" s="33">
        <f t="shared" ref="P21" si="2">O21/(A21-A$1)</f>
        <v>75.5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2"/>
  <dimension ref="A1:AZ44"/>
  <sheetViews>
    <sheetView workbookViewId="0">
      <selection activeCell="U11" sqref="U11"/>
    </sheetView>
  </sheetViews>
  <sheetFormatPr baseColWidth="10" defaultRowHeight="14.4" x14ac:dyDescent="0.3"/>
  <cols>
    <col min="1" max="1" width="8.5546875" bestFit="1" customWidth="1"/>
    <col min="2" max="2" width="5" customWidth="1"/>
    <col min="3" max="3" width="12.109375" customWidth="1"/>
    <col min="4" max="4" width="3.44140625" bestFit="1" customWidth="1"/>
    <col min="5" max="6" width="2" bestFit="1" customWidth="1"/>
    <col min="7" max="7" width="5" bestFit="1" customWidth="1"/>
    <col min="8" max="9" width="2" bestFit="1" customWidth="1"/>
    <col min="10" max="10" width="7.33203125" bestFit="1" customWidth="1"/>
    <col min="11" max="11" width="2" bestFit="1" customWidth="1"/>
    <col min="12" max="12" width="5" bestFit="1" customWidth="1"/>
    <col min="13" max="13" width="2" bestFit="1" customWidth="1"/>
    <col min="14" max="14" width="3" bestFit="1" customWidth="1"/>
    <col min="15" max="15" width="5" bestFit="1" customWidth="1"/>
    <col min="16" max="16" width="5" customWidth="1"/>
    <col min="17" max="17" width="3.5546875" customWidth="1"/>
    <col min="18" max="18" width="3" bestFit="1" customWidth="1"/>
    <col min="19" max="19" width="4.5546875" bestFit="1" customWidth="1"/>
    <col min="20" max="20" width="4.44140625" bestFit="1" customWidth="1"/>
    <col min="21" max="21" width="6" bestFit="1" customWidth="1"/>
    <col min="22" max="22" width="5" bestFit="1" customWidth="1"/>
    <col min="23" max="23" width="3.109375" bestFit="1" customWidth="1"/>
    <col min="24" max="24" width="5" style="33" bestFit="1" customWidth="1"/>
    <col min="25" max="25" width="5" customWidth="1"/>
    <col min="26" max="27" width="4" bestFit="1" customWidth="1"/>
    <col min="28" max="28" width="6" bestFit="1" customWidth="1"/>
    <col min="29" max="29" width="4.44140625" bestFit="1" customWidth="1"/>
    <col min="30" max="30" width="6" bestFit="1" customWidth="1"/>
    <col min="31" max="31" width="5" bestFit="1" customWidth="1"/>
    <col min="32" max="32" width="4" bestFit="1" customWidth="1"/>
    <col min="33" max="33" width="4" customWidth="1"/>
    <col min="34" max="34" width="5" customWidth="1"/>
    <col min="35" max="35" width="3.5546875" customWidth="1"/>
    <col min="36" max="36" width="3" customWidth="1"/>
    <col min="37" max="37" width="4.5546875" customWidth="1"/>
    <col min="38" max="38" width="4.44140625" bestFit="1" customWidth="1"/>
    <col min="39" max="41" width="5" customWidth="1"/>
    <col min="42" max="42" width="6" bestFit="1" customWidth="1"/>
    <col min="43" max="44" width="8.5546875" bestFit="1" customWidth="1"/>
    <col min="45" max="45" width="4" bestFit="1" customWidth="1"/>
    <col min="46" max="46" width="10.88671875" bestFit="1" customWidth="1"/>
    <col min="47" max="47" width="4" bestFit="1" customWidth="1"/>
    <col min="48" max="48" width="8.5546875" bestFit="1" customWidth="1"/>
    <col min="49" max="49" width="4" bestFit="1" customWidth="1"/>
    <col min="50" max="50" width="9.33203125" bestFit="1" customWidth="1"/>
    <col min="51" max="51" width="4" bestFit="1" customWidth="1"/>
    <col min="52" max="52" width="4.33203125" bestFit="1" customWidth="1"/>
    <col min="53" max="53" width="4" customWidth="1"/>
    <col min="54" max="54" width="8.5546875" customWidth="1"/>
    <col min="55" max="55" width="4" customWidth="1"/>
    <col min="56" max="56" width="9.33203125" customWidth="1"/>
    <col min="57" max="57" width="4" customWidth="1"/>
  </cols>
  <sheetData>
    <row r="1" spans="1:52" ht="15" thickBot="1" x14ac:dyDescent="0.35">
      <c r="A1" s="147"/>
      <c r="B1" s="147"/>
      <c r="C1" s="234">
        <v>37255</v>
      </c>
      <c r="D1" s="234"/>
      <c r="E1" s="235"/>
      <c r="F1" s="147">
        <f>SUM(F3:F28)</f>
        <v>0</v>
      </c>
      <c r="G1" s="270">
        <f>P1+1</f>
        <v>2020</v>
      </c>
      <c r="H1" s="148">
        <f>SUM(H3:H28)</f>
        <v>0</v>
      </c>
      <c r="I1" s="148">
        <f>SUM(I3:I28)</f>
        <v>0</v>
      </c>
      <c r="J1" s="222" t="e">
        <f>SUM(G3:G28)/H1</f>
        <v>#DIV/0!</v>
      </c>
      <c r="K1" s="261">
        <v>0</v>
      </c>
      <c r="L1" s="148">
        <f>SUM(L3:L28)+SUM(U3:U28)</f>
        <v>3930</v>
      </c>
      <c r="M1" s="148">
        <f>SUM(M3:M28)/1000</f>
        <v>0</v>
      </c>
      <c r="N1" s="149">
        <v>0</v>
      </c>
      <c r="O1" s="148">
        <f>SUM(O3:O28)</f>
        <v>898</v>
      </c>
      <c r="P1" s="7">
        <f>Y1+1</f>
        <v>2019</v>
      </c>
      <c r="Q1" s="148">
        <f>SUM(Q3:Q28)</f>
        <v>73</v>
      </c>
      <c r="R1" s="148">
        <f>SUM(R3:R28)</f>
        <v>33</v>
      </c>
      <c r="S1" s="222">
        <f>SUM(P3:P28)/Q1</f>
        <v>1.2054794520547945</v>
      </c>
      <c r="T1" s="261">
        <v>6</v>
      </c>
      <c r="U1" s="148">
        <f>SUM(U3:U28)+SUM(AD11:AD28)</f>
        <v>21930</v>
      </c>
      <c r="V1" s="148">
        <f>SUM(V3:V28)/1000</f>
        <v>7.86</v>
      </c>
      <c r="W1" s="149">
        <v>52</v>
      </c>
      <c r="X1" s="264">
        <f>SUM(X3:X28)</f>
        <v>2678</v>
      </c>
      <c r="Y1" s="7">
        <f>AH1+1</f>
        <v>2018</v>
      </c>
      <c r="Z1" s="148">
        <f>SUM(Z3:Z28)</f>
        <v>264</v>
      </c>
      <c r="AA1" s="148">
        <f>SUM(AA3:AA28)</f>
        <v>118</v>
      </c>
      <c r="AB1" s="222">
        <f>SUM(Y3:Y28)/Z1</f>
        <v>1.3484848484848484</v>
      </c>
      <c r="AC1" s="261">
        <v>23</v>
      </c>
      <c r="AD1" s="148">
        <f>SUM(AD3:AD28)</f>
        <v>22000</v>
      </c>
      <c r="AE1" s="222">
        <f>SUM(AE3:AE28)/1000</f>
        <v>44</v>
      </c>
      <c r="AF1" s="149">
        <v>24</v>
      </c>
      <c r="AG1" s="148">
        <f>SUM(AG3:AG28)</f>
        <v>542</v>
      </c>
      <c r="AH1" s="7">
        <v>2017</v>
      </c>
      <c r="AI1" s="148">
        <f>SUM(AI3:AI28)</f>
        <v>50</v>
      </c>
      <c r="AJ1" s="148">
        <f>SUM(AJ3:AJ28)</f>
        <v>25</v>
      </c>
      <c r="AK1" s="222">
        <f>SUM(AH23:AH28)/AI1</f>
        <v>1.68</v>
      </c>
      <c r="AL1" s="261">
        <v>4</v>
      </c>
      <c r="AM1" s="148">
        <f>SUM(AM3:AM28)</f>
        <v>2020</v>
      </c>
      <c r="AN1" s="222">
        <f>SUM(AN3:AN28)/1000</f>
        <v>4</v>
      </c>
      <c r="AO1" s="149"/>
      <c r="AP1">
        <f>SUM(AP3:AP28)</f>
        <v>13700</v>
      </c>
      <c r="AR1">
        <v>250</v>
      </c>
      <c r="AS1" t="s">
        <v>500</v>
      </c>
      <c r="AT1">
        <v>500</v>
      </c>
      <c r="AU1" t="s">
        <v>500</v>
      </c>
      <c r="AV1">
        <v>1000</v>
      </c>
      <c r="AW1" t="s">
        <v>501</v>
      </c>
      <c r="AX1" t="s">
        <v>433</v>
      </c>
      <c r="AY1" t="s">
        <v>434</v>
      </c>
    </row>
    <row r="2" spans="1:52" ht="15" thickBot="1" x14ac:dyDescent="0.35">
      <c r="A2" s="147"/>
      <c r="B2" s="147"/>
      <c r="C2" s="148"/>
      <c r="D2" s="148"/>
      <c r="E2" s="149"/>
      <c r="F2" s="148" t="s">
        <v>505</v>
      </c>
      <c r="G2" s="148" t="s">
        <v>435</v>
      </c>
      <c r="H2" s="148" t="s">
        <v>436</v>
      </c>
      <c r="I2" s="148" t="s">
        <v>437</v>
      </c>
      <c r="J2" s="222" t="s">
        <v>438</v>
      </c>
      <c r="K2" s="222"/>
      <c r="L2" s="148" t="s">
        <v>439</v>
      </c>
      <c r="M2" s="148" t="s">
        <v>440</v>
      </c>
      <c r="N2" s="149" t="s">
        <v>441</v>
      </c>
      <c r="O2" s="148" t="s">
        <v>505</v>
      </c>
      <c r="P2" s="148" t="s">
        <v>435</v>
      </c>
      <c r="Q2" s="148" t="s">
        <v>436</v>
      </c>
      <c r="R2" s="148" t="s">
        <v>437</v>
      </c>
      <c r="S2" s="222" t="s">
        <v>438</v>
      </c>
      <c r="T2" s="222"/>
      <c r="U2" s="148" t="s">
        <v>439</v>
      </c>
      <c r="V2" s="148" t="s">
        <v>440</v>
      </c>
      <c r="W2" s="149" t="s">
        <v>441</v>
      </c>
      <c r="X2" s="264" t="s">
        <v>505</v>
      </c>
      <c r="Y2" s="148" t="s">
        <v>435</v>
      </c>
      <c r="Z2" s="148" t="s">
        <v>436</v>
      </c>
      <c r="AA2" s="148" t="s">
        <v>437</v>
      </c>
      <c r="AB2" s="222" t="s">
        <v>438</v>
      </c>
      <c r="AC2" s="222"/>
      <c r="AD2" s="148" t="s">
        <v>439</v>
      </c>
      <c r="AE2" s="148" t="s">
        <v>440</v>
      </c>
      <c r="AF2" s="149" t="s">
        <v>441</v>
      </c>
      <c r="AG2" s="148" t="s">
        <v>505</v>
      </c>
      <c r="AH2" s="148" t="s">
        <v>435</v>
      </c>
      <c r="AI2" s="148" t="s">
        <v>436</v>
      </c>
      <c r="AJ2" s="148" t="s">
        <v>437</v>
      </c>
      <c r="AK2" s="222" t="s">
        <v>438</v>
      </c>
      <c r="AL2" s="222"/>
      <c r="AM2" s="148" t="s">
        <v>439</v>
      </c>
      <c r="AN2" s="148" t="s">
        <v>440</v>
      </c>
      <c r="AO2" s="149" t="s">
        <v>441</v>
      </c>
      <c r="AR2" s="223" t="s">
        <v>443</v>
      </c>
      <c r="AS2" s="224">
        <v>250</v>
      </c>
      <c r="AT2" s="223" t="s">
        <v>443</v>
      </c>
      <c r="AU2" s="225">
        <v>500</v>
      </c>
      <c r="AV2" s="223" t="s">
        <v>444</v>
      </c>
      <c r="AW2" s="223">
        <v>1000</v>
      </c>
      <c r="AX2" s="223" t="s">
        <v>444</v>
      </c>
      <c r="AY2" s="223">
        <v>2000</v>
      </c>
      <c r="AZ2" s="262">
        <v>4</v>
      </c>
    </row>
    <row r="3" spans="1:52" ht="15" thickBot="1" x14ac:dyDescent="0.35">
      <c r="A3" s="109" t="s">
        <v>508</v>
      </c>
      <c r="B3" s="109">
        <v>250</v>
      </c>
      <c r="C3" s="95" t="s">
        <v>445</v>
      </c>
      <c r="D3" s="95">
        <v>10</v>
      </c>
      <c r="E3" s="96">
        <v>5</v>
      </c>
      <c r="F3" s="110"/>
      <c r="G3" s="98"/>
      <c r="H3" s="98"/>
      <c r="I3" s="98"/>
      <c r="J3" s="98"/>
      <c r="K3" s="98"/>
      <c r="L3" s="98"/>
      <c r="M3" s="98"/>
      <c r="N3" s="99"/>
      <c r="O3" s="246">
        <f>16+12+16+12+16+16+12+16</f>
        <v>116</v>
      </c>
      <c r="P3" s="98">
        <f>2+3+4+3</f>
        <v>12</v>
      </c>
      <c r="Q3" s="98">
        <v>8</v>
      </c>
      <c r="R3" s="230">
        <v>4</v>
      </c>
      <c r="S3" s="250">
        <f t="shared" ref="S3:S10" si="0">P3/Q3</f>
        <v>1.5</v>
      </c>
      <c r="T3" s="247">
        <f t="shared" ref="T3:T6" si="1">O3/Q3</f>
        <v>14.5</v>
      </c>
      <c r="U3" s="98">
        <v>250</v>
      </c>
      <c r="V3" s="251">
        <f t="shared" ref="V3:V10" si="2">U3*2</f>
        <v>500</v>
      </c>
      <c r="W3" s="99" t="s">
        <v>432</v>
      </c>
      <c r="X3" s="249">
        <f>24+29+24+29+24</f>
        <v>130</v>
      </c>
      <c r="Y3" s="95">
        <f>3+4+3+4+2</f>
        <v>16</v>
      </c>
      <c r="Z3" s="95">
        <v>10</v>
      </c>
      <c r="AA3" s="95">
        <v>5</v>
      </c>
      <c r="AB3" s="267">
        <f>Y3/Z3</f>
        <v>1.6</v>
      </c>
      <c r="AC3" s="250">
        <f t="shared" ref="AC3:AC27" si="3">X3/Z3</f>
        <v>13</v>
      </c>
      <c r="AD3" s="95">
        <v>250</v>
      </c>
      <c r="AE3" s="251">
        <f>AD3*2</f>
        <v>500</v>
      </c>
      <c r="AF3" s="96" t="s">
        <v>446</v>
      </c>
      <c r="AG3" s="98"/>
      <c r="AH3" s="98"/>
      <c r="AI3" s="98"/>
      <c r="AJ3" s="98"/>
      <c r="AK3" s="226"/>
      <c r="AL3" s="226"/>
      <c r="AM3" s="98"/>
      <c r="AN3" s="98"/>
      <c r="AO3" s="99"/>
      <c r="AR3" s="227" t="s">
        <v>448</v>
      </c>
      <c r="AS3" s="228">
        <v>150</v>
      </c>
      <c r="AT3" s="227" t="s">
        <v>448</v>
      </c>
      <c r="AU3" s="229">
        <v>300</v>
      </c>
      <c r="AV3" s="227" t="s">
        <v>448</v>
      </c>
      <c r="AW3" s="227">
        <v>600</v>
      </c>
      <c r="AX3" s="227" t="s">
        <v>448</v>
      </c>
      <c r="AY3" s="227">
        <v>1200</v>
      </c>
      <c r="AZ3" s="263">
        <v>2</v>
      </c>
    </row>
    <row r="4" spans="1:52" ht="15" thickBot="1" x14ac:dyDescent="0.35">
      <c r="A4" s="110" t="s">
        <v>508</v>
      </c>
      <c r="B4" s="110">
        <v>250</v>
      </c>
      <c r="C4" s="98" t="s">
        <v>449</v>
      </c>
      <c r="D4" s="98">
        <v>10</v>
      </c>
      <c r="E4" s="99">
        <v>5</v>
      </c>
      <c r="F4" s="110"/>
      <c r="G4" s="98"/>
      <c r="H4" s="98"/>
      <c r="I4" s="98"/>
      <c r="J4" s="98"/>
      <c r="K4" s="98"/>
      <c r="L4" s="98"/>
      <c r="M4" s="98"/>
      <c r="N4" s="99"/>
      <c r="O4" s="230">
        <f>12+14+14+12+14+14+14+10</f>
        <v>104</v>
      </c>
      <c r="P4" s="98">
        <f>2+3+2+3</f>
        <v>10</v>
      </c>
      <c r="Q4" s="98">
        <v>8</v>
      </c>
      <c r="R4" s="230">
        <v>4</v>
      </c>
      <c r="S4" s="226">
        <f t="shared" si="0"/>
        <v>1.25</v>
      </c>
      <c r="T4" s="226">
        <f t="shared" si="1"/>
        <v>13</v>
      </c>
      <c r="U4" s="98">
        <v>250</v>
      </c>
      <c r="V4" s="230">
        <f t="shared" si="2"/>
        <v>500</v>
      </c>
      <c r="W4" s="99" t="s">
        <v>432</v>
      </c>
      <c r="X4" s="252">
        <f>24+24+24+24+24</f>
        <v>120</v>
      </c>
      <c r="Y4" s="98">
        <f>3+2+2+3+3</f>
        <v>13</v>
      </c>
      <c r="Z4" s="98">
        <v>10</v>
      </c>
      <c r="AA4" s="98">
        <v>5</v>
      </c>
      <c r="AB4" s="226">
        <f>Y4/Z4</f>
        <v>1.3</v>
      </c>
      <c r="AC4" s="226">
        <f t="shared" si="3"/>
        <v>12</v>
      </c>
      <c r="AD4" s="98">
        <v>250</v>
      </c>
      <c r="AE4" s="230">
        <f>AD4*2</f>
        <v>500</v>
      </c>
      <c r="AF4" s="99" t="s">
        <v>491</v>
      </c>
      <c r="AG4" s="98"/>
      <c r="AH4" s="98"/>
      <c r="AI4" s="98"/>
      <c r="AJ4" s="98"/>
      <c r="AK4" s="226"/>
      <c r="AL4" s="226"/>
      <c r="AM4" s="98"/>
      <c r="AN4" s="98"/>
      <c r="AO4" s="99"/>
      <c r="AR4" s="223" t="s">
        <v>451</v>
      </c>
      <c r="AS4" s="224">
        <v>90</v>
      </c>
      <c r="AT4" s="223" t="s">
        <v>452</v>
      </c>
      <c r="AU4" s="225">
        <v>180</v>
      </c>
      <c r="AV4" s="223" t="s">
        <v>451</v>
      </c>
      <c r="AW4" s="223">
        <v>360</v>
      </c>
      <c r="AX4" s="223" t="s">
        <v>451</v>
      </c>
      <c r="AY4" s="223">
        <v>720</v>
      </c>
      <c r="AZ4" s="262">
        <v>1</v>
      </c>
    </row>
    <row r="5" spans="1:52" ht="15" thickBot="1" x14ac:dyDescent="0.35">
      <c r="A5" s="110" t="s">
        <v>508</v>
      </c>
      <c r="B5" s="110">
        <v>2000</v>
      </c>
      <c r="C5" s="244" t="s">
        <v>453</v>
      </c>
      <c r="D5" s="98">
        <v>21</v>
      </c>
      <c r="E5" s="99">
        <v>7</v>
      </c>
      <c r="F5" s="110"/>
      <c r="G5" s="98"/>
      <c r="H5" s="98"/>
      <c r="I5" s="98"/>
      <c r="J5" s="98"/>
      <c r="K5" s="98"/>
      <c r="L5" s="98"/>
      <c r="M5" s="98"/>
      <c r="N5" s="99"/>
      <c r="O5" s="241">
        <f>12+16+14+16+12+12+14+14+12+12+16+16+16+8+14+8+10+6+2+2+4</f>
        <v>236</v>
      </c>
      <c r="P5" s="230">
        <f>4+4+4+5+4+4+3</f>
        <v>28</v>
      </c>
      <c r="Q5" s="230">
        <v>21</v>
      </c>
      <c r="R5" s="230">
        <v>7</v>
      </c>
      <c r="S5" s="226">
        <f t="shared" si="0"/>
        <v>1.3333333333333333</v>
      </c>
      <c r="T5" s="242">
        <f>O5/Q5</f>
        <v>11.238095238095237</v>
      </c>
      <c r="U5" s="98">
        <v>2000</v>
      </c>
      <c r="V5" s="230">
        <f t="shared" si="2"/>
        <v>4000</v>
      </c>
      <c r="W5" s="99" t="s">
        <v>432</v>
      </c>
      <c r="X5" s="252">
        <f>37+37+37+40+37+13+9</f>
        <v>210</v>
      </c>
      <c r="Y5" s="98">
        <f>3+3+3+4+2+3+5</f>
        <v>23</v>
      </c>
      <c r="Z5" s="98">
        <v>21</v>
      </c>
      <c r="AA5" s="98">
        <v>7</v>
      </c>
      <c r="AB5" s="226">
        <f>Y5/Z5</f>
        <v>1.0952380952380953</v>
      </c>
      <c r="AC5" s="240">
        <f t="shared" si="3"/>
        <v>10</v>
      </c>
      <c r="AD5" s="230">
        <v>2000</v>
      </c>
      <c r="AE5" s="230">
        <f t="shared" ref="AE5:AE28" si="4">AD5*2</f>
        <v>4000</v>
      </c>
      <c r="AF5" s="99" t="s">
        <v>492</v>
      </c>
      <c r="AG5" s="98"/>
      <c r="AH5" s="98"/>
      <c r="AI5" s="98"/>
      <c r="AJ5" s="98"/>
      <c r="AK5" s="226"/>
      <c r="AL5" s="226"/>
      <c r="AM5" s="98"/>
      <c r="AN5" s="98"/>
      <c r="AO5" s="99"/>
      <c r="AP5">
        <v>1200</v>
      </c>
      <c r="AR5" s="227" t="s">
        <v>454</v>
      </c>
      <c r="AS5" s="228">
        <v>45</v>
      </c>
      <c r="AT5" s="227" t="s">
        <v>455</v>
      </c>
      <c r="AU5" s="229">
        <v>90</v>
      </c>
      <c r="AV5" s="227" t="s">
        <v>454</v>
      </c>
      <c r="AW5" s="227">
        <v>180</v>
      </c>
      <c r="AX5" s="227" t="s">
        <v>454</v>
      </c>
      <c r="AY5" s="227">
        <v>360</v>
      </c>
      <c r="AZ5" s="263">
        <v>0.5</v>
      </c>
    </row>
    <row r="6" spans="1:52" ht="15" thickBot="1" x14ac:dyDescent="0.35">
      <c r="A6" s="110" t="s">
        <v>510</v>
      </c>
      <c r="B6" s="110">
        <v>250</v>
      </c>
      <c r="C6" s="98" t="s">
        <v>456</v>
      </c>
      <c r="D6" s="98">
        <v>10</v>
      </c>
      <c r="E6" s="99">
        <v>5</v>
      </c>
      <c r="F6" s="110"/>
      <c r="G6" s="98"/>
      <c r="H6" s="98"/>
      <c r="I6" s="98"/>
      <c r="J6" s="98"/>
      <c r="K6" s="98"/>
      <c r="L6" s="98"/>
      <c r="M6" s="98"/>
      <c r="N6" s="99"/>
      <c r="O6" s="98">
        <f>16+14+10+12+14+12+8+12</f>
        <v>98</v>
      </c>
      <c r="P6" s="246">
        <f>4+1+1+1</f>
        <v>7</v>
      </c>
      <c r="Q6" s="230">
        <v>8</v>
      </c>
      <c r="R6" s="230">
        <v>4</v>
      </c>
      <c r="S6" s="247">
        <f t="shared" si="0"/>
        <v>0.875</v>
      </c>
      <c r="T6" s="226">
        <f t="shared" si="1"/>
        <v>12.25</v>
      </c>
      <c r="U6" s="230">
        <v>250</v>
      </c>
      <c r="V6" s="230">
        <f t="shared" si="2"/>
        <v>500</v>
      </c>
      <c r="W6" s="99" t="s">
        <v>432</v>
      </c>
      <c r="X6" s="253"/>
      <c r="Y6" s="98"/>
      <c r="Z6" s="98"/>
      <c r="AA6" s="98"/>
      <c r="AB6" s="98"/>
      <c r="AC6" s="226"/>
      <c r="AD6" s="98"/>
      <c r="AE6" s="230"/>
      <c r="AF6" s="99" t="s">
        <v>496</v>
      </c>
      <c r="AG6" s="98"/>
      <c r="AH6" s="98"/>
      <c r="AI6" s="98"/>
      <c r="AJ6" s="98"/>
      <c r="AK6" s="226"/>
      <c r="AL6" s="226"/>
      <c r="AM6" s="98"/>
      <c r="AN6" s="98"/>
      <c r="AO6" s="99"/>
      <c r="AR6" s="223" t="s">
        <v>458</v>
      </c>
      <c r="AS6" s="224">
        <v>20</v>
      </c>
      <c r="AT6" s="223" t="s">
        <v>495</v>
      </c>
      <c r="AU6" s="225">
        <v>45</v>
      </c>
      <c r="AV6" s="223" t="s">
        <v>459</v>
      </c>
      <c r="AW6" s="223">
        <v>90</v>
      </c>
      <c r="AX6" s="223" t="s">
        <v>459</v>
      </c>
      <c r="AY6" s="223">
        <v>180</v>
      </c>
      <c r="AZ6" s="262">
        <v>0.25</v>
      </c>
    </row>
    <row r="7" spans="1:52" ht="15" thickBot="1" x14ac:dyDescent="0.35">
      <c r="A7" s="110" t="s">
        <v>510</v>
      </c>
      <c r="B7" s="110">
        <v>250</v>
      </c>
      <c r="C7" s="98" t="s">
        <v>460</v>
      </c>
      <c r="D7" s="98">
        <v>10</v>
      </c>
      <c r="E7" s="99">
        <v>5</v>
      </c>
      <c r="F7" s="110"/>
      <c r="G7" s="98"/>
      <c r="H7" s="98"/>
      <c r="I7" s="98"/>
      <c r="J7" s="98"/>
      <c r="K7" s="98"/>
      <c r="L7" s="98"/>
      <c r="M7" s="98"/>
      <c r="N7" s="99"/>
      <c r="O7" s="98">
        <f>12+12+16+12+14+12+12+14</f>
        <v>104</v>
      </c>
      <c r="P7" s="98">
        <f>2+3+2+2</f>
        <v>9</v>
      </c>
      <c r="Q7" s="230">
        <v>8</v>
      </c>
      <c r="R7" s="230">
        <v>4</v>
      </c>
      <c r="S7" s="226">
        <f t="shared" si="0"/>
        <v>1.125</v>
      </c>
      <c r="T7" s="226">
        <f t="shared" ref="T7:T8" si="5">O7/Q7</f>
        <v>13</v>
      </c>
      <c r="U7" s="230">
        <v>250</v>
      </c>
      <c r="V7" s="230">
        <f t="shared" si="2"/>
        <v>500</v>
      </c>
      <c r="W7" s="99" t="s">
        <v>432</v>
      </c>
      <c r="X7" s="253"/>
      <c r="Y7" s="98"/>
      <c r="Z7" s="98"/>
      <c r="AA7" s="98"/>
      <c r="AB7" s="226"/>
      <c r="AC7" s="226"/>
      <c r="AD7" s="98"/>
      <c r="AE7" s="230"/>
      <c r="AF7" s="99" t="s">
        <v>496</v>
      </c>
      <c r="AG7" s="98"/>
      <c r="AH7" s="98"/>
      <c r="AI7" s="98"/>
      <c r="AJ7" s="98"/>
      <c r="AK7" s="226"/>
      <c r="AL7" s="226"/>
      <c r="AM7" s="98"/>
      <c r="AN7" s="98"/>
      <c r="AO7" s="99"/>
      <c r="AR7" s="227" t="s">
        <v>461</v>
      </c>
      <c r="AS7" s="228">
        <v>0</v>
      </c>
      <c r="AT7" s="227" t="s">
        <v>462</v>
      </c>
      <c r="AU7" s="229">
        <v>0</v>
      </c>
      <c r="AV7" s="227" t="s">
        <v>463</v>
      </c>
      <c r="AW7" s="227">
        <v>45</v>
      </c>
      <c r="AX7" s="227" t="s">
        <v>464</v>
      </c>
      <c r="AY7" s="227">
        <v>90</v>
      </c>
      <c r="AZ7" s="263">
        <v>0.125</v>
      </c>
    </row>
    <row r="8" spans="1:52" ht="15" thickBot="1" x14ac:dyDescent="0.35">
      <c r="A8" s="110" t="s">
        <v>510</v>
      </c>
      <c r="B8" s="110">
        <v>250</v>
      </c>
      <c r="C8" s="98" t="s">
        <v>465</v>
      </c>
      <c r="D8" s="98">
        <v>10</v>
      </c>
      <c r="E8" s="99">
        <v>5</v>
      </c>
      <c r="F8" s="110"/>
      <c r="G8" s="98"/>
      <c r="H8" s="98"/>
      <c r="I8" s="98"/>
      <c r="J8" s="98"/>
      <c r="K8" s="98"/>
      <c r="L8" s="98"/>
      <c r="M8" s="98"/>
      <c r="N8" s="99"/>
      <c r="O8" s="98">
        <f>12+16+12+12+16+12+10+8</f>
        <v>98</v>
      </c>
      <c r="P8" s="98">
        <f>4+2+3+2</f>
        <v>11</v>
      </c>
      <c r="Q8" s="230">
        <v>8</v>
      </c>
      <c r="R8" s="230">
        <v>4</v>
      </c>
      <c r="S8" s="226">
        <f t="shared" si="0"/>
        <v>1.375</v>
      </c>
      <c r="T8" s="226">
        <f t="shared" si="5"/>
        <v>12.25</v>
      </c>
      <c r="U8" s="230">
        <v>250</v>
      </c>
      <c r="V8" s="230">
        <f t="shared" si="2"/>
        <v>500</v>
      </c>
      <c r="W8" s="99" t="s">
        <v>432</v>
      </c>
      <c r="X8" s="253"/>
      <c r="Y8" s="98"/>
      <c r="Z8" s="98"/>
      <c r="AA8" s="98"/>
      <c r="AB8" s="226"/>
      <c r="AC8" s="226"/>
      <c r="AD8" s="98"/>
      <c r="AE8" s="230"/>
      <c r="AF8" s="99" t="s">
        <v>496</v>
      </c>
      <c r="AG8" s="98"/>
      <c r="AH8" s="98"/>
      <c r="AI8" s="98"/>
      <c r="AJ8" s="98"/>
      <c r="AK8" s="226"/>
      <c r="AL8" s="226"/>
      <c r="AM8" s="98"/>
      <c r="AN8" s="98"/>
      <c r="AO8" s="99"/>
      <c r="AV8" s="223" t="s">
        <v>466</v>
      </c>
      <c r="AW8" s="223">
        <v>10</v>
      </c>
      <c r="AX8" s="223" t="s">
        <v>467</v>
      </c>
      <c r="AY8" s="223">
        <v>45</v>
      </c>
      <c r="AZ8" s="262">
        <v>0.1</v>
      </c>
    </row>
    <row r="9" spans="1:52" ht="15" thickBot="1" x14ac:dyDescent="0.35">
      <c r="A9" s="110" t="s">
        <v>510</v>
      </c>
      <c r="B9" s="110">
        <v>500</v>
      </c>
      <c r="C9" s="98" t="s">
        <v>468</v>
      </c>
      <c r="D9" s="98">
        <v>10</v>
      </c>
      <c r="E9" s="99">
        <v>5</v>
      </c>
      <c r="F9" s="110"/>
      <c r="G9" s="98"/>
      <c r="H9" s="98"/>
      <c r="I9" s="98"/>
      <c r="J9" s="98"/>
      <c r="K9" s="98"/>
      <c r="L9" s="98"/>
      <c r="M9" s="98"/>
      <c r="N9" s="99"/>
      <c r="O9" s="230">
        <f>14+16+12+12+12+10+4+4</f>
        <v>84</v>
      </c>
      <c r="P9" s="244">
        <f>3+0+1+2</f>
        <v>6</v>
      </c>
      <c r="Q9" s="230">
        <v>8</v>
      </c>
      <c r="R9" s="230">
        <v>4</v>
      </c>
      <c r="S9" s="245">
        <f t="shared" si="0"/>
        <v>0.75</v>
      </c>
      <c r="T9" s="226">
        <f>O9/Q9</f>
        <v>10.5</v>
      </c>
      <c r="U9" s="230">
        <v>500</v>
      </c>
      <c r="V9" s="230">
        <f t="shared" si="2"/>
        <v>1000</v>
      </c>
      <c r="W9" s="99" t="s">
        <v>432</v>
      </c>
      <c r="X9" s="268">
        <f>31+24+29+31+13</f>
        <v>128</v>
      </c>
      <c r="Y9" s="230">
        <f>6+2+5+6+2</f>
        <v>21</v>
      </c>
      <c r="Z9" s="230">
        <v>10</v>
      </c>
      <c r="AA9" s="230">
        <v>5</v>
      </c>
      <c r="AB9" s="266">
        <f t="shared" ref="AB9:AB28" si="6">Y9/Z9</f>
        <v>2.1</v>
      </c>
      <c r="AC9" s="245">
        <f t="shared" si="3"/>
        <v>12.8</v>
      </c>
      <c r="AD9" s="230">
        <v>500</v>
      </c>
      <c r="AE9" s="230">
        <f t="shared" si="4"/>
        <v>1000</v>
      </c>
      <c r="AF9" s="99" t="s">
        <v>496</v>
      </c>
      <c r="AG9" s="98"/>
      <c r="AH9" s="98"/>
      <c r="AI9" s="98"/>
      <c r="AJ9" s="98"/>
      <c r="AK9" s="226"/>
      <c r="AL9" s="226"/>
      <c r="AM9" s="98"/>
      <c r="AN9" s="98"/>
      <c r="AO9" s="99"/>
      <c r="AP9">
        <v>500</v>
      </c>
      <c r="AX9" s="227" t="s">
        <v>462</v>
      </c>
      <c r="AY9" s="227">
        <v>10</v>
      </c>
      <c r="AZ9" s="263">
        <v>7.4999999999999997E-2</v>
      </c>
    </row>
    <row r="10" spans="1:52" x14ac:dyDescent="0.3">
      <c r="A10" s="110" t="s">
        <v>511</v>
      </c>
      <c r="B10" s="110">
        <v>1000</v>
      </c>
      <c r="C10" s="98" t="s">
        <v>469</v>
      </c>
      <c r="D10" s="230">
        <v>12</v>
      </c>
      <c r="E10" s="233">
        <v>6</v>
      </c>
      <c r="F10" s="271"/>
      <c r="G10" s="230"/>
      <c r="H10" s="230"/>
      <c r="I10" s="230"/>
      <c r="J10" s="230"/>
      <c r="K10" s="230"/>
      <c r="L10" s="230"/>
      <c r="M10" s="230"/>
      <c r="N10" s="233"/>
      <c r="O10" s="230">
        <f>16+16+12+14</f>
        <v>58</v>
      </c>
      <c r="P10" s="230">
        <f>4+1</f>
        <v>5</v>
      </c>
      <c r="Q10" s="230">
        <v>4</v>
      </c>
      <c r="R10" s="230">
        <v>2</v>
      </c>
      <c r="S10" s="226">
        <f t="shared" si="0"/>
        <v>1.25</v>
      </c>
      <c r="T10" s="226">
        <f>O10/Q10</f>
        <v>14.5</v>
      </c>
      <c r="U10" s="230">
        <v>180</v>
      </c>
      <c r="V10" s="230">
        <f t="shared" si="2"/>
        <v>360</v>
      </c>
      <c r="W10" s="99" t="s">
        <v>432</v>
      </c>
      <c r="X10" s="252">
        <f>24+24+24+24+13+3</f>
        <v>112</v>
      </c>
      <c r="Y10" s="230">
        <f>2+3+2+2+5+3</f>
        <v>17</v>
      </c>
      <c r="Z10" s="230">
        <v>12</v>
      </c>
      <c r="AA10" s="230">
        <v>6</v>
      </c>
      <c r="AB10" s="240">
        <f t="shared" si="6"/>
        <v>1.4166666666666667</v>
      </c>
      <c r="AC10" s="240">
        <f t="shared" si="3"/>
        <v>9.3333333333333339</v>
      </c>
      <c r="AD10" s="230">
        <v>1000</v>
      </c>
      <c r="AE10" s="230">
        <f t="shared" si="4"/>
        <v>2000</v>
      </c>
      <c r="AF10" s="99" t="s">
        <v>497</v>
      </c>
      <c r="AG10" s="98"/>
      <c r="AH10" s="98"/>
      <c r="AI10" s="98"/>
      <c r="AJ10" s="98"/>
      <c r="AK10" s="226"/>
      <c r="AL10" s="226"/>
      <c r="AM10" s="98"/>
      <c r="AN10" s="98"/>
      <c r="AO10" s="99"/>
      <c r="AP10">
        <v>600</v>
      </c>
    </row>
    <row r="11" spans="1:52" x14ac:dyDescent="0.3">
      <c r="A11" s="110" t="s">
        <v>511</v>
      </c>
      <c r="B11" s="110">
        <v>1000</v>
      </c>
      <c r="C11" s="98" t="s">
        <v>470</v>
      </c>
      <c r="D11" s="230">
        <v>12</v>
      </c>
      <c r="E11" s="233">
        <v>6</v>
      </c>
      <c r="F11" s="271"/>
      <c r="G11" s="230"/>
      <c r="H11" s="230"/>
      <c r="I11" s="230"/>
      <c r="J11" s="230"/>
      <c r="K11" s="230"/>
      <c r="L11" s="230"/>
      <c r="M11" s="230"/>
      <c r="N11" s="233"/>
      <c r="O11" s="230"/>
      <c r="P11" s="230"/>
      <c r="Q11" s="230"/>
      <c r="R11" s="230"/>
      <c r="S11" s="226"/>
      <c r="T11" s="226"/>
      <c r="U11" s="230"/>
      <c r="V11" s="98"/>
      <c r="W11" s="99" t="s">
        <v>432</v>
      </c>
      <c r="X11" s="252">
        <f>12+12+16+14+14+14+10+4+2+0</f>
        <v>98</v>
      </c>
      <c r="Y11" s="230">
        <f>1+5+4+4+3</f>
        <v>17</v>
      </c>
      <c r="Z11" s="230">
        <v>10</v>
      </c>
      <c r="AA11" s="230">
        <v>5</v>
      </c>
      <c r="AB11" s="266">
        <f t="shared" si="6"/>
        <v>1.7</v>
      </c>
      <c r="AC11" s="240">
        <f t="shared" si="3"/>
        <v>9.8000000000000007</v>
      </c>
      <c r="AD11" s="230">
        <v>1000</v>
      </c>
      <c r="AE11" s="230">
        <f t="shared" si="4"/>
        <v>2000</v>
      </c>
      <c r="AF11" s="99" t="s">
        <v>502</v>
      </c>
      <c r="AG11" s="98"/>
      <c r="AH11" s="98"/>
      <c r="AI11" s="98"/>
      <c r="AJ11" s="98"/>
      <c r="AK11" s="226"/>
      <c r="AL11" s="226"/>
      <c r="AM11" s="98"/>
      <c r="AN11" s="98"/>
      <c r="AO11" s="99"/>
      <c r="AP11">
        <v>600</v>
      </c>
    </row>
    <row r="12" spans="1:52" x14ac:dyDescent="0.3">
      <c r="A12" s="110" t="s">
        <v>512</v>
      </c>
      <c r="B12" s="110">
        <v>1000</v>
      </c>
      <c r="C12" s="98" t="s">
        <v>471</v>
      </c>
      <c r="D12" s="230">
        <v>12</v>
      </c>
      <c r="E12" s="233">
        <v>6</v>
      </c>
      <c r="F12" s="271"/>
      <c r="G12" s="230"/>
      <c r="H12" s="230"/>
      <c r="I12" s="230"/>
      <c r="J12" s="230"/>
      <c r="K12" s="230"/>
      <c r="L12" s="230"/>
      <c r="M12" s="230"/>
      <c r="N12" s="233"/>
      <c r="O12" s="230"/>
      <c r="P12" s="230"/>
      <c r="Q12" s="230"/>
      <c r="R12" s="230"/>
      <c r="S12" s="226"/>
      <c r="T12" s="226"/>
      <c r="U12" s="98"/>
      <c r="V12" s="98"/>
      <c r="W12" s="99" t="s">
        <v>432</v>
      </c>
      <c r="X12" s="252">
        <f>14+14+12+14+12+12+8+4+4+0</f>
        <v>94</v>
      </c>
      <c r="Y12" s="230">
        <f>2+4+3+3+2</f>
        <v>14</v>
      </c>
      <c r="Z12" s="230">
        <v>10</v>
      </c>
      <c r="AA12" s="230">
        <v>5</v>
      </c>
      <c r="AB12" s="226">
        <f t="shared" si="6"/>
        <v>1.4</v>
      </c>
      <c r="AC12" s="240">
        <f t="shared" si="3"/>
        <v>9.4</v>
      </c>
      <c r="AD12" s="230">
        <v>1000</v>
      </c>
      <c r="AE12" s="230">
        <f t="shared" si="4"/>
        <v>2000</v>
      </c>
      <c r="AF12" s="99" t="s">
        <v>503</v>
      </c>
      <c r="AG12" s="98"/>
      <c r="AH12" s="98"/>
      <c r="AI12" s="98"/>
      <c r="AJ12" s="98"/>
      <c r="AK12" s="226"/>
      <c r="AL12" s="226"/>
      <c r="AM12" s="98"/>
      <c r="AN12" s="98"/>
      <c r="AO12" s="99"/>
      <c r="AP12">
        <v>600</v>
      </c>
    </row>
    <row r="13" spans="1:52" x14ac:dyDescent="0.3">
      <c r="A13" s="110" t="s">
        <v>512</v>
      </c>
      <c r="B13" s="110">
        <v>500</v>
      </c>
      <c r="C13" s="98" t="s">
        <v>472</v>
      </c>
      <c r="D13" s="98">
        <v>10</v>
      </c>
      <c r="E13" s="99">
        <v>5</v>
      </c>
      <c r="F13" s="110"/>
      <c r="G13" s="98"/>
      <c r="H13" s="98"/>
      <c r="I13" s="98"/>
      <c r="J13" s="98"/>
      <c r="K13" s="98"/>
      <c r="L13" s="98"/>
      <c r="M13" s="98"/>
      <c r="N13" s="99"/>
      <c r="O13" s="98"/>
      <c r="P13" s="98"/>
      <c r="Q13" s="98"/>
      <c r="R13" s="98"/>
      <c r="S13" s="226"/>
      <c r="T13" s="226"/>
      <c r="U13" s="98"/>
      <c r="V13" s="98"/>
      <c r="W13" s="99" t="s">
        <v>432</v>
      </c>
      <c r="X13" s="253">
        <f>12+14+12+12+10+10+8+8</f>
        <v>86</v>
      </c>
      <c r="Y13" s="230">
        <f>2+1+2+3</f>
        <v>8</v>
      </c>
      <c r="Z13" s="230">
        <v>8</v>
      </c>
      <c r="AA13" s="230">
        <v>4</v>
      </c>
      <c r="AB13" s="226">
        <f t="shared" si="6"/>
        <v>1</v>
      </c>
      <c r="AC13" s="240">
        <f t="shared" si="3"/>
        <v>10.75</v>
      </c>
      <c r="AD13" s="230">
        <v>500</v>
      </c>
      <c r="AE13" s="230">
        <f t="shared" si="4"/>
        <v>1000</v>
      </c>
      <c r="AF13" s="99" t="s">
        <v>504</v>
      </c>
      <c r="AG13" s="98"/>
      <c r="AH13" s="98"/>
      <c r="AI13" s="98"/>
      <c r="AJ13" s="98"/>
      <c r="AK13" s="226"/>
      <c r="AL13" s="226"/>
      <c r="AM13" s="98"/>
      <c r="AN13" s="98"/>
      <c r="AO13" s="99"/>
      <c r="AP13">
        <v>500</v>
      </c>
    </row>
    <row r="14" spans="1:52" x14ac:dyDescent="0.3">
      <c r="A14" s="110" t="s">
        <v>513</v>
      </c>
      <c r="B14" s="110">
        <v>1000</v>
      </c>
      <c r="C14" s="98" t="s">
        <v>473</v>
      </c>
      <c r="D14" s="230">
        <v>12</v>
      </c>
      <c r="E14" s="233">
        <v>6</v>
      </c>
      <c r="F14" s="271"/>
      <c r="G14" s="230"/>
      <c r="H14" s="230"/>
      <c r="I14" s="230"/>
      <c r="J14" s="230"/>
      <c r="K14" s="230"/>
      <c r="L14" s="230"/>
      <c r="M14" s="230"/>
      <c r="N14" s="233"/>
      <c r="O14" s="230"/>
      <c r="P14" s="230"/>
      <c r="Q14" s="230"/>
      <c r="R14" s="230"/>
      <c r="S14" s="226"/>
      <c r="T14" s="226"/>
      <c r="U14" s="98"/>
      <c r="V14" s="98"/>
      <c r="W14" s="99" t="s">
        <v>432</v>
      </c>
      <c r="X14" s="252">
        <f>16+12+12+14+10+12+4+8+0+0</f>
        <v>88</v>
      </c>
      <c r="Y14" s="230">
        <f>5+2+3+3+1</f>
        <v>14</v>
      </c>
      <c r="Z14" s="230">
        <v>10</v>
      </c>
      <c r="AA14" s="230">
        <v>5</v>
      </c>
      <c r="AB14" s="226">
        <f t="shared" si="6"/>
        <v>1.4</v>
      </c>
      <c r="AC14" s="240">
        <f t="shared" si="3"/>
        <v>8.8000000000000007</v>
      </c>
      <c r="AD14" s="230">
        <v>1000</v>
      </c>
      <c r="AE14" s="230">
        <f t="shared" si="4"/>
        <v>2000</v>
      </c>
      <c r="AF14" s="99" t="s">
        <v>504</v>
      </c>
      <c r="AG14" s="98"/>
      <c r="AH14" s="98"/>
      <c r="AI14" s="98"/>
      <c r="AJ14" s="98"/>
      <c r="AK14" s="226"/>
      <c r="AL14" s="226"/>
      <c r="AM14" s="98"/>
      <c r="AN14" s="98"/>
      <c r="AO14" s="99"/>
      <c r="AP14">
        <v>600</v>
      </c>
    </row>
    <row r="15" spans="1:52" x14ac:dyDescent="0.3">
      <c r="A15" s="110" t="s">
        <v>513</v>
      </c>
      <c r="B15" s="110">
        <v>1000</v>
      </c>
      <c r="C15" s="98" t="s">
        <v>474</v>
      </c>
      <c r="D15" s="230">
        <v>12</v>
      </c>
      <c r="E15" s="233">
        <v>6</v>
      </c>
      <c r="F15" s="271"/>
      <c r="G15" s="230"/>
      <c r="H15" s="230"/>
      <c r="I15" s="230"/>
      <c r="J15" s="230"/>
      <c r="K15" s="230"/>
      <c r="L15" s="230"/>
      <c r="M15" s="230"/>
      <c r="N15" s="233"/>
      <c r="O15" s="230"/>
      <c r="P15" s="230"/>
      <c r="Q15" s="230"/>
      <c r="R15" s="230"/>
      <c r="S15" s="226"/>
      <c r="T15" s="226"/>
      <c r="U15" s="98"/>
      <c r="V15" s="98"/>
      <c r="W15" s="99" t="s">
        <v>432</v>
      </c>
      <c r="X15" s="252">
        <f>12+10+12+12+12+12+2+2+2+4</f>
        <v>80</v>
      </c>
      <c r="Y15" s="230">
        <f>3+1+2+1+4</f>
        <v>11</v>
      </c>
      <c r="Z15" s="230">
        <v>10</v>
      </c>
      <c r="AA15" s="230">
        <v>5</v>
      </c>
      <c r="AB15" s="226">
        <f t="shared" si="6"/>
        <v>1.1000000000000001</v>
      </c>
      <c r="AC15" s="240">
        <f t="shared" si="3"/>
        <v>8</v>
      </c>
      <c r="AD15" s="230">
        <v>1000</v>
      </c>
      <c r="AE15" s="230">
        <f t="shared" si="4"/>
        <v>2000</v>
      </c>
      <c r="AF15" s="99" t="s">
        <v>504</v>
      </c>
      <c r="AG15" s="98"/>
      <c r="AH15" s="98"/>
      <c r="AI15" s="98"/>
      <c r="AJ15" s="98"/>
      <c r="AK15" s="226"/>
      <c r="AL15" s="226"/>
      <c r="AM15" s="98"/>
      <c r="AN15" s="98"/>
      <c r="AO15" s="99"/>
      <c r="AP15">
        <v>600</v>
      </c>
    </row>
    <row r="16" spans="1:52" x14ac:dyDescent="0.3">
      <c r="A16" s="110" t="s">
        <v>513</v>
      </c>
      <c r="B16" s="110">
        <v>2000</v>
      </c>
      <c r="C16" s="244" t="s">
        <v>475</v>
      </c>
      <c r="D16" s="98">
        <v>21</v>
      </c>
      <c r="E16" s="99">
        <v>7</v>
      </c>
      <c r="F16" s="110"/>
      <c r="G16" s="98"/>
      <c r="H16" s="98"/>
      <c r="I16" s="98"/>
      <c r="J16" s="98"/>
      <c r="K16" s="98"/>
      <c r="L16" s="98"/>
      <c r="M16" s="98"/>
      <c r="N16" s="99"/>
      <c r="O16" s="98"/>
      <c r="P16" s="98"/>
      <c r="Q16" s="98"/>
      <c r="R16" s="98"/>
      <c r="S16" s="226"/>
      <c r="T16" s="226"/>
      <c r="U16" s="98"/>
      <c r="V16" s="98"/>
      <c r="W16" s="99" t="s">
        <v>432</v>
      </c>
      <c r="X16" s="253">
        <f>16+12+16+16+12+16+16+12+12+10+14+12+12+12+16+6+2+8+6+4+0</f>
        <v>230</v>
      </c>
      <c r="Y16" s="98">
        <f>4+5+4+4+4+3+5</f>
        <v>29</v>
      </c>
      <c r="Z16" s="230">
        <v>21</v>
      </c>
      <c r="AA16" s="230">
        <v>7</v>
      </c>
      <c r="AB16" s="226">
        <f t="shared" si="6"/>
        <v>1.3809523809523809</v>
      </c>
      <c r="AC16" s="240">
        <f t="shared" si="3"/>
        <v>10.952380952380953</v>
      </c>
      <c r="AD16" s="230">
        <v>2000</v>
      </c>
      <c r="AE16" s="230">
        <f t="shared" si="4"/>
        <v>4000</v>
      </c>
      <c r="AF16" s="99" t="s">
        <v>504</v>
      </c>
      <c r="AG16" s="98"/>
      <c r="AH16" s="98"/>
      <c r="AI16" s="98"/>
      <c r="AJ16" s="98"/>
      <c r="AK16" s="226"/>
      <c r="AL16" s="226"/>
      <c r="AM16" s="98"/>
      <c r="AN16" s="98"/>
      <c r="AO16" s="99"/>
      <c r="AP16">
        <v>1200</v>
      </c>
    </row>
    <row r="17" spans="1:42" x14ac:dyDescent="0.3">
      <c r="A17" s="110" t="s">
        <v>514</v>
      </c>
      <c r="B17" s="110">
        <v>500</v>
      </c>
      <c r="C17" s="98" t="s">
        <v>476</v>
      </c>
      <c r="D17" s="98">
        <v>10</v>
      </c>
      <c r="E17" s="99">
        <v>5</v>
      </c>
      <c r="F17" s="110"/>
      <c r="G17" s="98"/>
      <c r="H17" s="98"/>
      <c r="I17" s="98"/>
      <c r="J17" s="98"/>
      <c r="K17" s="98"/>
      <c r="L17" s="98"/>
      <c r="M17" s="98"/>
      <c r="N17" s="99"/>
      <c r="O17" s="98"/>
      <c r="P17" s="98"/>
      <c r="Q17" s="98"/>
      <c r="R17" s="98"/>
      <c r="S17" s="226"/>
      <c r="T17" s="226"/>
      <c r="U17" s="98"/>
      <c r="V17" s="98"/>
      <c r="W17" s="99" t="s">
        <v>432</v>
      </c>
      <c r="X17" s="253">
        <f>16+16+10+16+10+10+8+4</f>
        <v>90</v>
      </c>
      <c r="Y17" s="98">
        <f>4+3+1+5</f>
        <v>13</v>
      </c>
      <c r="Z17" s="230">
        <v>8</v>
      </c>
      <c r="AA17" s="230">
        <v>4</v>
      </c>
      <c r="AB17" s="226">
        <f t="shared" si="6"/>
        <v>1.625</v>
      </c>
      <c r="AC17" s="240">
        <f t="shared" si="3"/>
        <v>11.25</v>
      </c>
      <c r="AD17" s="230">
        <v>500</v>
      </c>
      <c r="AE17" s="230">
        <f t="shared" si="4"/>
        <v>1000</v>
      </c>
      <c r="AF17" s="99" t="s">
        <v>504</v>
      </c>
      <c r="AG17" s="98"/>
      <c r="AH17" s="98"/>
      <c r="AI17" s="98"/>
      <c r="AJ17" s="98"/>
      <c r="AK17" s="226"/>
      <c r="AL17" s="226"/>
      <c r="AM17" s="98"/>
      <c r="AN17" s="98"/>
      <c r="AO17" s="99"/>
      <c r="AP17">
        <v>500</v>
      </c>
    </row>
    <row r="18" spans="1:42" x14ac:dyDescent="0.3">
      <c r="A18" s="110" t="s">
        <v>515</v>
      </c>
      <c r="B18" s="110">
        <v>2000</v>
      </c>
      <c r="C18" s="244" t="s">
        <v>477</v>
      </c>
      <c r="D18" s="98">
        <v>21</v>
      </c>
      <c r="E18" s="99">
        <v>7</v>
      </c>
      <c r="F18" s="110"/>
      <c r="G18" s="98"/>
      <c r="H18" s="98"/>
      <c r="I18" s="98"/>
      <c r="J18" s="98"/>
      <c r="K18" s="98"/>
      <c r="L18" s="98"/>
      <c r="M18" s="98"/>
      <c r="N18" s="99"/>
      <c r="O18" s="98"/>
      <c r="P18" s="98"/>
      <c r="Q18" s="98"/>
      <c r="R18" s="98"/>
      <c r="S18" s="226"/>
      <c r="T18" s="226"/>
      <c r="U18" s="98"/>
      <c r="V18" s="98"/>
      <c r="W18" s="99" t="s">
        <v>432</v>
      </c>
      <c r="X18" s="253">
        <f>12+14+12+14+12+14+12+16+18+14+16+12+10+10+10+4+4+2+4+0+4</f>
        <v>214</v>
      </c>
      <c r="Y18" s="98">
        <f>3+7+6+3+3+3+6</f>
        <v>31</v>
      </c>
      <c r="Z18" s="230">
        <v>21</v>
      </c>
      <c r="AA18" s="230">
        <v>7</v>
      </c>
      <c r="AB18" s="266">
        <f t="shared" si="6"/>
        <v>1.4761904761904763</v>
      </c>
      <c r="AC18" s="240">
        <f t="shared" si="3"/>
        <v>10.19047619047619</v>
      </c>
      <c r="AD18" s="230">
        <v>2000</v>
      </c>
      <c r="AE18" s="230">
        <f t="shared" si="4"/>
        <v>4000</v>
      </c>
      <c r="AF18" s="99" t="s">
        <v>504</v>
      </c>
      <c r="AG18" s="98"/>
      <c r="AH18" s="98"/>
      <c r="AI18" s="98"/>
      <c r="AJ18" s="98"/>
      <c r="AK18" s="226"/>
      <c r="AL18" s="226"/>
      <c r="AM18" s="98"/>
      <c r="AN18" s="98"/>
      <c r="AO18" s="99"/>
      <c r="AP18">
        <v>1200</v>
      </c>
    </row>
    <row r="19" spans="1:42" x14ac:dyDescent="0.3">
      <c r="A19" s="110" t="s">
        <v>515</v>
      </c>
      <c r="B19" s="110">
        <v>500</v>
      </c>
      <c r="C19" s="98" t="s">
        <v>478</v>
      </c>
      <c r="D19" s="98">
        <v>10</v>
      </c>
      <c r="E19" s="99">
        <v>5</v>
      </c>
      <c r="F19" s="110"/>
      <c r="G19" s="98"/>
      <c r="H19" s="98"/>
      <c r="I19" s="98"/>
      <c r="J19" s="98"/>
      <c r="K19" s="98"/>
      <c r="L19" s="98"/>
      <c r="M19" s="98"/>
      <c r="N19" s="99"/>
      <c r="O19" s="98"/>
      <c r="P19" s="98"/>
      <c r="Q19" s="98"/>
      <c r="R19" s="98"/>
      <c r="S19" s="226"/>
      <c r="T19" s="226"/>
      <c r="U19" s="98"/>
      <c r="V19" s="98"/>
      <c r="W19" s="99" t="s">
        <v>432</v>
      </c>
      <c r="X19" s="253">
        <f>10+12+12+12+8+10+2+4</f>
        <v>70</v>
      </c>
      <c r="Y19" s="98">
        <f>2+1+2+3</f>
        <v>8</v>
      </c>
      <c r="Z19" s="230">
        <v>8</v>
      </c>
      <c r="AA19" s="230">
        <v>4</v>
      </c>
      <c r="AB19" s="226">
        <f t="shared" si="6"/>
        <v>1</v>
      </c>
      <c r="AC19" s="240">
        <f t="shared" si="3"/>
        <v>8.75</v>
      </c>
      <c r="AD19" s="230">
        <v>500</v>
      </c>
      <c r="AE19" s="230">
        <f t="shared" si="4"/>
        <v>1000</v>
      </c>
      <c r="AF19" s="99" t="s">
        <v>432</v>
      </c>
      <c r="AG19" s="98"/>
      <c r="AH19" s="98"/>
      <c r="AI19" s="98"/>
      <c r="AJ19" s="98"/>
      <c r="AK19" s="226"/>
      <c r="AL19" s="226"/>
      <c r="AM19" s="98"/>
      <c r="AN19" s="98"/>
      <c r="AO19" s="99"/>
      <c r="AP19">
        <v>500</v>
      </c>
    </row>
    <row r="20" spans="1:42" x14ac:dyDescent="0.3">
      <c r="A20" s="110" t="s">
        <v>517</v>
      </c>
      <c r="B20" s="110">
        <v>1000</v>
      </c>
      <c r="C20" s="98" t="s">
        <v>479</v>
      </c>
      <c r="D20" s="230">
        <v>12</v>
      </c>
      <c r="E20" s="233">
        <v>6</v>
      </c>
      <c r="F20" s="271"/>
      <c r="G20" s="230"/>
      <c r="H20" s="230"/>
      <c r="I20" s="230"/>
      <c r="J20" s="230"/>
      <c r="K20" s="230"/>
      <c r="L20" s="230"/>
      <c r="M20" s="230"/>
      <c r="N20" s="233"/>
      <c r="O20" s="230"/>
      <c r="P20" s="230"/>
      <c r="Q20" s="230"/>
      <c r="R20" s="230"/>
      <c r="S20" s="226"/>
      <c r="T20" s="226"/>
      <c r="U20" s="98"/>
      <c r="V20" s="98"/>
      <c r="W20" s="99" t="s">
        <v>432</v>
      </c>
      <c r="X20" s="252">
        <f>14+14+14+12+10+8+4+6+2+4</f>
        <v>88</v>
      </c>
      <c r="Y20" s="243">
        <f>2+2+2+2+1</f>
        <v>9</v>
      </c>
      <c r="Z20" s="230">
        <v>10</v>
      </c>
      <c r="AA20" s="230">
        <v>5</v>
      </c>
      <c r="AB20" s="243">
        <f t="shared" si="6"/>
        <v>0.9</v>
      </c>
      <c r="AC20" s="240">
        <f t="shared" si="3"/>
        <v>8.8000000000000007</v>
      </c>
      <c r="AD20" s="230">
        <v>1000</v>
      </c>
      <c r="AE20" s="230">
        <f t="shared" si="4"/>
        <v>2000</v>
      </c>
      <c r="AF20" s="99" t="s">
        <v>432</v>
      </c>
      <c r="AG20" s="98"/>
      <c r="AH20" s="98"/>
      <c r="AI20" s="98"/>
      <c r="AJ20" s="98"/>
      <c r="AK20" s="226"/>
      <c r="AL20" s="226"/>
      <c r="AM20" s="98"/>
      <c r="AN20" s="98"/>
      <c r="AO20" s="99"/>
      <c r="AP20">
        <v>600</v>
      </c>
    </row>
    <row r="21" spans="1:42" x14ac:dyDescent="0.3">
      <c r="A21" s="110" t="s">
        <v>517</v>
      </c>
      <c r="B21" s="110">
        <v>1000</v>
      </c>
      <c r="C21" s="98" t="s">
        <v>480</v>
      </c>
      <c r="D21" s="230">
        <v>12</v>
      </c>
      <c r="E21" s="233">
        <v>6</v>
      </c>
      <c r="F21" s="271"/>
      <c r="G21" s="230"/>
      <c r="H21" s="230"/>
      <c r="I21" s="230"/>
      <c r="J21" s="230"/>
      <c r="K21" s="230"/>
      <c r="L21" s="230"/>
      <c r="M21" s="230"/>
      <c r="N21" s="233"/>
      <c r="O21" s="230"/>
      <c r="P21" s="230"/>
      <c r="Q21" s="230"/>
      <c r="R21" s="230"/>
      <c r="S21" s="226"/>
      <c r="T21" s="226"/>
      <c r="U21" s="98"/>
      <c r="V21" s="98"/>
      <c r="W21" s="99" t="s">
        <v>432</v>
      </c>
      <c r="X21" s="252">
        <f>12+12+14+12+8+8+8+8+0+2</f>
        <v>84</v>
      </c>
      <c r="Y21" s="230">
        <f>1+3+1+4+3</f>
        <v>12</v>
      </c>
      <c r="Z21" s="230">
        <v>10</v>
      </c>
      <c r="AA21" s="230">
        <v>5</v>
      </c>
      <c r="AB21" s="230">
        <f t="shared" si="6"/>
        <v>1.2</v>
      </c>
      <c r="AC21" s="240">
        <f t="shared" si="3"/>
        <v>8.4</v>
      </c>
      <c r="AD21" s="230">
        <v>1000</v>
      </c>
      <c r="AE21" s="230">
        <f t="shared" si="4"/>
        <v>2000</v>
      </c>
      <c r="AF21" s="99" t="s">
        <v>432</v>
      </c>
      <c r="AG21" s="98"/>
      <c r="AH21" s="98"/>
      <c r="AI21" s="98"/>
      <c r="AJ21" s="98"/>
      <c r="AK21" s="226"/>
      <c r="AL21" s="226"/>
      <c r="AM21" s="98"/>
      <c r="AN21" s="98"/>
      <c r="AO21" s="99"/>
      <c r="AP21">
        <v>600</v>
      </c>
    </row>
    <row r="22" spans="1:42" x14ac:dyDescent="0.3">
      <c r="A22" s="110" t="s">
        <v>517</v>
      </c>
      <c r="B22" s="110">
        <v>2000</v>
      </c>
      <c r="C22" s="244" t="s">
        <v>481</v>
      </c>
      <c r="D22" s="98">
        <v>21</v>
      </c>
      <c r="E22" s="99">
        <v>7</v>
      </c>
      <c r="F22" s="110"/>
      <c r="G22" s="98"/>
      <c r="H22" s="98"/>
      <c r="I22" s="98"/>
      <c r="J22" s="98"/>
      <c r="K22" s="98"/>
      <c r="L22" s="98"/>
      <c r="M22" s="98"/>
      <c r="N22" s="99"/>
      <c r="O22" s="98"/>
      <c r="P22" s="98"/>
      <c r="Q22" s="98"/>
      <c r="R22" s="98"/>
      <c r="S22" s="226"/>
      <c r="T22" s="226"/>
      <c r="U22" s="98"/>
      <c r="V22" s="98"/>
      <c r="W22" s="99" t="s">
        <v>432</v>
      </c>
      <c r="X22" s="253">
        <f>18+12+12+12+14+14+14+14+14+12+14+12+14+10+12+0+4+6+2+2+0</f>
        <v>212</v>
      </c>
      <c r="Y22" s="241">
        <f>4+3+3+1+3+3+4</f>
        <v>21</v>
      </c>
      <c r="Z22" s="230">
        <v>21</v>
      </c>
      <c r="AA22" s="230">
        <v>7</v>
      </c>
      <c r="AB22" s="242">
        <f t="shared" si="6"/>
        <v>1</v>
      </c>
      <c r="AC22" s="240">
        <f t="shared" si="3"/>
        <v>10.095238095238095</v>
      </c>
      <c r="AD22" s="230">
        <v>2000</v>
      </c>
      <c r="AE22" s="230">
        <f t="shared" si="4"/>
        <v>4000</v>
      </c>
      <c r="AF22" s="99" t="s">
        <v>432</v>
      </c>
      <c r="AG22" s="98"/>
      <c r="AH22" s="98"/>
      <c r="AI22" s="98"/>
      <c r="AJ22" s="98"/>
      <c r="AK22" s="226"/>
      <c r="AL22" s="226"/>
      <c r="AM22" s="98"/>
      <c r="AN22" s="98"/>
      <c r="AO22" s="99"/>
      <c r="AP22">
        <v>1200</v>
      </c>
    </row>
    <row r="23" spans="1:42" x14ac:dyDescent="0.3">
      <c r="A23" s="110" t="s">
        <v>516</v>
      </c>
      <c r="B23" s="110">
        <v>250</v>
      </c>
      <c r="C23" s="98" t="s">
        <v>483</v>
      </c>
      <c r="D23" s="98">
        <v>10</v>
      </c>
      <c r="E23" s="99">
        <v>5</v>
      </c>
      <c r="F23" s="110"/>
      <c r="G23" s="98"/>
      <c r="H23" s="98"/>
      <c r="I23" s="98"/>
      <c r="J23" s="98"/>
      <c r="K23" s="98"/>
      <c r="L23" s="98"/>
      <c r="M23" s="98"/>
      <c r="N23" s="99"/>
      <c r="O23" s="98"/>
      <c r="P23" s="98"/>
      <c r="Q23" s="98"/>
      <c r="R23" s="98"/>
      <c r="S23" s="226"/>
      <c r="T23" s="226"/>
      <c r="U23" s="98"/>
      <c r="V23" s="98"/>
      <c r="W23" s="99" t="s">
        <v>432</v>
      </c>
      <c r="X23" s="253">
        <f>14+12+14+12+14+12+8+4</f>
        <v>90</v>
      </c>
      <c r="Y23" s="98">
        <f>3+2+3+1</f>
        <v>9</v>
      </c>
      <c r="Z23" s="230">
        <v>8</v>
      </c>
      <c r="AA23" s="230">
        <v>4</v>
      </c>
      <c r="AB23" s="230">
        <f t="shared" si="6"/>
        <v>1.125</v>
      </c>
      <c r="AC23" s="240">
        <f t="shared" si="3"/>
        <v>11.25</v>
      </c>
      <c r="AD23" s="230">
        <v>250</v>
      </c>
      <c r="AE23" s="230">
        <f t="shared" si="4"/>
        <v>500</v>
      </c>
      <c r="AF23" s="99" t="s">
        <v>432</v>
      </c>
      <c r="AG23" s="238">
        <f>24+24+29+24+23+24+13+3</f>
        <v>164</v>
      </c>
      <c r="AH23" s="231">
        <f>3+3+5+3+1+4+3+6</f>
        <v>28</v>
      </c>
      <c r="AI23" s="231">
        <v>16</v>
      </c>
      <c r="AJ23" s="98">
        <v>8</v>
      </c>
      <c r="AK23" s="226">
        <f>AH23/AI23</f>
        <v>1.75</v>
      </c>
      <c r="AL23" s="240">
        <f t="shared" ref="AL23:AL27" si="7">AG23/AI23</f>
        <v>10.25</v>
      </c>
      <c r="AM23" s="98">
        <v>270</v>
      </c>
      <c r="AN23" s="98">
        <v>500</v>
      </c>
      <c r="AO23" s="99" t="s">
        <v>498</v>
      </c>
    </row>
    <row r="24" spans="1:42" x14ac:dyDescent="0.3">
      <c r="A24" s="110" t="s">
        <v>518</v>
      </c>
      <c r="B24" s="110">
        <v>1000</v>
      </c>
      <c r="C24" s="98" t="s">
        <v>482</v>
      </c>
      <c r="D24" s="230">
        <v>12</v>
      </c>
      <c r="E24" s="233">
        <v>6</v>
      </c>
      <c r="F24" s="271"/>
      <c r="G24" s="230"/>
      <c r="H24" s="230"/>
      <c r="I24" s="230"/>
      <c r="J24" s="230"/>
      <c r="K24" s="230"/>
      <c r="L24" s="230"/>
      <c r="M24" s="230"/>
      <c r="N24" s="233"/>
      <c r="O24" s="230"/>
      <c r="P24" s="230"/>
      <c r="Q24" s="230"/>
      <c r="R24" s="230"/>
      <c r="S24" s="226"/>
      <c r="T24" s="226"/>
      <c r="U24" s="98"/>
      <c r="V24" s="98"/>
      <c r="W24" s="99" t="s">
        <v>432</v>
      </c>
      <c r="X24" s="252">
        <f>16+16+14+12+14+6+6+2+0+2</f>
        <v>88</v>
      </c>
      <c r="Y24" s="230">
        <f>4+2+4+3+3</f>
        <v>16</v>
      </c>
      <c r="Z24" s="230">
        <v>10</v>
      </c>
      <c r="AA24" s="230">
        <v>5</v>
      </c>
      <c r="AB24" s="230">
        <f t="shared" si="6"/>
        <v>1.6</v>
      </c>
      <c r="AC24" s="240">
        <f t="shared" si="3"/>
        <v>8.8000000000000007</v>
      </c>
      <c r="AD24" s="230">
        <v>1000</v>
      </c>
      <c r="AE24" s="230">
        <f t="shared" si="4"/>
        <v>2000</v>
      </c>
      <c r="AF24" s="99" t="s">
        <v>432</v>
      </c>
      <c r="AG24" s="239"/>
      <c r="AH24" s="98"/>
      <c r="AI24" s="98"/>
      <c r="AJ24" s="98"/>
      <c r="AK24" s="226"/>
      <c r="AL24" s="240"/>
      <c r="AM24" s="98"/>
      <c r="AN24" s="98"/>
      <c r="AO24" s="99" t="s">
        <v>485</v>
      </c>
      <c r="AP24">
        <v>600</v>
      </c>
    </row>
    <row r="25" spans="1:42" x14ac:dyDescent="0.3">
      <c r="A25" s="110" t="s">
        <v>518</v>
      </c>
      <c r="B25" s="110">
        <v>250</v>
      </c>
      <c r="C25" s="98" t="s">
        <v>484</v>
      </c>
      <c r="D25" s="98">
        <v>10</v>
      </c>
      <c r="E25" s="99">
        <v>5</v>
      </c>
      <c r="F25" s="110"/>
      <c r="G25" s="98"/>
      <c r="H25" s="98"/>
      <c r="I25" s="98"/>
      <c r="J25" s="98"/>
      <c r="K25" s="98"/>
      <c r="L25" s="98"/>
      <c r="M25" s="98"/>
      <c r="N25" s="99"/>
      <c r="O25" s="98"/>
      <c r="P25" s="98"/>
      <c r="Q25" s="98"/>
      <c r="R25" s="98"/>
      <c r="S25" s="226"/>
      <c r="T25" s="226"/>
      <c r="U25" s="98"/>
      <c r="V25" s="230"/>
      <c r="W25" s="99" t="s">
        <v>432</v>
      </c>
      <c r="X25" s="253">
        <f>14+14+14+16+12+14+14+10</f>
        <v>108</v>
      </c>
      <c r="Y25" s="98">
        <f>3+3+3+3</f>
        <v>12</v>
      </c>
      <c r="Z25" s="230">
        <v>8</v>
      </c>
      <c r="AA25" s="230">
        <v>4</v>
      </c>
      <c r="AB25" s="226">
        <f t="shared" si="6"/>
        <v>1.5</v>
      </c>
      <c r="AC25" s="240">
        <f t="shared" si="3"/>
        <v>13.5</v>
      </c>
      <c r="AD25" s="230">
        <v>250</v>
      </c>
      <c r="AE25" s="230">
        <f t="shared" si="4"/>
        <v>500</v>
      </c>
      <c r="AF25" s="99" t="s">
        <v>432</v>
      </c>
      <c r="AG25" s="238">
        <f>24+24+23+24+24</f>
        <v>119</v>
      </c>
      <c r="AH25" s="98">
        <f>3+3+1+2+2</f>
        <v>11</v>
      </c>
      <c r="AI25" s="98">
        <v>10</v>
      </c>
      <c r="AJ25" s="98">
        <v>5</v>
      </c>
      <c r="AK25" s="226">
        <f>AH25/AI25</f>
        <v>1.1000000000000001</v>
      </c>
      <c r="AL25" s="240">
        <f t="shared" si="7"/>
        <v>11.9</v>
      </c>
      <c r="AM25" s="98">
        <v>250</v>
      </c>
      <c r="AN25" s="230">
        <f>AM25*2</f>
        <v>500</v>
      </c>
      <c r="AO25" s="99" t="s">
        <v>485</v>
      </c>
    </row>
    <row r="26" spans="1:42" x14ac:dyDescent="0.3">
      <c r="A26" s="110" t="s">
        <v>518</v>
      </c>
      <c r="B26" s="110">
        <v>500</v>
      </c>
      <c r="C26" s="98" t="s">
        <v>486</v>
      </c>
      <c r="D26" s="98">
        <v>10</v>
      </c>
      <c r="E26" s="99">
        <v>5</v>
      </c>
      <c r="F26" s="110"/>
      <c r="G26" s="98"/>
      <c r="H26" s="98"/>
      <c r="I26" s="98"/>
      <c r="J26" s="98"/>
      <c r="K26" s="98"/>
      <c r="L26" s="98"/>
      <c r="M26" s="98"/>
      <c r="N26" s="99"/>
      <c r="O26" s="98"/>
      <c r="P26" s="98"/>
      <c r="Q26" s="98"/>
      <c r="R26" s="98"/>
      <c r="S26" s="226"/>
      <c r="T26" s="226"/>
      <c r="U26" s="98"/>
      <c r="V26" s="230"/>
      <c r="W26" s="99" t="s">
        <v>432</v>
      </c>
      <c r="X26" s="253">
        <f>14+14+16+12+12+16+6+6</f>
        <v>96</v>
      </c>
      <c r="Y26" s="98">
        <f>2+3+7+2</f>
        <v>14</v>
      </c>
      <c r="Z26" s="230">
        <v>8</v>
      </c>
      <c r="AA26" s="230">
        <v>4</v>
      </c>
      <c r="AB26" s="226">
        <f t="shared" si="6"/>
        <v>1.75</v>
      </c>
      <c r="AC26" s="240">
        <f t="shared" si="3"/>
        <v>12</v>
      </c>
      <c r="AD26" s="230">
        <v>500</v>
      </c>
      <c r="AE26" s="230">
        <f t="shared" si="4"/>
        <v>1000</v>
      </c>
      <c r="AF26" s="99" t="s">
        <v>432</v>
      </c>
      <c r="AG26" s="238">
        <f>24+29+24+24+29+13</f>
        <v>143</v>
      </c>
      <c r="AH26" s="98">
        <f>3+4+2+3+5+4</f>
        <v>21</v>
      </c>
      <c r="AI26" s="98">
        <v>12</v>
      </c>
      <c r="AJ26" s="98">
        <v>6</v>
      </c>
      <c r="AK26" s="226">
        <f>AH26/AI26</f>
        <v>1.75</v>
      </c>
      <c r="AL26" s="240">
        <f t="shared" si="7"/>
        <v>11.916666666666666</v>
      </c>
      <c r="AM26" s="98">
        <v>500</v>
      </c>
      <c r="AN26" s="230">
        <f t="shared" ref="AN26:AN27" si="8">AM26*2</f>
        <v>1000</v>
      </c>
      <c r="AO26" s="99" t="s">
        <v>487</v>
      </c>
      <c r="AP26" s="230">
        <v>500</v>
      </c>
    </row>
    <row r="27" spans="1:42" x14ac:dyDescent="0.3">
      <c r="A27" s="110" t="s">
        <v>518</v>
      </c>
      <c r="B27" s="110">
        <v>1000</v>
      </c>
      <c r="C27" s="98" t="s">
        <v>488</v>
      </c>
      <c r="D27" s="230">
        <v>12</v>
      </c>
      <c r="E27" s="233">
        <v>6</v>
      </c>
      <c r="F27" s="271"/>
      <c r="G27" s="230"/>
      <c r="H27" s="230"/>
      <c r="I27" s="230"/>
      <c r="J27" s="230"/>
      <c r="K27" s="230"/>
      <c r="L27" s="230"/>
      <c r="M27" s="230"/>
      <c r="N27" s="233"/>
      <c r="O27" s="230"/>
      <c r="P27" s="230"/>
      <c r="Q27" s="230"/>
      <c r="R27" s="230"/>
      <c r="S27" s="226"/>
      <c r="T27" s="226"/>
      <c r="U27" s="98"/>
      <c r="V27" s="98"/>
      <c r="W27" s="99" t="s">
        <v>432</v>
      </c>
      <c r="X27" s="252">
        <f>10+16+16+12+14+10+8+6+0+4</f>
        <v>96</v>
      </c>
      <c r="Y27" s="230">
        <f>4+3+2+4+3</f>
        <v>16</v>
      </c>
      <c r="Z27" s="230">
        <v>10</v>
      </c>
      <c r="AA27" s="230">
        <v>5</v>
      </c>
      <c r="AB27" s="226">
        <f t="shared" si="6"/>
        <v>1.6</v>
      </c>
      <c r="AC27" s="240">
        <f t="shared" si="3"/>
        <v>9.6</v>
      </c>
      <c r="AD27" s="230">
        <v>1000</v>
      </c>
      <c r="AE27" s="230">
        <f t="shared" si="4"/>
        <v>2000</v>
      </c>
      <c r="AF27" s="99" t="s">
        <v>432</v>
      </c>
      <c r="AG27" s="243">
        <f>29+24+24+23+13+3</f>
        <v>116</v>
      </c>
      <c r="AH27" s="230">
        <f>5+3+2+1+3+10</f>
        <v>24</v>
      </c>
      <c r="AI27" s="230">
        <v>12</v>
      </c>
      <c r="AJ27" s="230">
        <v>6</v>
      </c>
      <c r="AK27" s="226">
        <f>AH27/AI27</f>
        <v>2</v>
      </c>
      <c r="AL27" s="269">
        <f t="shared" si="7"/>
        <v>9.6666666666666661</v>
      </c>
      <c r="AM27" s="230">
        <v>1000</v>
      </c>
      <c r="AN27" s="230">
        <f t="shared" si="8"/>
        <v>2000</v>
      </c>
      <c r="AO27" s="99" t="s">
        <v>489</v>
      </c>
      <c r="AP27" s="230">
        <v>600</v>
      </c>
    </row>
    <row r="28" spans="1:42" ht="15" thickBot="1" x14ac:dyDescent="0.35">
      <c r="A28" s="111" t="s">
        <v>509</v>
      </c>
      <c r="B28" s="111">
        <v>1500</v>
      </c>
      <c r="C28" s="248" t="s">
        <v>490</v>
      </c>
      <c r="D28" s="101">
        <v>10</v>
      </c>
      <c r="E28" s="102">
        <v>5</v>
      </c>
      <c r="F28" s="111"/>
      <c r="G28" s="101"/>
      <c r="H28" s="101"/>
      <c r="I28" s="101"/>
      <c r="J28" s="101"/>
      <c r="K28" s="101"/>
      <c r="L28" s="101"/>
      <c r="M28" s="101"/>
      <c r="N28" s="102"/>
      <c r="O28" s="101"/>
      <c r="P28" s="101"/>
      <c r="Q28" s="101"/>
      <c r="R28" s="101"/>
      <c r="S28" s="232"/>
      <c r="T28" s="232"/>
      <c r="U28" s="101"/>
      <c r="V28" s="101"/>
      <c r="W28" s="102" t="s">
        <v>432</v>
      </c>
      <c r="X28" s="258">
        <f>14+14+8+10+0+4+4+6+6+0</f>
        <v>66</v>
      </c>
      <c r="Y28" s="258">
        <f>3+2+4+2+1</f>
        <v>12</v>
      </c>
      <c r="Z28" s="101">
        <v>10</v>
      </c>
      <c r="AA28" s="101">
        <v>5</v>
      </c>
      <c r="AB28" s="259">
        <f t="shared" si="6"/>
        <v>1.2</v>
      </c>
      <c r="AC28" s="259">
        <f>X28/Z28</f>
        <v>6.6</v>
      </c>
      <c r="AD28" s="101">
        <v>1500</v>
      </c>
      <c r="AE28" s="265">
        <f t="shared" si="4"/>
        <v>3000</v>
      </c>
      <c r="AF28" s="102" t="s">
        <v>432</v>
      </c>
      <c r="AG28" s="101"/>
      <c r="AH28" s="101"/>
      <c r="AI28" s="101"/>
      <c r="AJ28" s="101"/>
      <c r="AK28" s="232"/>
      <c r="AL28" s="232"/>
      <c r="AM28" s="101"/>
      <c r="AN28" s="101"/>
      <c r="AO28" s="102" t="s">
        <v>446</v>
      </c>
      <c r="AP28">
        <v>1000</v>
      </c>
    </row>
    <row r="30" spans="1:42" x14ac:dyDescent="0.3">
      <c r="A30" s="182">
        <f>C34/C36</f>
        <v>10.640826873385013</v>
      </c>
      <c r="C30" t="s">
        <v>493</v>
      </c>
    </row>
    <row r="31" spans="1:42" x14ac:dyDescent="0.3">
      <c r="A31" s="33">
        <f>SUM(X11:X28)/SUM(Z11:Z28)</f>
        <v>9.8407960199004982</v>
      </c>
    </row>
    <row r="32" spans="1:42" x14ac:dyDescent="0.3">
      <c r="A32" t="s">
        <v>432</v>
      </c>
      <c r="C32">
        <f>AO1+AF1+W1+N1</f>
        <v>76</v>
      </c>
    </row>
    <row r="33" spans="1:4" x14ac:dyDescent="0.3">
      <c r="A33" t="s">
        <v>519</v>
      </c>
      <c r="C33" s="260">
        <f>AN1+AE1+V1+M1</f>
        <v>55.86</v>
      </c>
    </row>
    <row r="34" spans="1:4" x14ac:dyDescent="0.3">
      <c r="A34" t="s">
        <v>505</v>
      </c>
      <c r="C34" s="33">
        <f>AG1+X1+O1+F1</f>
        <v>4118</v>
      </c>
    </row>
    <row r="35" spans="1:4" x14ac:dyDescent="0.3">
      <c r="A35" t="s">
        <v>507</v>
      </c>
      <c r="C35">
        <f>AJ1+AA1+R1+I1</f>
        <v>176</v>
      </c>
    </row>
    <row r="36" spans="1:4" x14ac:dyDescent="0.3">
      <c r="A36" t="s">
        <v>506</v>
      </c>
      <c r="C36">
        <f>AI1+Z1+Q1+H1</f>
        <v>387</v>
      </c>
    </row>
    <row r="37" spans="1:4" x14ac:dyDescent="0.3">
      <c r="A37" t="s">
        <v>494</v>
      </c>
      <c r="C37">
        <f>AJ1+AA1+R1+I1</f>
        <v>176</v>
      </c>
    </row>
    <row r="38" spans="1:4" x14ac:dyDescent="0.3">
      <c r="A38" t="s">
        <v>499</v>
      </c>
      <c r="B38">
        <f>T1+AC1+AL1</f>
        <v>33</v>
      </c>
    </row>
    <row r="39" spans="1:4" x14ac:dyDescent="0.3">
      <c r="A39" t="s">
        <v>442</v>
      </c>
      <c r="B39">
        <v>11</v>
      </c>
      <c r="C39">
        <v>7</v>
      </c>
      <c r="D39" s="226">
        <f>C39/8</f>
        <v>0.875</v>
      </c>
    </row>
    <row r="40" spans="1:4" x14ac:dyDescent="0.3">
      <c r="A40" t="s">
        <v>447</v>
      </c>
      <c r="B40">
        <v>6</v>
      </c>
      <c r="C40">
        <v>6</v>
      </c>
      <c r="D40" s="226">
        <f>C40/8</f>
        <v>0.75</v>
      </c>
    </row>
    <row r="41" spans="1:4" x14ac:dyDescent="0.3">
      <c r="A41" t="s">
        <v>450</v>
      </c>
      <c r="B41">
        <v>10</v>
      </c>
      <c r="C41">
        <v>9</v>
      </c>
      <c r="D41" s="226">
        <f>C41/10</f>
        <v>0.9</v>
      </c>
    </row>
    <row r="42" spans="1:4" x14ac:dyDescent="0.3">
      <c r="A42" t="s">
        <v>433</v>
      </c>
      <c r="B42">
        <v>5</v>
      </c>
      <c r="C42">
        <v>21</v>
      </c>
      <c r="D42" s="226">
        <f>C42/21</f>
        <v>1</v>
      </c>
    </row>
    <row r="43" spans="1:4" x14ac:dyDescent="0.3">
      <c r="A43" t="s">
        <v>457</v>
      </c>
      <c r="B43">
        <v>1</v>
      </c>
      <c r="C43">
        <v>12</v>
      </c>
      <c r="D43" s="226">
        <f>C43/10</f>
        <v>1.2</v>
      </c>
    </row>
    <row r="44" spans="1:4" x14ac:dyDescent="0.3">
      <c r="A44" t="s">
        <v>531</v>
      </c>
      <c r="B44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C1947-61C8-4D24-A722-FC0413F5EAAF}">
  <sheetPr codeName="Feuil13"/>
  <dimension ref="A1:N182"/>
  <sheetViews>
    <sheetView workbookViewId="0">
      <selection activeCell="E30" sqref="E30"/>
    </sheetView>
  </sheetViews>
  <sheetFormatPr baseColWidth="10" defaultRowHeight="14.4" x14ac:dyDescent="0.3"/>
  <cols>
    <col min="8" max="8" width="11.5546875" style="43"/>
  </cols>
  <sheetData>
    <row r="1" spans="1:14" x14ac:dyDescent="0.3">
      <c r="A1" t="s">
        <v>522</v>
      </c>
      <c r="B1" t="s">
        <v>521</v>
      </c>
      <c r="C1" t="s">
        <v>520</v>
      </c>
      <c r="D1" t="s">
        <v>523</v>
      </c>
      <c r="E1" t="s">
        <v>524</v>
      </c>
      <c r="F1" t="s">
        <v>526</v>
      </c>
      <c r="G1" t="s">
        <v>525</v>
      </c>
      <c r="I1" s="43">
        <f>H182</f>
        <v>-17.00519218775662</v>
      </c>
      <c r="J1">
        <f>I1/15</f>
        <v>-1.1336794791837748</v>
      </c>
      <c r="L1">
        <f>4500+3500+500+2000</f>
        <v>10500</v>
      </c>
      <c r="M1">
        <f>D6+1400</f>
        <v>4726</v>
      </c>
      <c r="N1">
        <f>M1/L1</f>
        <v>0.4500952380952381</v>
      </c>
    </row>
    <row r="2" spans="1:14" x14ac:dyDescent="0.3">
      <c r="A2">
        <v>620000</v>
      </c>
      <c r="B2">
        <f>A2*1.08</f>
        <v>669600</v>
      </c>
      <c r="C2">
        <v>75000</v>
      </c>
      <c r="D2">
        <v>15</v>
      </c>
      <c r="E2" s="254">
        <v>1.0999999999999999E-2</v>
      </c>
      <c r="F2">
        <v>300</v>
      </c>
      <c r="G2">
        <v>0</v>
      </c>
      <c r="H2" s="43">
        <f>B2-C2</f>
        <v>594600</v>
      </c>
      <c r="L2">
        <f>5000+4500+500+2000</f>
        <v>12000</v>
      </c>
      <c r="M2">
        <f>D6+1400</f>
        <v>4726</v>
      </c>
      <c r="N2">
        <f>M2/L2</f>
        <v>0.39383333333333331</v>
      </c>
    </row>
    <row r="3" spans="1:14" x14ac:dyDescent="0.3">
      <c r="G3">
        <v>1</v>
      </c>
      <c r="H3" s="43">
        <f t="shared" ref="H3:H34" si="0">H2*(1+$E$2)^(1/12)+$F$2-$C$6</f>
        <v>591558.82119806239</v>
      </c>
      <c r="L3">
        <f>5000+4500+500+2000</f>
        <v>12000</v>
      </c>
      <c r="M3">
        <f>C6+1400</f>
        <v>5283.5</v>
      </c>
      <c r="N3">
        <f>M3/L3</f>
        <v>0.44029166666666669</v>
      </c>
    </row>
    <row r="4" spans="1:14" x14ac:dyDescent="0.3">
      <c r="G4">
        <v>2</v>
      </c>
      <c r="H4" s="43">
        <f t="shared" si="0"/>
        <v>588514.86860579287</v>
      </c>
    </row>
    <row r="5" spans="1:14" x14ac:dyDescent="0.3">
      <c r="C5" t="s">
        <v>527</v>
      </c>
      <c r="D5" t="s">
        <v>528</v>
      </c>
      <c r="E5" t="s">
        <v>529</v>
      </c>
      <c r="F5" t="s">
        <v>530</v>
      </c>
      <c r="G5">
        <v>3</v>
      </c>
      <c r="H5" s="43">
        <f t="shared" si="0"/>
        <v>585468.13969327998</v>
      </c>
    </row>
    <row r="6" spans="1:14" x14ac:dyDescent="0.3">
      <c r="C6">
        <v>3883.5</v>
      </c>
      <c r="D6">
        <v>3326</v>
      </c>
      <c r="E6">
        <v>3627</v>
      </c>
      <c r="F6">
        <v>4078.7</v>
      </c>
      <c r="G6">
        <v>4</v>
      </c>
      <c r="H6" s="43">
        <f t="shared" si="0"/>
        <v>582418.63192830491</v>
      </c>
    </row>
    <row r="7" spans="1:14" x14ac:dyDescent="0.3">
      <c r="G7">
        <v>5</v>
      </c>
      <c r="H7" s="43">
        <f t="shared" si="0"/>
        <v>579366.34277633927</v>
      </c>
    </row>
    <row r="8" spans="1:14" x14ac:dyDescent="0.3">
      <c r="G8">
        <v>6</v>
      </c>
      <c r="H8" s="43">
        <f t="shared" si="0"/>
        <v>576311.26970054291</v>
      </c>
    </row>
    <row r="9" spans="1:14" x14ac:dyDescent="0.3">
      <c r="G9">
        <v>7</v>
      </c>
      <c r="H9" s="43">
        <f t="shared" si="0"/>
        <v>573253.41016176203</v>
      </c>
    </row>
    <row r="10" spans="1:14" x14ac:dyDescent="0.3">
      <c r="G10">
        <v>8</v>
      </c>
      <c r="H10" s="43">
        <f t="shared" si="0"/>
        <v>570192.76161852677</v>
      </c>
    </row>
    <row r="11" spans="1:14" x14ac:dyDescent="0.3">
      <c r="G11">
        <v>9</v>
      </c>
      <c r="H11" s="43">
        <f t="shared" si="0"/>
        <v>567129.32152704929</v>
      </c>
    </row>
    <row r="12" spans="1:14" x14ac:dyDescent="0.3">
      <c r="G12">
        <v>10</v>
      </c>
      <c r="H12" s="43">
        <f t="shared" si="0"/>
        <v>564063.08734122163</v>
      </c>
    </row>
    <row r="13" spans="1:14" x14ac:dyDescent="0.3">
      <c r="G13">
        <v>11</v>
      </c>
      <c r="H13" s="43">
        <f t="shared" si="0"/>
        <v>560994.05651261366</v>
      </c>
    </row>
    <row r="14" spans="1:14" x14ac:dyDescent="0.3">
      <c r="G14">
        <v>12</v>
      </c>
      <c r="H14" s="43">
        <f t="shared" si="0"/>
        <v>557922.22649047081</v>
      </c>
    </row>
    <row r="15" spans="1:14" x14ac:dyDescent="0.3">
      <c r="G15">
        <v>13</v>
      </c>
      <c r="H15" s="43">
        <f t="shared" si="0"/>
        <v>554847.59472171194</v>
      </c>
    </row>
    <row r="16" spans="1:14" x14ac:dyDescent="0.3">
      <c r="G16">
        <v>14</v>
      </c>
      <c r="H16" s="43">
        <f t="shared" si="0"/>
        <v>551770.15865092748</v>
      </c>
    </row>
    <row r="17" spans="7:8" x14ac:dyDescent="0.3">
      <c r="G17">
        <v>15</v>
      </c>
      <c r="H17" s="43">
        <f t="shared" si="0"/>
        <v>548689.915720377</v>
      </c>
    </row>
    <row r="18" spans="7:8" x14ac:dyDescent="0.3">
      <c r="G18">
        <v>16</v>
      </c>
      <c r="H18" s="43">
        <f t="shared" si="0"/>
        <v>545606.86336998723</v>
      </c>
    </row>
    <row r="19" spans="7:8" x14ac:dyDescent="0.3">
      <c r="G19">
        <v>17</v>
      </c>
      <c r="H19" s="43">
        <f t="shared" si="0"/>
        <v>542520.99903734995</v>
      </c>
    </row>
    <row r="20" spans="7:8" x14ac:dyDescent="0.3">
      <c r="G20">
        <v>18</v>
      </c>
      <c r="H20" s="43">
        <f t="shared" si="0"/>
        <v>539432.32015771989</v>
      </c>
    </row>
    <row r="21" spans="7:8" x14ac:dyDescent="0.3">
      <c r="G21">
        <v>19</v>
      </c>
      <c r="H21" s="43">
        <f t="shared" si="0"/>
        <v>536340.82416401245</v>
      </c>
    </row>
    <row r="22" spans="7:8" x14ac:dyDescent="0.3">
      <c r="G22">
        <v>20</v>
      </c>
      <c r="H22" s="43">
        <f t="shared" si="0"/>
        <v>533246.50848680164</v>
      </c>
    </row>
    <row r="23" spans="7:8" x14ac:dyDescent="0.3">
      <c r="G23">
        <v>21</v>
      </c>
      <c r="H23" s="43">
        <f t="shared" si="0"/>
        <v>530149.37055431795</v>
      </c>
    </row>
    <row r="24" spans="7:8" x14ac:dyDescent="0.3">
      <c r="G24">
        <v>22</v>
      </c>
      <c r="H24" s="43">
        <f t="shared" si="0"/>
        <v>527049.4077924462</v>
      </c>
    </row>
    <row r="25" spans="7:8" x14ac:dyDescent="0.3">
      <c r="G25">
        <v>23</v>
      </c>
      <c r="H25" s="43">
        <f t="shared" si="0"/>
        <v>523946.61762472359</v>
      </c>
    </row>
    <row r="26" spans="7:8" x14ac:dyDescent="0.3">
      <c r="G26">
        <v>24</v>
      </c>
      <c r="H26" s="43">
        <f t="shared" si="0"/>
        <v>520840.9974723371</v>
      </c>
    </row>
    <row r="27" spans="7:8" x14ac:dyDescent="0.3">
      <c r="G27">
        <v>25</v>
      </c>
      <c r="H27" s="43">
        <f t="shared" si="0"/>
        <v>517732.54475412186</v>
      </c>
    </row>
    <row r="28" spans="7:8" x14ac:dyDescent="0.3">
      <c r="G28">
        <v>26</v>
      </c>
      <c r="H28" s="43">
        <f t="shared" si="0"/>
        <v>514621.25688655872</v>
      </c>
    </row>
    <row r="29" spans="7:8" x14ac:dyDescent="0.3">
      <c r="G29">
        <v>27</v>
      </c>
      <c r="H29" s="43">
        <f t="shared" si="0"/>
        <v>511507.13128377218</v>
      </c>
    </row>
    <row r="30" spans="7:8" x14ac:dyDescent="0.3">
      <c r="G30">
        <v>28</v>
      </c>
      <c r="H30" s="43">
        <f t="shared" si="0"/>
        <v>508390.16535752814</v>
      </c>
    </row>
    <row r="31" spans="7:8" x14ac:dyDescent="0.3">
      <c r="G31">
        <v>29</v>
      </c>
      <c r="H31" s="43">
        <f t="shared" si="0"/>
        <v>505270.35651723191</v>
      </c>
    </row>
    <row r="32" spans="7:8" x14ac:dyDescent="0.3">
      <c r="G32">
        <v>30</v>
      </c>
      <c r="H32" s="43">
        <f t="shared" si="0"/>
        <v>502147.70216992591</v>
      </c>
    </row>
    <row r="33" spans="7:8" x14ac:dyDescent="0.3">
      <c r="G33">
        <v>31</v>
      </c>
      <c r="H33" s="43">
        <f t="shared" si="0"/>
        <v>499022.19972028764</v>
      </c>
    </row>
    <row r="34" spans="7:8" x14ac:dyDescent="0.3">
      <c r="G34">
        <v>32</v>
      </c>
      <c r="H34" s="43">
        <f t="shared" si="0"/>
        <v>495893.84657062747</v>
      </c>
    </row>
    <row r="35" spans="7:8" x14ac:dyDescent="0.3">
      <c r="G35">
        <v>33</v>
      </c>
      <c r="H35" s="43">
        <f t="shared" ref="H35:H66" si="1">H34*(1+$E$2)^(1/12)+$F$2-$C$6</f>
        <v>492762.64012088644</v>
      </c>
    </row>
    <row r="36" spans="7:8" x14ac:dyDescent="0.3">
      <c r="G36">
        <v>34</v>
      </c>
      <c r="H36" s="43">
        <f t="shared" si="1"/>
        <v>489628.57776863413</v>
      </c>
    </row>
    <row r="37" spans="7:8" x14ac:dyDescent="0.3">
      <c r="G37">
        <v>35</v>
      </c>
      <c r="H37" s="43">
        <f t="shared" si="1"/>
        <v>486491.65690906649</v>
      </c>
    </row>
    <row r="38" spans="7:8" x14ac:dyDescent="0.3">
      <c r="G38">
        <v>36</v>
      </c>
      <c r="H38" s="43">
        <f t="shared" si="1"/>
        <v>483351.87493500375</v>
      </c>
    </row>
    <row r="39" spans="7:8" x14ac:dyDescent="0.3">
      <c r="G39">
        <v>37</v>
      </c>
      <c r="H39" s="43">
        <f t="shared" si="1"/>
        <v>480209.22923688818</v>
      </c>
    </row>
    <row r="40" spans="7:8" x14ac:dyDescent="0.3">
      <c r="G40">
        <v>38</v>
      </c>
      <c r="H40" s="43">
        <f t="shared" si="1"/>
        <v>477063.71720278187</v>
      </c>
    </row>
    <row r="41" spans="7:8" x14ac:dyDescent="0.3">
      <c r="G41">
        <v>39</v>
      </c>
      <c r="H41" s="43">
        <f t="shared" si="1"/>
        <v>473915.33621836465</v>
      </c>
    </row>
    <row r="42" spans="7:8" x14ac:dyDescent="0.3">
      <c r="G42">
        <v>40</v>
      </c>
      <c r="H42" s="43">
        <f t="shared" si="1"/>
        <v>470764.08366693195</v>
      </c>
    </row>
    <row r="43" spans="7:8" x14ac:dyDescent="0.3">
      <c r="G43">
        <v>41</v>
      </c>
      <c r="H43" s="43">
        <f t="shared" si="1"/>
        <v>467609.95692939247</v>
      </c>
    </row>
    <row r="44" spans="7:8" x14ac:dyDescent="0.3">
      <c r="G44">
        <v>42</v>
      </c>
      <c r="H44" s="43">
        <f t="shared" si="1"/>
        <v>464452.95338426612</v>
      </c>
    </row>
    <row r="45" spans="7:8" x14ac:dyDescent="0.3">
      <c r="G45">
        <v>43</v>
      </c>
      <c r="H45" s="43">
        <f t="shared" si="1"/>
        <v>461293.07040768187</v>
      </c>
    </row>
    <row r="46" spans="7:8" x14ac:dyDescent="0.3">
      <c r="G46">
        <v>44</v>
      </c>
      <c r="H46" s="43">
        <f t="shared" si="1"/>
        <v>458130.30537337542</v>
      </c>
    </row>
    <row r="47" spans="7:8" x14ac:dyDescent="0.3">
      <c r="G47">
        <v>45</v>
      </c>
      <c r="H47" s="43">
        <f t="shared" si="1"/>
        <v>454964.65565268724</v>
      </c>
    </row>
    <row r="48" spans="7:8" x14ac:dyDescent="0.3">
      <c r="G48">
        <v>46</v>
      </c>
      <c r="H48" s="43">
        <f t="shared" si="1"/>
        <v>451796.11861456017</v>
      </c>
    </row>
    <row r="49" spans="7:8" x14ac:dyDescent="0.3">
      <c r="G49">
        <v>47</v>
      </c>
      <c r="H49" s="43">
        <f t="shared" si="1"/>
        <v>448624.69162553729</v>
      </c>
    </row>
    <row r="50" spans="7:8" x14ac:dyDescent="0.3">
      <c r="G50">
        <v>48</v>
      </c>
      <c r="H50" s="43">
        <f t="shared" si="1"/>
        <v>445450.3720497599</v>
      </c>
    </row>
    <row r="51" spans="7:8" x14ac:dyDescent="0.3">
      <c r="G51">
        <v>49</v>
      </c>
      <c r="H51" s="43">
        <f t="shared" si="1"/>
        <v>442273.15724896506</v>
      </c>
    </row>
    <row r="52" spans="7:8" x14ac:dyDescent="0.3">
      <c r="G52">
        <v>50</v>
      </c>
      <c r="H52" s="43">
        <f t="shared" si="1"/>
        <v>439093.04458248359</v>
      </c>
    </row>
    <row r="53" spans="7:8" x14ac:dyDescent="0.3">
      <c r="G53">
        <v>51</v>
      </c>
      <c r="H53" s="43">
        <f t="shared" si="1"/>
        <v>435910.03140723781</v>
      </c>
    </row>
    <row r="54" spans="7:8" x14ac:dyDescent="0.3">
      <c r="G54">
        <v>52</v>
      </c>
      <c r="H54" s="43">
        <f t="shared" si="1"/>
        <v>432724.11507773935</v>
      </c>
    </row>
    <row r="55" spans="7:8" x14ac:dyDescent="0.3">
      <c r="G55">
        <v>53</v>
      </c>
      <c r="H55" s="43">
        <f t="shared" si="1"/>
        <v>429535.29294608691</v>
      </c>
    </row>
    <row r="56" spans="7:8" x14ac:dyDescent="0.3">
      <c r="G56">
        <v>54</v>
      </c>
      <c r="H56" s="43">
        <f t="shared" si="1"/>
        <v>426343.5623619642</v>
      </c>
    </row>
    <row r="57" spans="7:8" x14ac:dyDescent="0.3">
      <c r="G57">
        <v>55</v>
      </c>
      <c r="H57" s="43">
        <f t="shared" si="1"/>
        <v>423148.92067263753</v>
      </c>
    </row>
    <row r="58" spans="7:8" x14ac:dyDescent="0.3">
      <c r="G58">
        <v>56</v>
      </c>
      <c r="H58" s="43">
        <f t="shared" si="1"/>
        <v>419951.36522295373</v>
      </c>
    </row>
    <row r="59" spans="7:8" x14ac:dyDescent="0.3">
      <c r="G59">
        <v>57</v>
      </c>
      <c r="H59" s="43">
        <f t="shared" si="1"/>
        <v>416750.89335533796</v>
      </c>
    </row>
    <row r="60" spans="7:8" x14ac:dyDescent="0.3">
      <c r="G60">
        <v>58</v>
      </c>
      <c r="H60" s="43">
        <f t="shared" si="1"/>
        <v>413547.50240979146</v>
      </c>
    </row>
    <row r="61" spans="7:8" x14ac:dyDescent="0.3">
      <c r="G61">
        <v>59</v>
      </c>
      <c r="H61" s="43">
        <f t="shared" si="1"/>
        <v>410341.18972388934</v>
      </c>
    </row>
    <row r="62" spans="7:8" x14ac:dyDescent="0.3">
      <c r="G62">
        <v>60</v>
      </c>
      <c r="H62" s="43">
        <f t="shared" si="1"/>
        <v>407131.95263277838</v>
      </c>
    </row>
    <row r="63" spans="7:8" x14ac:dyDescent="0.3">
      <c r="G63">
        <v>61</v>
      </c>
      <c r="H63" s="43">
        <f t="shared" si="1"/>
        <v>403919.78846917482</v>
      </c>
    </row>
    <row r="64" spans="7:8" x14ac:dyDescent="0.3">
      <c r="G64">
        <v>62</v>
      </c>
      <c r="H64" s="43">
        <f t="shared" si="1"/>
        <v>400704.69456336205</v>
      </c>
    </row>
    <row r="65" spans="7:8" x14ac:dyDescent="0.3">
      <c r="G65">
        <v>63</v>
      </c>
      <c r="H65" s="43">
        <f t="shared" si="1"/>
        <v>397486.66824318859</v>
      </c>
    </row>
    <row r="66" spans="7:8" x14ac:dyDescent="0.3">
      <c r="G66">
        <v>64</v>
      </c>
      <c r="H66" s="43">
        <f t="shared" si="1"/>
        <v>394265.70683406561</v>
      </c>
    </row>
    <row r="67" spans="7:8" x14ac:dyDescent="0.3">
      <c r="G67">
        <v>65</v>
      </c>
      <c r="H67" s="43">
        <f t="shared" ref="H67:H98" si="2">H66*(1+$E$2)^(1/12)+$F$2-$C$6</f>
        <v>391041.807658965</v>
      </c>
    </row>
    <row r="68" spans="7:8" x14ac:dyDescent="0.3">
      <c r="G68">
        <v>66</v>
      </c>
      <c r="H68" s="43">
        <f t="shared" si="2"/>
        <v>387814.96803841693</v>
      </c>
    </row>
    <row r="69" spans="7:8" x14ac:dyDescent="0.3">
      <c r="G69">
        <v>67</v>
      </c>
      <c r="H69" s="43">
        <f t="shared" si="2"/>
        <v>384585.18529050762</v>
      </c>
    </row>
    <row r="70" spans="7:8" x14ac:dyDescent="0.3">
      <c r="G70">
        <v>68</v>
      </c>
      <c r="H70" s="43">
        <f t="shared" si="2"/>
        <v>381352.45673087728</v>
      </c>
    </row>
    <row r="71" spans="7:8" x14ac:dyDescent="0.3">
      <c r="G71">
        <v>69</v>
      </c>
      <c r="H71" s="43">
        <f t="shared" si="2"/>
        <v>378116.77967271773</v>
      </c>
    </row>
    <row r="72" spans="7:8" x14ac:dyDescent="0.3">
      <c r="G72">
        <v>70</v>
      </c>
      <c r="H72" s="43">
        <f t="shared" si="2"/>
        <v>374878.15142677026</v>
      </c>
    </row>
    <row r="73" spans="7:8" x14ac:dyDescent="0.3">
      <c r="G73">
        <v>71</v>
      </c>
      <c r="H73" s="43">
        <f t="shared" si="2"/>
        <v>371636.56930132321</v>
      </c>
    </row>
    <row r="74" spans="7:8" x14ac:dyDescent="0.3">
      <c r="G74">
        <v>72</v>
      </c>
      <c r="H74" s="43">
        <f t="shared" si="2"/>
        <v>368392.03060221003</v>
      </c>
    </row>
    <row r="75" spans="7:8" x14ac:dyDescent="0.3">
      <c r="G75">
        <v>73</v>
      </c>
      <c r="H75" s="43">
        <f t="shared" si="2"/>
        <v>365144.5326328068</v>
      </c>
    </row>
    <row r="76" spans="7:8" x14ac:dyDescent="0.3">
      <c r="G76">
        <v>74</v>
      </c>
      <c r="H76" s="43">
        <f t="shared" si="2"/>
        <v>361894.07269403012</v>
      </c>
    </row>
    <row r="77" spans="7:8" x14ac:dyDescent="0.3">
      <c r="G77">
        <v>75</v>
      </c>
      <c r="H77" s="43">
        <f t="shared" si="2"/>
        <v>358640.64808433474</v>
      </c>
    </row>
    <row r="78" spans="7:8" x14ac:dyDescent="0.3">
      <c r="G78">
        <v>76</v>
      </c>
      <c r="H78" s="43">
        <f t="shared" si="2"/>
        <v>355384.25609971146</v>
      </c>
    </row>
    <row r="79" spans="7:8" x14ac:dyDescent="0.3">
      <c r="G79">
        <v>77</v>
      </c>
      <c r="H79" s="43">
        <f t="shared" si="2"/>
        <v>352124.89403368474</v>
      </c>
    </row>
    <row r="80" spans="7:8" x14ac:dyDescent="0.3">
      <c r="G80">
        <v>78</v>
      </c>
      <c r="H80" s="43">
        <f t="shared" si="2"/>
        <v>348862.55917731061</v>
      </c>
    </row>
    <row r="81" spans="7:8" x14ac:dyDescent="0.3">
      <c r="G81">
        <v>79</v>
      </c>
      <c r="H81" s="43">
        <f t="shared" si="2"/>
        <v>345597.24881917436</v>
      </c>
    </row>
    <row r="82" spans="7:8" x14ac:dyDescent="0.3">
      <c r="G82">
        <v>80</v>
      </c>
      <c r="H82" s="43">
        <f t="shared" si="2"/>
        <v>342328.96024538809</v>
      </c>
    </row>
    <row r="83" spans="7:8" x14ac:dyDescent="0.3">
      <c r="G83">
        <v>81</v>
      </c>
      <c r="H83" s="43">
        <f t="shared" si="2"/>
        <v>339057.69073958881</v>
      </c>
    </row>
    <row r="84" spans="7:8" x14ac:dyDescent="0.3">
      <c r="G84">
        <v>82</v>
      </c>
      <c r="H84" s="43">
        <f t="shared" si="2"/>
        <v>335783.43758293591</v>
      </c>
    </row>
    <row r="85" spans="7:8" x14ac:dyDescent="0.3">
      <c r="G85">
        <v>83</v>
      </c>
      <c r="H85" s="43">
        <f t="shared" si="2"/>
        <v>332506.19805410894</v>
      </c>
    </row>
    <row r="86" spans="7:8" x14ac:dyDescent="0.3">
      <c r="G86">
        <v>84</v>
      </c>
      <c r="H86" s="43">
        <f t="shared" si="2"/>
        <v>329225.96942930552</v>
      </c>
    </row>
    <row r="87" spans="7:8" x14ac:dyDescent="0.3">
      <c r="G87">
        <v>85</v>
      </c>
      <c r="H87" s="43">
        <f t="shared" si="2"/>
        <v>325942.74898223887</v>
      </c>
    </row>
    <row r="88" spans="7:8" x14ac:dyDescent="0.3">
      <c r="G88">
        <v>86</v>
      </c>
      <c r="H88" s="43">
        <f t="shared" si="2"/>
        <v>322656.5339841356</v>
      </c>
    </row>
    <row r="89" spans="7:8" x14ac:dyDescent="0.3">
      <c r="G89">
        <v>87</v>
      </c>
      <c r="H89" s="43">
        <f t="shared" si="2"/>
        <v>319367.32170373359</v>
      </c>
    </row>
    <row r="90" spans="7:8" x14ac:dyDescent="0.3">
      <c r="G90">
        <v>88</v>
      </c>
      <c r="H90" s="43">
        <f t="shared" si="2"/>
        <v>316075.10940727941</v>
      </c>
    </row>
    <row r="91" spans="7:8" x14ac:dyDescent="0.3">
      <c r="G91">
        <v>89</v>
      </c>
      <c r="H91" s="43">
        <f t="shared" si="2"/>
        <v>312779.89435852639</v>
      </c>
    </row>
    <row r="92" spans="7:8" x14ac:dyDescent="0.3">
      <c r="G92">
        <v>90</v>
      </c>
      <c r="H92" s="43">
        <f t="shared" si="2"/>
        <v>309481.67381873215</v>
      </c>
    </row>
    <row r="93" spans="7:8" x14ac:dyDescent="0.3">
      <c r="G93">
        <v>91</v>
      </c>
      <c r="H93" s="43">
        <f t="shared" si="2"/>
        <v>306180.44504665636</v>
      </c>
    </row>
    <row r="94" spans="7:8" x14ac:dyDescent="0.3">
      <c r="G94">
        <v>92</v>
      </c>
      <c r="H94" s="43">
        <f t="shared" si="2"/>
        <v>302876.20529855846</v>
      </c>
    </row>
    <row r="95" spans="7:8" x14ac:dyDescent="0.3">
      <c r="G95">
        <v>93</v>
      </c>
      <c r="H95" s="43">
        <f t="shared" si="2"/>
        <v>299568.95182819536</v>
      </c>
    </row>
    <row r="96" spans="7:8" x14ac:dyDescent="0.3">
      <c r="G96">
        <v>94</v>
      </c>
      <c r="H96" s="43">
        <f t="shared" si="2"/>
        <v>296258.68188681925</v>
      </c>
    </row>
    <row r="97" spans="7:8" x14ac:dyDescent="0.3">
      <c r="G97">
        <v>95</v>
      </c>
      <c r="H97" s="43">
        <f t="shared" si="2"/>
        <v>292945.39272317523</v>
      </c>
    </row>
    <row r="98" spans="7:8" x14ac:dyDescent="0.3">
      <c r="G98">
        <v>96</v>
      </c>
      <c r="H98" s="43">
        <f t="shared" si="2"/>
        <v>289629.08158349898</v>
      </c>
    </row>
    <row r="99" spans="7:8" x14ac:dyDescent="0.3">
      <c r="G99">
        <v>97</v>
      </c>
      <c r="H99" s="43">
        <f t="shared" ref="H99:H130" si="3">H98*(1+$E$2)^(1/12)+$F$2-$C$6</f>
        <v>286309.74571151461</v>
      </c>
    </row>
    <row r="100" spans="7:8" x14ac:dyDescent="0.3">
      <c r="G100">
        <v>98</v>
      </c>
      <c r="H100" s="43">
        <f t="shared" si="3"/>
        <v>282987.38234843226</v>
      </c>
    </row>
    <row r="101" spans="7:8" x14ac:dyDescent="0.3">
      <c r="G101">
        <v>99</v>
      </c>
      <c r="H101" s="43">
        <f t="shared" si="3"/>
        <v>279661.98873294581</v>
      </c>
    </row>
    <row r="102" spans="7:8" x14ac:dyDescent="0.3">
      <c r="G102">
        <v>100</v>
      </c>
      <c r="H102" s="43">
        <f t="shared" si="3"/>
        <v>276333.56210123067</v>
      </c>
    </row>
    <row r="103" spans="7:8" x14ac:dyDescent="0.3">
      <c r="G103">
        <v>101</v>
      </c>
      <c r="H103" s="43">
        <f t="shared" si="3"/>
        <v>273002.09968694142</v>
      </c>
    </row>
    <row r="104" spans="7:8" x14ac:dyDescent="0.3">
      <c r="G104">
        <v>102</v>
      </c>
      <c r="H104" s="43">
        <f t="shared" si="3"/>
        <v>269667.59872120945</v>
      </c>
    </row>
    <row r="105" spans="7:8" x14ac:dyDescent="0.3">
      <c r="G105">
        <v>103</v>
      </c>
      <c r="H105" s="43">
        <f t="shared" si="3"/>
        <v>266330.05643264082</v>
      </c>
    </row>
    <row r="106" spans="7:8" x14ac:dyDescent="0.3">
      <c r="G106">
        <v>104</v>
      </c>
      <c r="H106" s="43">
        <f t="shared" si="3"/>
        <v>262989.47004731384</v>
      </c>
    </row>
    <row r="107" spans="7:8" x14ac:dyDescent="0.3">
      <c r="G107">
        <v>105</v>
      </c>
      <c r="H107" s="43">
        <f t="shared" si="3"/>
        <v>259645.8367887768</v>
      </c>
    </row>
    <row r="108" spans="7:8" x14ac:dyDescent="0.3">
      <c r="G108">
        <v>106</v>
      </c>
      <c r="H108" s="43">
        <f t="shared" si="3"/>
        <v>256299.15387804556</v>
      </c>
    </row>
    <row r="109" spans="7:8" x14ac:dyDescent="0.3">
      <c r="G109">
        <v>107</v>
      </c>
      <c r="H109" s="43">
        <f t="shared" si="3"/>
        <v>252949.41853360145</v>
      </c>
    </row>
    <row r="110" spans="7:8" x14ac:dyDescent="0.3">
      <c r="G110">
        <v>108</v>
      </c>
      <c r="H110" s="43">
        <f t="shared" si="3"/>
        <v>249596.62797138878</v>
      </c>
    </row>
    <row r="111" spans="7:8" x14ac:dyDescent="0.3">
      <c r="G111">
        <v>109</v>
      </c>
      <c r="H111" s="43">
        <f t="shared" si="3"/>
        <v>246240.77940481258</v>
      </c>
    </row>
    <row r="112" spans="7:8" x14ac:dyDescent="0.3">
      <c r="G112">
        <v>110</v>
      </c>
      <c r="H112" s="43">
        <f t="shared" si="3"/>
        <v>242881.87004473631</v>
      </c>
    </row>
    <row r="113" spans="7:8" x14ac:dyDescent="0.3">
      <c r="G113">
        <v>111</v>
      </c>
      <c r="H113" s="43">
        <f t="shared" si="3"/>
        <v>239519.89709947951</v>
      </c>
    </row>
    <row r="114" spans="7:8" x14ac:dyDescent="0.3">
      <c r="G114">
        <v>112</v>
      </c>
      <c r="H114" s="43">
        <f t="shared" si="3"/>
        <v>236154.85777481549</v>
      </c>
    </row>
    <row r="115" spans="7:8" x14ac:dyDescent="0.3">
      <c r="G115">
        <v>113</v>
      </c>
      <c r="H115" s="43">
        <f t="shared" si="3"/>
        <v>232786.74927396904</v>
      </c>
    </row>
    <row r="116" spans="7:8" x14ac:dyDescent="0.3">
      <c r="G116">
        <v>114</v>
      </c>
      <c r="H116" s="43">
        <f t="shared" si="3"/>
        <v>229415.56879761405</v>
      </c>
    </row>
    <row r="117" spans="7:8" x14ac:dyDescent="0.3">
      <c r="G117">
        <v>115</v>
      </c>
      <c r="H117" s="43">
        <f t="shared" si="3"/>
        <v>226041.31354387119</v>
      </c>
    </row>
    <row r="118" spans="7:8" x14ac:dyDescent="0.3">
      <c r="G118">
        <v>116</v>
      </c>
      <c r="H118" s="43">
        <f t="shared" si="3"/>
        <v>222663.98070830564</v>
      </c>
    </row>
    <row r="119" spans="7:8" x14ac:dyDescent="0.3">
      <c r="G119">
        <v>117</v>
      </c>
      <c r="H119" s="43">
        <f t="shared" si="3"/>
        <v>219283.56748392468</v>
      </c>
    </row>
    <row r="120" spans="7:8" x14ac:dyDescent="0.3">
      <c r="G120">
        <v>118</v>
      </c>
      <c r="H120" s="43">
        <f t="shared" si="3"/>
        <v>215900.0710611754</v>
      </c>
    </row>
    <row r="121" spans="7:8" x14ac:dyDescent="0.3">
      <c r="G121">
        <v>119</v>
      </c>
      <c r="H121" s="43">
        <f t="shared" si="3"/>
        <v>212513.48862794242</v>
      </c>
    </row>
    <row r="122" spans="7:8" x14ac:dyDescent="0.3">
      <c r="G122">
        <v>120</v>
      </c>
      <c r="H122" s="43">
        <f t="shared" si="3"/>
        <v>209123.8173695454</v>
      </c>
    </row>
    <row r="123" spans="7:8" x14ac:dyDescent="0.3">
      <c r="G123">
        <v>121</v>
      </c>
      <c r="H123" s="43">
        <f t="shared" si="3"/>
        <v>205731.05446873687</v>
      </c>
    </row>
    <row r="124" spans="7:8" x14ac:dyDescent="0.3">
      <c r="G124">
        <v>122</v>
      </c>
      <c r="H124" s="43">
        <f t="shared" si="3"/>
        <v>202335.19710569974</v>
      </c>
    </row>
    <row r="125" spans="7:8" x14ac:dyDescent="0.3">
      <c r="G125">
        <v>123</v>
      </c>
      <c r="H125" s="43">
        <f t="shared" si="3"/>
        <v>198936.24245804513</v>
      </c>
    </row>
    <row r="126" spans="7:8" x14ac:dyDescent="0.3">
      <c r="G126">
        <v>124</v>
      </c>
      <c r="H126" s="43">
        <f t="shared" si="3"/>
        <v>195534.18770080982</v>
      </c>
    </row>
    <row r="127" spans="7:8" x14ac:dyDescent="0.3">
      <c r="G127">
        <v>125</v>
      </c>
      <c r="H127" s="43">
        <f t="shared" si="3"/>
        <v>192129.03000645406</v>
      </c>
    </row>
    <row r="128" spans="7:8" x14ac:dyDescent="0.3">
      <c r="G128">
        <v>126</v>
      </c>
      <c r="H128" s="43">
        <f t="shared" si="3"/>
        <v>188720.76654485916</v>
      </c>
    </row>
    <row r="129" spans="7:8" x14ac:dyDescent="0.3">
      <c r="G129">
        <v>127</v>
      </c>
      <c r="H129" s="43">
        <f t="shared" si="3"/>
        <v>185309.39448332513</v>
      </c>
    </row>
    <row r="130" spans="7:8" x14ac:dyDescent="0.3">
      <c r="G130">
        <v>128</v>
      </c>
      <c r="H130" s="43">
        <f t="shared" si="3"/>
        <v>181894.91098656834</v>
      </c>
    </row>
    <row r="131" spans="7:8" x14ac:dyDescent="0.3">
      <c r="G131">
        <v>129</v>
      </c>
      <c r="H131" s="43">
        <f t="shared" ref="H131:H162" si="4">H130*(1+$E$2)^(1/12)+$F$2-$C$6</f>
        <v>178477.31321671919</v>
      </c>
    </row>
    <row r="132" spans="7:8" x14ac:dyDescent="0.3">
      <c r="G132">
        <v>130</v>
      </c>
      <c r="H132" s="43">
        <f t="shared" si="4"/>
        <v>175056.59833331968</v>
      </c>
    </row>
    <row r="133" spans="7:8" x14ac:dyDescent="0.3">
      <c r="G133">
        <v>131</v>
      </c>
      <c r="H133" s="43">
        <f t="shared" si="4"/>
        <v>171632.76349332114</v>
      </c>
    </row>
    <row r="134" spans="7:8" x14ac:dyDescent="0.3">
      <c r="G134">
        <v>132</v>
      </c>
      <c r="H134" s="43">
        <f t="shared" si="4"/>
        <v>168205.80585108176</v>
      </c>
    </row>
    <row r="135" spans="7:8" x14ac:dyDescent="0.3">
      <c r="G135">
        <v>133</v>
      </c>
      <c r="H135" s="43">
        <f t="shared" si="4"/>
        <v>164775.72255836433</v>
      </c>
    </row>
    <row r="136" spans="7:8" x14ac:dyDescent="0.3">
      <c r="G136">
        <v>134</v>
      </c>
      <c r="H136" s="43">
        <f t="shared" si="4"/>
        <v>161342.51076433383</v>
      </c>
    </row>
    <row r="137" spans="7:8" x14ac:dyDescent="0.3">
      <c r="G137">
        <v>135</v>
      </c>
      <c r="H137" s="43">
        <f t="shared" si="4"/>
        <v>157906.16761555502</v>
      </c>
    </row>
    <row r="138" spans="7:8" x14ac:dyDescent="0.3">
      <c r="G138">
        <v>136</v>
      </c>
      <c r="H138" s="43">
        <f t="shared" si="4"/>
        <v>154466.69025599014</v>
      </c>
    </row>
    <row r="139" spans="7:8" x14ac:dyDescent="0.3">
      <c r="G139">
        <v>137</v>
      </c>
      <c r="H139" s="43">
        <f t="shared" si="4"/>
        <v>151024.07582699647</v>
      </c>
    </row>
    <row r="140" spans="7:8" x14ac:dyDescent="0.3">
      <c r="G140">
        <v>138</v>
      </c>
      <c r="H140" s="43">
        <f t="shared" si="4"/>
        <v>147578.32146732404</v>
      </c>
    </row>
    <row r="141" spans="7:8" x14ac:dyDescent="0.3">
      <c r="G141">
        <v>139</v>
      </c>
      <c r="H141" s="43">
        <f t="shared" si="4"/>
        <v>144129.42431311315</v>
      </c>
    </row>
    <row r="142" spans="7:8" x14ac:dyDescent="0.3">
      <c r="G142">
        <v>140</v>
      </c>
      <c r="H142" s="43">
        <f t="shared" si="4"/>
        <v>140677.38149789206</v>
      </c>
    </row>
    <row r="143" spans="7:8" x14ac:dyDescent="0.3">
      <c r="G143">
        <v>141</v>
      </c>
      <c r="H143" s="43">
        <f t="shared" si="4"/>
        <v>137222.19015257456</v>
      </c>
    </row>
    <row r="144" spans="7:8" x14ac:dyDescent="0.3">
      <c r="G144">
        <v>142</v>
      </c>
      <c r="H144" s="43">
        <f t="shared" si="4"/>
        <v>133763.84740545767</v>
      </c>
    </row>
    <row r="145" spans="7:8" x14ac:dyDescent="0.3">
      <c r="G145">
        <v>143</v>
      </c>
      <c r="H145" s="43">
        <f t="shared" si="4"/>
        <v>130302.35038221913</v>
      </c>
    </row>
    <row r="146" spans="7:8" x14ac:dyDescent="0.3">
      <c r="G146">
        <v>144</v>
      </c>
      <c r="H146" s="43">
        <f t="shared" si="4"/>
        <v>126837.69620591511</v>
      </c>
    </row>
    <row r="147" spans="7:8" x14ac:dyDescent="0.3">
      <c r="G147">
        <v>145</v>
      </c>
      <c r="H147" s="43">
        <f t="shared" si="4"/>
        <v>123369.8819969778</v>
      </c>
    </row>
    <row r="148" spans="7:8" x14ac:dyDescent="0.3">
      <c r="G148">
        <v>146</v>
      </c>
      <c r="H148" s="43">
        <f t="shared" si="4"/>
        <v>119898.90487321294</v>
      </c>
    </row>
    <row r="149" spans="7:8" x14ac:dyDescent="0.3">
      <c r="G149">
        <v>147</v>
      </c>
      <c r="H149" s="43">
        <f t="shared" si="4"/>
        <v>116424.76194979757</v>
      </c>
    </row>
    <row r="150" spans="7:8" x14ac:dyDescent="0.3">
      <c r="G150">
        <v>148</v>
      </c>
      <c r="H150" s="43">
        <f t="shared" si="4"/>
        <v>112947.45033927746</v>
      </c>
    </row>
    <row r="151" spans="7:8" x14ac:dyDescent="0.3">
      <c r="G151">
        <v>149</v>
      </c>
      <c r="H151" s="43">
        <f t="shared" si="4"/>
        <v>109466.96715156488</v>
      </c>
    </row>
    <row r="152" spans="7:8" x14ac:dyDescent="0.3">
      <c r="G152">
        <v>150</v>
      </c>
      <c r="H152" s="43">
        <f t="shared" si="4"/>
        <v>105983.30949393605</v>
      </c>
    </row>
    <row r="153" spans="7:8" x14ac:dyDescent="0.3">
      <c r="G153">
        <v>151</v>
      </c>
      <c r="H153" s="43">
        <f t="shared" si="4"/>
        <v>102496.47447102884</v>
      </c>
    </row>
    <row r="154" spans="7:8" x14ac:dyDescent="0.3">
      <c r="G154">
        <v>152</v>
      </c>
      <c r="H154" s="43">
        <f t="shared" si="4"/>
        <v>99006.459184840307</v>
      </c>
    </row>
    <row r="155" spans="7:8" x14ac:dyDescent="0.3">
      <c r="G155">
        <v>153</v>
      </c>
      <c r="H155" s="43">
        <f t="shared" si="4"/>
        <v>95513.260734724332</v>
      </c>
    </row>
    <row r="156" spans="7:8" x14ac:dyDescent="0.3">
      <c r="G156">
        <v>154</v>
      </c>
      <c r="H156" s="43">
        <f t="shared" si="4"/>
        <v>92016.876217389159</v>
      </c>
    </row>
    <row r="157" spans="7:8" x14ac:dyDescent="0.3">
      <c r="G157">
        <v>155</v>
      </c>
      <c r="H157" s="43">
        <f t="shared" si="4"/>
        <v>88517.30272689501</v>
      </c>
    </row>
    <row r="158" spans="7:8" x14ac:dyDescent="0.3">
      <c r="G158">
        <v>156</v>
      </c>
      <c r="H158" s="43">
        <f t="shared" si="4"/>
        <v>85014.537354651664</v>
      </c>
    </row>
    <row r="159" spans="7:8" x14ac:dyDescent="0.3">
      <c r="G159">
        <v>157</v>
      </c>
      <c r="H159" s="43">
        <f t="shared" si="4"/>
        <v>81508.577189416043</v>
      </c>
    </row>
    <row r="160" spans="7:8" x14ac:dyDescent="0.3">
      <c r="G160">
        <v>158</v>
      </c>
      <c r="H160" s="43">
        <f t="shared" si="4"/>
        <v>77999.419317289794</v>
      </c>
    </row>
    <row r="161" spans="7:8" x14ac:dyDescent="0.3">
      <c r="G161">
        <v>159</v>
      </c>
      <c r="H161" s="43">
        <f t="shared" si="4"/>
        <v>74487.060821716848</v>
      </c>
    </row>
    <row r="162" spans="7:8" x14ac:dyDescent="0.3">
      <c r="G162">
        <v>160</v>
      </c>
      <c r="H162" s="43">
        <f t="shared" si="4"/>
        <v>70971.498783481031</v>
      </c>
    </row>
    <row r="163" spans="7:8" x14ac:dyDescent="0.3">
      <c r="G163">
        <v>161</v>
      </c>
      <c r="H163" s="43">
        <f t="shared" ref="H163:H182" si="5">H162*(1+$E$2)^(1/12)+$F$2-$C$6</f>
        <v>67452.730280703603</v>
      </c>
    </row>
    <row r="164" spans="7:8" x14ac:dyDescent="0.3">
      <c r="G164">
        <v>162</v>
      </c>
      <c r="H164" s="43">
        <f t="shared" si="5"/>
        <v>63930.752388840861</v>
      </c>
    </row>
    <row r="165" spans="7:8" x14ac:dyDescent="0.3">
      <c r="G165">
        <v>163</v>
      </c>
      <c r="H165" s="43">
        <f t="shared" si="5"/>
        <v>60405.562180681678</v>
      </c>
    </row>
    <row r="166" spans="7:8" x14ac:dyDescent="0.3">
      <c r="G166">
        <v>164</v>
      </c>
      <c r="H166" s="43">
        <f t="shared" si="5"/>
        <v>56877.156726345085</v>
      </c>
    </row>
    <row r="167" spans="7:8" x14ac:dyDescent="0.3">
      <c r="G167">
        <v>165</v>
      </c>
      <c r="H167" s="43">
        <f t="shared" si="5"/>
        <v>53345.533093277838</v>
      </c>
    </row>
    <row r="168" spans="7:8" x14ac:dyDescent="0.3">
      <c r="G168">
        <v>166</v>
      </c>
      <c r="H168" s="43">
        <f t="shared" si="5"/>
        <v>49810.688346251984</v>
      </c>
    </row>
    <row r="169" spans="7:8" x14ac:dyDescent="0.3">
      <c r="G169">
        <v>167</v>
      </c>
      <c r="H169" s="43">
        <f t="shared" si="5"/>
        <v>46272.619547362403</v>
      </c>
    </row>
    <row r="170" spans="7:8" x14ac:dyDescent="0.3">
      <c r="G170">
        <v>168</v>
      </c>
      <c r="H170" s="43">
        <f t="shared" si="5"/>
        <v>42731.32375602438</v>
      </c>
    </row>
    <row r="171" spans="7:8" x14ac:dyDescent="0.3">
      <c r="G171">
        <v>169</v>
      </c>
      <c r="H171" s="43">
        <f t="shared" si="5"/>
        <v>39186.79802897117</v>
      </c>
    </row>
    <row r="172" spans="7:8" x14ac:dyDescent="0.3">
      <c r="G172">
        <v>170</v>
      </c>
      <c r="H172" s="43">
        <f t="shared" si="5"/>
        <v>35639.039420251531</v>
      </c>
    </row>
    <row r="173" spans="7:8" x14ac:dyDescent="0.3">
      <c r="G173">
        <v>171</v>
      </c>
      <c r="H173" s="43">
        <f t="shared" si="5"/>
        <v>32088.044981227285</v>
      </c>
    </row>
    <row r="174" spans="7:8" x14ac:dyDescent="0.3">
      <c r="G174">
        <v>172</v>
      </c>
      <c r="H174" s="43">
        <f t="shared" si="5"/>
        <v>28533.811760570879</v>
      </c>
    </row>
    <row r="175" spans="7:8" x14ac:dyDescent="0.3">
      <c r="G175">
        <v>173</v>
      </c>
      <c r="H175" s="43">
        <f t="shared" si="5"/>
        <v>24976.336804262908</v>
      </c>
    </row>
    <row r="176" spans="7:8" x14ac:dyDescent="0.3">
      <c r="G176">
        <v>174</v>
      </c>
      <c r="H176" s="43">
        <f t="shared" si="5"/>
        <v>21415.61715558968</v>
      </c>
    </row>
    <row r="177" spans="7:8" x14ac:dyDescent="0.3">
      <c r="G177">
        <v>175</v>
      </c>
      <c r="H177" s="43">
        <f t="shared" si="5"/>
        <v>17851.649855140749</v>
      </c>
    </row>
    <row r="178" spans="7:8" x14ac:dyDescent="0.3">
      <c r="G178">
        <v>176</v>
      </c>
      <c r="H178" s="43">
        <f t="shared" si="5"/>
        <v>14284.431940806458</v>
      </c>
    </row>
    <row r="179" spans="7:8" x14ac:dyDescent="0.3">
      <c r="G179">
        <v>177</v>
      </c>
      <c r="H179" s="43">
        <f t="shared" si="5"/>
        <v>10713.960447775478</v>
      </c>
    </row>
    <row r="180" spans="7:8" x14ac:dyDescent="0.3">
      <c r="G180">
        <v>178</v>
      </c>
      <c r="H180" s="43">
        <f t="shared" si="5"/>
        <v>7140.2324085323417</v>
      </c>
    </row>
    <row r="181" spans="7:8" x14ac:dyDescent="0.3">
      <c r="G181">
        <v>179</v>
      </c>
      <c r="H181" s="43">
        <f t="shared" si="5"/>
        <v>3563.2448528549776</v>
      </c>
    </row>
    <row r="182" spans="7:8" x14ac:dyDescent="0.3">
      <c r="G182">
        <v>180</v>
      </c>
      <c r="H182" s="43">
        <f t="shared" si="5"/>
        <v>-17.00519218775662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1</vt:i4>
      </vt:variant>
    </vt:vector>
  </HeadingPairs>
  <TitlesOfParts>
    <vt:vector size="14" baseType="lpstr">
      <vt:lpstr>Horo</vt:lpstr>
      <vt:lpstr>pds</vt:lpstr>
      <vt:lpstr>Decl</vt:lpstr>
      <vt:lpstr>sal</vt:lpstr>
      <vt:lpstr>Feuil3</vt:lpstr>
      <vt:lpstr>Prevz</vt:lpstr>
      <vt:lpstr>TODO</vt:lpstr>
      <vt:lpstr>Molad0</vt:lpstr>
      <vt:lpstr>Molad</vt:lpstr>
      <vt:lpstr>Deniv</vt:lpstr>
      <vt:lpstr>Vélo</vt:lpstr>
      <vt:lpstr>Tenn</vt:lpstr>
      <vt:lpstr>Taux</vt:lpstr>
      <vt:lpstr>Prevz!Zone_d_impression</vt:lpstr>
    </vt:vector>
  </TitlesOfParts>
  <Company>SOCIETE GENERALE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LAMBEZ (X122661)</dc:creator>
  <cp:lastModifiedBy>FRANCK LAMBEZ (x122661)</cp:lastModifiedBy>
  <cp:lastPrinted>2018-01-08T09:22:47Z</cp:lastPrinted>
  <dcterms:created xsi:type="dcterms:W3CDTF">2017-02-09T08:58:31Z</dcterms:created>
  <dcterms:modified xsi:type="dcterms:W3CDTF">2019-02-04T10:46:09Z</dcterms:modified>
</cp:coreProperties>
</file>